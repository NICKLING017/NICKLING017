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53A5A222-5497-45DE-A200-CDBF5456DE22}" xr6:coauthVersionLast="47" xr6:coauthVersionMax="47" xr10:uidLastSave="{00000000-0000-0000-0000-000000000000}"/>
  <bookViews>
    <workbookView xWindow="-120" yWindow="-120" windowWidth="29040" windowHeight="15840" tabRatio="848" firstSheet="1" activeTab="4" xr2:uid="{00000000-000D-0000-FFFF-FFFF00000000}"/>
  </bookViews>
  <sheets>
    <sheet name="资源-材料1" sheetId="55" state="hidden" r:id="rId1"/>
    <sheet name="节奏总纲" sheetId="80" r:id="rId2"/>
    <sheet name="任务类型划分" sheetId="79" r:id="rId3"/>
    <sheet name="推荐任务设计" sheetId="77" r:id="rId4"/>
    <sheet name="Sheet1" sheetId="81" r:id="rId5"/>
    <sheet name="非推荐任务设计" sheetId="78" r:id="rId6"/>
  </sheets>
  <functionGroups builtInGroupCount="19"/>
  <externalReferences>
    <externalReference r:id="rId7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46" i="77" l="1"/>
  <c r="AC334" i="77"/>
  <c r="AD334" i="77" s="1"/>
  <c r="AG334" i="77"/>
  <c r="AH334" i="77" s="1"/>
  <c r="AC335" i="77"/>
  <c r="AD335" i="77" s="1"/>
  <c r="AG335" i="77"/>
  <c r="AH335" i="77"/>
  <c r="AC336" i="77"/>
  <c r="AD336" i="77" s="1"/>
  <c r="AG336" i="77"/>
  <c r="AH336" i="77" s="1"/>
  <c r="AC337" i="77"/>
  <c r="AD337" i="77" s="1"/>
  <c r="AG337" i="77"/>
  <c r="AH337" i="77"/>
  <c r="AC338" i="77"/>
  <c r="AD338" i="77" s="1"/>
  <c r="AG338" i="77"/>
  <c r="AH338" i="77" s="1"/>
  <c r="AC339" i="77"/>
  <c r="AD339" i="77" s="1"/>
  <c r="AG339" i="77"/>
  <c r="AH339" i="77"/>
  <c r="AC340" i="77"/>
  <c r="AD340" i="77" s="1"/>
  <c r="AG340" i="77"/>
  <c r="AH340" i="77" s="1"/>
  <c r="AC341" i="77"/>
  <c r="AD341" i="77" s="1"/>
  <c r="AG341" i="77"/>
  <c r="AH341" i="77"/>
  <c r="AC342" i="77"/>
  <c r="AD342" i="77" s="1"/>
  <c r="AG342" i="77"/>
  <c r="AH342" i="77" s="1"/>
  <c r="AC343" i="77"/>
  <c r="AD343" i="77" s="1"/>
  <c r="AG343" i="77"/>
  <c r="AH343" i="77"/>
  <c r="AC344" i="77"/>
  <c r="AD344" i="77" s="1"/>
  <c r="AG344" i="77"/>
  <c r="AH344" i="77" s="1"/>
  <c r="AC345" i="77"/>
  <c r="AD345" i="77" s="1"/>
  <c r="AG345" i="77"/>
  <c r="AH345" i="77"/>
  <c r="AC346" i="77"/>
  <c r="AD346" i="77" s="1"/>
  <c r="AG346" i="77"/>
  <c r="AC347" i="77"/>
  <c r="AD347" i="77" s="1"/>
  <c r="AG347" i="77"/>
  <c r="AH347" i="77"/>
  <c r="AC348" i="77"/>
  <c r="AD348" i="77" s="1"/>
  <c r="AG348" i="77"/>
  <c r="AH348" i="77" s="1"/>
  <c r="AC349" i="77"/>
  <c r="AD349" i="77" s="1"/>
  <c r="AG349" i="77"/>
  <c r="AH349" i="77"/>
  <c r="AC350" i="77"/>
  <c r="AD350" i="77" s="1"/>
  <c r="AG350" i="77"/>
  <c r="AH350" i="77" s="1"/>
  <c r="AC351" i="77"/>
  <c r="AD351" i="77" s="1"/>
  <c r="AG351" i="77"/>
  <c r="AH351" i="77"/>
  <c r="AC352" i="77"/>
  <c r="AD352" i="77" s="1"/>
  <c r="AG352" i="77"/>
  <c r="AH352" i="77" s="1"/>
  <c r="AC353" i="77"/>
  <c r="AD353" i="77" s="1"/>
  <c r="AG353" i="77"/>
  <c r="AH353" i="77"/>
  <c r="AC354" i="77"/>
  <c r="AD354" i="77" s="1"/>
  <c r="AG354" i="77"/>
  <c r="AH354" i="77" s="1"/>
  <c r="AC355" i="77"/>
  <c r="AD355" i="77" s="1"/>
  <c r="AG355" i="77"/>
  <c r="AH355" i="77"/>
  <c r="AC356" i="77"/>
  <c r="AD356" i="77" s="1"/>
  <c r="AG356" i="77"/>
  <c r="AH356" i="77" s="1"/>
  <c r="AC357" i="77"/>
  <c r="AD357" i="77" s="1"/>
  <c r="AG357" i="77"/>
  <c r="AH357" i="77"/>
  <c r="AC358" i="77"/>
  <c r="AD358" i="77" s="1"/>
  <c r="AG358" i="77"/>
  <c r="AH358" i="77" s="1"/>
  <c r="B9" i="77" l="1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B30" i="77"/>
  <c r="B31" i="77"/>
  <c r="B32" i="77"/>
  <c r="B33" i="77"/>
  <c r="B34" i="77"/>
  <c r="B35" i="77"/>
  <c r="B36" i="77"/>
  <c r="B37" i="77"/>
  <c r="B38" i="77"/>
  <c r="B39" i="77"/>
  <c r="B40" i="77"/>
  <c r="B41" i="77"/>
  <c r="B42" i="77"/>
  <c r="B43" i="77"/>
  <c r="B44" i="77"/>
  <c r="B45" i="77"/>
  <c r="B46" i="77"/>
  <c r="B47" i="77"/>
  <c r="B48" i="77"/>
  <c r="B49" i="77"/>
  <c r="B50" i="77"/>
  <c r="B51" i="77"/>
  <c r="B52" i="77"/>
  <c r="B53" i="77"/>
  <c r="B54" i="77"/>
  <c r="B55" i="77"/>
  <c r="B56" i="77"/>
  <c r="B57" i="77"/>
  <c r="B58" i="77"/>
  <c r="B59" i="77"/>
  <c r="B60" i="77"/>
  <c r="B61" i="77"/>
  <c r="B62" i="77"/>
  <c r="B63" i="77"/>
  <c r="B64" i="77"/>
  <c r="B65" i="77"/>
  <c r="B66" i="77"/>
  <c r="B67" i="77"/>
  <c r="B68" i="77"/>
  <c r="B69" i="77"/>
  <c r="B70" i="77"/>
  <c r="B71" i="77"/>
  <c r="B72" i="77"/>
  <c r="B73" i="77"/>
  <c r="B74" i="77"/>
  <c r="B75" i="77"/>
  <c r="B76" i="77"/>
  <c r="B77" i="77"/>
  <c r="B78" i="77"/>
  <c r="B79" i="77"/>
  <c r="B80" i="77"/>
  <c r="B81" i="77"/>
  <c r="B82" i="77"/>
  <c r="B83" i="77"/>
  <c r="B84" i="77"/>
  <c r="B85" i="77"/>
  <c r="B86" i="77"/>
  <c r="B87" i="77"/>
  <c r="B88" i="77"/>
  <c r="B89" i="77"/>
  <c r="B90" i="77"/>
  <c r="B91" i="77"/>
  <c r="B92" i="77"/>
  <c r="B93" i="77"/>
  <c r="B94" i="77"/>
  <c r="B95" i="77"/>
  <c r="B96" i="77"/>
  <c r="B97" i="77"/>
  <c r="B98" i="77"/>
  <c r="B99" i="77"/>
  <c r="B100" i="77"/>
  <c r="B101" i="77"/>
  <c r="B102" i="77"/>
  <c r="B103" i="77"/>
  <c r="B104" i="77"/>
  <c r="B105" i="77"/>
  <c r="B106" i="77"/>
  <c r="B107" i="77"/>
  <c r="B108" i="77"/>
  <c r="B109" i="77"/>
  <c r="B110" i="77"/>
  <c r="B111" i="77"/>
  <c r="B112" i="77"/>
  <c r="B113" i="77"/>
  <c r="B114" i="77"/>
  <c r="B115" i="77"/>
  <c r="B116" i="77"/>
  <c r="B117" i="77"/>
  <c r="B118" i="77"/>
  <c r="B119" i="77"/>
  <c r="B120" i="77"/>
  <c r="B121" i="77"/>
  <c r="B122" i="77"/>
  <c r="B123" i="77"/>
  <c r="B124" i="77"/>
  <c r="B125" i="77"/>
  <c r="B126" i="77"/>
  <c r="B127" i="77"/>
  <c r="B128" i="77"/>
  <c r="B129" i="77"/>
  <c r="B130" i="77"/>
  <c r="B131" i="77"/>
  <c r="B132" i="77"/>
  <c r="B133" i="77"/>
  <c r="B134" i="77"/>
  <c r="B135" i="77"/>
  <c r="B136" i="77"/>
  <c r="B137" i="77"/>
  <c r="B138" i="77"/>
  <c r="B139" i="77"/>
  <c r="B140" i="77"/>
  <c r="B141" i="77"/>
  <c r="B142" i="77"/>
  <c r="B143" i="77"/>
  <c r="B144" i="77"/>
  <c r="B145" i="77"/>
  <c r="B146" i="77"/>
  <c r="B147" i="77"/>
  <c r="B148" i="77"/>
  <c r="B149" i="77"/>
  <c r="B150" i="77"/>
  <c r="B151" i="77"/>
  <c r="B152" i="77"/>
  <c r="B153" i="77"/>
  <c r="B154" i="77"/>
  <c r="B155" i="77"/>
  <c r="B156" i="77"/>
  <c r="B157" i="77"/>
  <c r="B158" i="77"/>
  <c r="B159" i="77"/>
  <c r="B160" i="77"/>
  <c r="B161" i="77"/>
  <c r="B162" i="77"/>
  <c r="B163" i="77"/>
  <c r="B164" i="77"/>
  <c r="B165" i="77"/>
  <c r="B166" i="77"/>
  <c r="B167" i="77"/>
  <c r="B168" i="77"/>
  <c r="B169" i="77"/>
  <c r="B170" i="77"/>
  <c r="B171" i="77"/>
  <c r="B172" i="77"/>
  <c r="B173" i="77"/>
  <c r="B174" i="77"/>
  <c r="B175" i="77"/>
  <c r="B176" i="77"/>
  <c r="B177" i="77"/>
  <c r="B178" i="77"/>
  <c r="B179" i="77"/>
  <c r="B180" i="77"/>
  <c r="B181" i="77"/>
  <c r="B182" i="77"/>
  <c r="B183" i="77"/>
  <c r="B184" i="77"/>
  <c r="B185" i="77"/>
  <c r="B186" i="77"/>
  <c r="B187" i="77"/>
  <c r="B188" i="77"/>
  <c r="B189" i="77"/>
  <c r="B190" i="77"/>
  <c r="B191" i="77"/>
  <c r="B192" i="77"/>
  <c r="B193" i="77"/>
  <c r="B194" i="77"/>
  <c r="B195" i="77"/>
  <c r="B196" i="77"/>
  <c r="B197" i="77"/>
  <c r="B198" i="77"/>
  <c r="B199" i="77"/>
  <c r="B200" i="77"/>
  <c r="B201" i="77"/>
  <c r="B202" i="77"/>
  <c r="B203" i="77"/>
  <c r="B204" i="77"/>
  <c r="B205" i="77"/>
  <c r="B206" i="77"/>
  <c r="B207" i="77"/>
  <c r="B208" i="77"/>
  <c r="B209" i="77"/>
  <c r="B210" i="77"/>
  <c r="B211" i="77"/>
  <c r="B212" i="77"/>
  <c r="B213" i="77"/>
  <c r="B214" i="77"/>
  <c r="B215" i="77"/>
  <c r="B216" i="77"/>
  <c r="B217" i="77"/>
  <c r="B218" i="77"/>
  <c r="B219" i="77"/>
  <c r="B220" i="77"/>
  <c r="B221" i="77"/>
  <c r="B222" i="77"/>
  <c r="B223" i="77"/>
  <c r="B224" i="77"/>
  <c r="B225" i="77"/>
  <c r="B226" i="77"/>
  <c r="B227" i="77"/>
  <c r="B228" i="77"/>
  <c r="B229" i="77"/>
  <c r="B230" i="77"/>
  <c r="B231" i="77"/>
  <c r="B232" i="77"/>
  <c r="B233" i="77"/>
  <c r="B234" i="77"/>
  <c r="B235" i="77"/>
  <c r="B236" i="77"/>
  <c r="B237" i="77"/>
  <c r="B238" i="77"/>
  <c r="B239" i="77"/>
  <c r="B240" i="77"/>
  <c r="B241" i="77"/>
  <c r="B242" i="77"/>
  <c r="B243" i="77"/>
  <c r="B244" i="77"/>
  <c r="B245" i="77"/>
  <c r="B246" i="77"/>
  <c r="B247" i="77"/>
  <c r="B248" i="77"/>
  <c r="B249" i="77"/>
  <c r="B250" i="77"/>
  <c r="B251" i="77"/>
  <c r="B252" i="77"/>
  <c r="B253" i="77"/>
  <c r="B254" i="77"/>
  <c r="B255" i="77"/>
  <c r="B256" i="77"/>
  <c r="B257" i="77"/>
  <c r="B258" i="77"/>
  <c r="B259" i="77"/>
  <c r="B260" i="77"/>
  <c r="B261" i="77"/>
  <c r="B262" i="77"/>
  <c r="B263" i="77"/>
  <c r="B264" i="77"/>
  <c r="B265" i="77"/>
  <c r="B266" i="77"/>
  <c r="B267" i="77"/>
  <c r="B268" i="77"/>
  <c r="B269" i="77"/>
  <c r="B270" i="77"/>
  <c r="B271" i="77"/>
  <c r="B272" i="77"/>
  <c r="B273" i="77"/>
  <c r="B274" i="77"/>
  <c r="B275" i="77"/>
  <c r="B276" i="77"/>
  <c r="B277" i="77"/>
  <c r="B278" i="77"/>
  <c r="B279" i="77"/>
  <c r="B280" i="77"/>
  <c r="B281" i="77"/>
  <c r="B282" i="77"/>
  <c r="B283" i="77"/>
  <c r="B284" i="77"/>
  <c r="B285" i="77"/>
  <c r="B286" i="77"/>
  <c r="B287" i="77"/>
  <c r="B288" i="77"/>
  <c r="B289" i="77"/>
  <c r="B290" i="77"/>
  <c r="B291" i="77"/>
  <c r="B292" i="77"/>
  <c r="B293" i="77"/>
  <c r="B294" i="77"/>
  <c r="B295" i="77"/>
  <c r="B296" i="77"/>
  <c r="B297" i="77"/>
  <c r="B298" i="77"/>
  <c r="B299" i="77"/>
  <c r="B300" i="77"/>
  <c r="B301" i="77"/>
  <c r="B302" i="77"/>
  <c r="B303" i="77"/>
  <c r="B304" i="77"/>
  <c r="B305" i="77"/>
  <c r="B306" i="77"/>
  <c r="B307" i="77"/>
  <c r="B308" i="77"/>
  <c r="B309" i="77"/>
  <c r="B310" i="77"/>
  <c r="B311" i="77"/>
  <c r="B312" i="77"/>
  <c r="B313" i="77"/>
  <c r="B314" i="77"/>
  <c r="B315" i="77"/>
  <c r="B316" i="77"/>
  <c r="B317" i="77"/>
  <c r="B318" i="77"/>
  <c r="B319" i="77"/>
  <c r="B320" i="77"/>
  <c r="B321" i="77"/>
  <c r="B322" i="77"/>
  <c r="B323" i="77"/>
  <c r="B324" i="77"/>
  <c r="B325" i="77"/>
  <c r="B326" i="77"/>
  <c r="B327" i="77"/>
  <c r="B328" i="77"/>
  <c r="B329" i="77"/>
  <c r="B330" i="77"/>
  <c r="B331" i="77"/>
  <c r="B332" i="77"/>
  <c r="B333" i="77"/>
  <c r="B334" i="77"/>
  <c r="B335" i="77"/>
  <c r="B336" i="77"/>
  <c r="B337" i="77"/>
  <c r="B338" i="77"/>
  <c r="B339" i="77"/>
  <c r="B340" i="77"/>
  <c r="B341" i="77"/>
  <c r="B342" i="77"/>
  <c r="B343" i="77"/>
  <c r="B344" i="77"/>
  <c r="B345" i="77"/>
  <c r="B346" i="77"/>
  <c r="B347" i="77"/>
  <c r="B348" i="77"/>
  <c r="B349" i="77"/>
  <c r="B350" i="77"/>
  <c r="B351" i="77"/>
  <c r="B352" i="77"/>
  <c r="B353" i="77"/>
  <c r="B354" i="77"/>
  <c r="B355" i="77"/>
  <c r="B356" i="77"/>
  <c r="B357" i="77"/>
  <c r="B358" i="77"/>
  <c r="B8" i="77"/>
  <c r="Y358" i="77" l="1"/>
  <c r="Z358" i="77" s="1"/>
  <c r="W358" i="77"/>
  <c r="X358" i="77" s="1"/>
  <c r="U358" i="77"/>
  <c r="V358" i="77" s="1"/>
  <c r="S358" i="77"/>
  <c r="T358" i="77" s="1"/>
  <c r="Q358" i="77"/>
  <c r="R358" i="77" s="1"/>
  <c r="O358" i="77"/>
  <c r="P358" i="77" s="1"/>
  <c r="N358" i="77"/>
  <c r="M358" i="77"/>
  <c r="Y357" i="77"/>
  <c r="Z357" i="77" s="1"/>
  <c r="W357" i="77"/>
  <c r="X357" i="77" s="1"/>
  <c r="U357" i="77"/>
  <c r="V357" i="77" s="1"/>
  <c r="S357" i="77"/>
  <c r="T357" i="77" s="1"/>
  <c r="R357" i="77"/>
  <c r="Q357" i="77"/>
  <c r="O357" i="77"/>
  <c r="P357" i="77" s="1"/>
  <c r="M357" i="77"/>
  <c r="N357" i="77" s="1"/>
  <c r="Y356" i="77"/>
  <c r="Z356" i="77" s="1"/>
  <c r="W356" i="77"/>
  <c r="X356" i="77" s="1"/>
  <c r="U356" i="77"/>
  <c r="V356" i="77" s="1"/>
  <c r="T356" i="77"/>
  <c r="S356" i="77"/>
  <c r="Q356" i="77"/>
  <c r="R356" i="77" s="1"/>
  <c r="O356" i="77"/>
  <c r="P356" i="77" s="1"/>
  <c r="M356" i="77"/>
  <c r="N356" i="77" s="1"/>
  <c r="Y355" i="77"/>
  <c r="Z355" i="77" s="1"/>
  <c r="W355" i="77"/>
  <c r="X355" i="77" s="1"/>
  <c r="V355" i="77"/>
  <c r="U355" i="77"/>
  <c r="S355" i="77"/>
  <c r="T355" i="77" s="1"/>
  <c r="Q355" i="77"/>
  <c r="R355" i="77" s="1"/>
  <c r="O355" i="77"/>
  <c r="P355" i="77" s="1"/>
  <c r="M355" i="77"/>
  <c r="N355" i="77" s="1"/>
  <c r="Y354" i="77"/>
  <c r="Z354" i="77" s="1"/>
  <c r="W354" i="77"/>
  <c r="X354" i="77" s="1"/>
  <c r="U354" i="77"/>
  <c r="V354" i="77" s="1"/>
  <c r="S354" i="77"/>
  <c r="T354" i="77" s="1"/>
  <c r="R354" i="77"/>
  <c r="Q354" i="77"/>
  <c r="O354" i="77"/>
  <c r="P354" i="77" s="1"/>
  <c r="M354" i="77"/>
  <c r="N354" i="77" s="1"/>
  <c r="Y353" i="77"/>
  <c r="Z353" i="77" s="1"/>
  <c r="W353" i="77"/>
  <c r="X353" i="77" s="1"/>
  <c r="U353" i="77"/>
  <c r="V353" i="77" s="1"/>
  <c r="S353" i="77"/>
  <c r="T353" i="77" s="1"/>
  <c r="Q353" i="77"/>
  <c r="R353" i="77" s="1"/>
  <c r="O353" i="77"/>
  <c r="P353" i="77" s="1"/>
  <c r="M353" i="77"/>
  <c r="N353" i="77" s="1"/>
  <c r="Y352" i="77"/>
  <c r="Z352" i="77" s="1"/>
  <c r="W352" i="77"/>
  <c r="X352" i="77" s="1"/>
  <c r="U352" i="77"/>
  <c r="V352" i="77" s="1"/>
  <c r="S352" i="77"/>
  <c r="T352" i="77" s="1"/>
  <c r="Q352" i="77"/>
  <c r="R352" i="77" s="1"/>
  <c r="O352" i="77"/>
  <c r="P352" i="77" s="1"/>
  <c r="M352" i="77"/>
  <c r="N352" i="77" s="1"/>
  <c r="Y351" i="77"/>
  <c r="Z351" i="77" s="1"/>
  <c r="W351" i="77"/>
  <c r="X351" i="77" s="1"/>
  <c r="U351" i="77"/>
  <c r="V351" i="77" s="1"/>
  <c r="S351" i="77"/>
  <c r="T351" i="77" s="1"/>
  <c r="R351" i="77"/>
  <c r="Q351" i="77"/>
  <c r="O351" i="77"/>
  <c r="P351" i="77" s="1"/>
  <c r="M351" i="77"/>
  <c r="N351" i="77" s="1"/>
  <c r="Y350" i="77"/>
  <c r="Z350" i="77" s="1"/>
  <c r="W350" i="77"/>
  <c r="X350" i="77" s="1"/>
  <c r="U350" i="77"/>
  <c r="V350" i="77" s="1"/>
  <c r="S350" i="77"/>
  <c r="T350" i="77" s="1"/>
  <c r="Q350" i="77"/>
  <c r="R350" i="77" s="1"/>
  <c r="O350" i="77"/>
  <c r="P350" i="77" s="1"/>
  <c r="N350" i="77"/>
  <c r="M350" i="77"/>
  <c r="Z349" i="77"/>
  <c r="Y349" i="77"/>
  <c r="W349" i="77"/>
  <c r="X349" i="77" s="1"/>
  <c r="U349" i="77"/>
  <c r="V349" i="77" s="1"/>
  <c r="S349" i="77"/>
  <c r="T349" i="77" s="1"/>
  <c r="Q349" i="77"/>
  <c r="R349" i="77" s="1"/>
  <c r="P349" i="77"/>
  <c r="O349" i="77"/>
  <c r="M349" i="77"/>
  <c r="N349" i="77" s="1"/>
  <c r="Y348" i="77"/>
  <c r="Z348" i="77" s="1"/>
  <c r="W348" i="77"/>
  <c r="X348" i="77" s="1"/>
  <c r="U348" i="77"/>
  <c r="V348" i="77" s="1"/>
  <c r="S348" i="77"/>
  <c r="T348" i="77" s="1"/>
  <c r="Q348" i="77"/>
  <c r="R348" i="77" s="1"/>
  <c r="O348" i="77"/>
  <c r="P348" i="77" s="1"/>
  <c r="M348" i="77"/>
  <c r="N348" i="77" s="1"/>
  <c r="Y347" i="77"/>
  <c r="Z347" i="77" s="1"/>
  <c r="W347" i="77"/>
  <c r="X347" i="77" s="1"/>
  <c r="U347" i="77"/>
  <c r="V347" i="77" s="1"/>
  <c r="S347" i="77"/>
  <c r="T347" i="77" s="1"/>
  <c r="Q347" i="77"/>
  <c r="R347" i="77" s="1"/>
  <c r="P347" i="77"/>
  <c r="O347" i="77"/>
  <c r="M347" i="77"/>
  <c r="N347" i="77" s="1"/>
  <c r="Y346" i="77"/>
  <c r="Z346" i="77" s="1"/>
  <c r="W346" i="77"/>
  <c r="X346" i="77" s="1"/>
  <c r="U346" i="77"/>
  <c r="V346" i="77" s="1"/>
  <c r="S346" i="77"/>
  <c r="T346" i="77" s="1"/>
  <c r="R346" i="77"/>
  <c r="Q346" i="77"/>
  <c r="O346" i="77"/>
  <c r="P346" i="77" s="1"/>
  <c r="M346" i="77"/>
  <c r="N346" i="77" s="1"/>
  <c r="Y345" i="77"/>
  <c r="Z345" i="77" s="1"/>
  <c r="W345" i="77"/>
  <c r="X345" i="77" s="1"/>
  <c r="U345" i="77"/>
  <c r="V345" i="77" s="1"/>
  <c r="T345" i="77"/>
  <c r="S345" i="77"/>
  <c r="Q345" i="77"/>
  <c r="R345" i="77" s="1"/>
  <c r="O345" i="77"/>
  <c r="P345" i="77" s="1"/>
  <c r="M345" i="77"/>
  <c r="N345" i="77" s="1"/>
  <c r="Y344" i="77"/>
  <c r="Z344" i="77" s="1"/>
  <c r="W344" i="77"/>
  <c r="X344" i="77" s="1"/>
  <c r="U344" i="77"/>
  <c r="V344" i="77" s="1"/>
  <c r="S344" i="77"/>
  <c r="T344" i="77" s="1"/>
  <c r="Q344" i="77"/>
  <c r="R344" i="77" s="1"/>
  <c r="O344" i="77"/>
  <c r="P344" i="77" s="1"/>
  <c r="M344" i="77"/>
  <c r="N344" i="77" s="1"/>
  <c r="Y343" i="77"/>
  <c r="Z343" i="77" s="1"/>
  <c r="W343" i="77"/>
  <c r="X343" i="77" s="1"/>
  <c r="V343" i="77"/>
  <c r="U343" i="77"/>
  <c r="T343" i="77"/>
  <c r="S343" i="77"/>
  <c r="Q343" i="77"/>
  <c r="R343" i="77" s="1"/>
  <c r="O343" i="77"/>
  <c r="P343" i="77" s="1"/>
  <c r="M343" i="77"/>
  <c r="N343" i="77" s="1"/>
  <c r="Y342" i="77"/>
  <c r="Z342" i="77" s="1"/>
  <c r="W342" i="77"/>
  <c r="X342" i="77" s="1"/>
  <c r="U342" i="77"/>
  <c r="V342" i="77" s="1"/>
  <c r="S342" i="77"/>
  <c r="T342" i="77" s="1"/>
  <c r="Q342" i="77"/>
  <c r="R342" i="77" s="1"/>
  <c r="O342" i="77"/>
  <c r="P342" i="77" s="1"/>
  <c r="M342" i="77"/>
  <c r="N342" i="77" s="1"/>
  <c r="Z341" i="77"/>
  <c r="Y341" i="77"/>
  <c r="X341" i="77"/>
  <c r="W341" i="77"/>
  <c r="U341" i="77"/>
  <c r="V341" i="77" s="1"/>
  <c r="S341" i="77"/>
  <c r="T341" i="77" s="1"/>
  <c r="Q341" i="77"/>
  <c r="R341" i="77" s="1"/>
  <c r="O341" i="77"/>
  <c r="P341" i="77" s="1"/>
  <c r="M341" i="77"/>
  <c r="N341" i="77" s="1"/>
  <c r="Y340" i="77"/>
  <c r="Z340" i="77" s="1"/>
  <c r="W340" i="77"/>
  <c r="X340" i="77" s="1"/>
  <c r="U340" i="77"/>
  <c r="V340" i="77" s="1"/>
  <c r="S340" i="77"/>
  <c r="T340" i="77" s="1"/>
  <c r="Q340" i="77"/>
  <c r="R340" i="77" s="1"/>
  <c r="O340" i="77"/>
  <c r="P340" i="77" s="1"/>
  <c r="M340" i="77"/>
  <c r="N340" i="77" s="1"/>
  <c r="Z339" i="77"/>
  <c r="Y339" i="77"/>
  <c r="W339" i="77"/>
  <c r="X339" i="77" s="1"/>
  <c r="U339" i="77"/>
  <c r="V339" i="77" s="1"/>
  <c r="S339" i="77"/>
  <c r="T339" i="77" s="1"/>
  <c r="Q339" i="77"/>
  <c r="R339" i="77" s="1"/>
  <c r="O339" i="77"/>
  <c r="P339" i="77" s="1"/>
  <c r="N339" i="77"/>
  <c r="M339" i="77"/>
  <c r="Y338" i="77"/>
  <c r="Z338" i="77" s="1"/>
  <c r="W338" i="77"/>
  <c r="X338" i="77" s="1"/>
  <c r="U338" i="77"/>
  <c r="V338" i="77" s="1"/>
  <c r="S338" i="77"/>
  <c r="T338" i="77" s="1"/>
  <c r="Q338" i="77"/>
  <c r="R338" i="77" s="1"/>
  <c r="O338" i="77"/>
  <c r="P338" i="77" s="1"/>
  <c r="M338" i="77"/>
  <c r="N338" i="77" s="1"/>
  <c r="Y337" i="77"/>
  <c r="Z337" i="77" s="1"/>
  <c r="X337" i="77"/>
  <c r="W337" i="77"/>
  <c r="U337" i="77"/>
  <c r="V337" i="77" s="1"/>
  <c r="S337" i="77"/>
  <c r="T337" i="77" s="1"/>
  <c r="Q337" i="77"/>
  <c r="R337" i="77" s="1"/>
  <c r="O337" i="77"/>
  <c r="P337" i="77" s="1"/>
  <c r="M337" i="77"/>
  <c r="N337" i="77" s="1"/>
  <c r="Y336" i="77"/>
  <c r="Z336" i="77" s="1"/>
  <c r="W336" i="77"/>
  <c r="X336" i="77" s="1"/>
  <c r="U336" i="77"/>
  <c r="V336" i="77" s="1"/>
  <c r="S336" i="77"/>
  <c r="T336" i="77" s="1"/>
  <c r="Q336" i="77"/>
  <c r="R336" i="77" s="1"/>
  <c r="O336" i="77"/>
  <c r="P336" i="77" s="1"/>
  <c r="M336" i="77"/>
  <c r="N336" i="77" s="1"/>
  <c r="Y335" i="77"/>
  <c r="Z335" i="77" s="1"/>
  <c r="W335" i="77"/>
  <c r="X335" i="77" s="1"/>
  <c r="U335" i="77"/>
  <c r="V335" i="77" s="1"/>
  <c r="S335" i="77"/>
  <c r="T335" i="77" s="1"/>
  <c r="Q335" i="77"/>
  <c r="R335" i="77" s="1"/>
  <c r="O335" i="77"/>
  <c r="P335" i="77" s="1"/>
  <c r="M335" i="77"/>
  <c r="N335" i="77" s="1"/>
  <c r="Y334" i="77"/>
  <c r="Z334" i="77" s="1"/>
  <c r="W334" i="77"/>
  <c r="X334" i="77" s="1"/>
  <c r="U334" i="77"/>
  <c r="V334" i="77" s="1"/>
  <c r="S334" i="77"/>
  <c r="T334" i="77" s="1"/>
  <c r="Q334" i="77"/>
  <c r="R334" i="77" s="1"/>
  <c r="O334" i="77"/>
  <c r="P334" i="77" s="1"/>
  <c r="M334" i="77"/>
  <c r="N334" i="77" s="1"/>
  <c r="AT9" i="77"/>
  <c r="AT10" i="77"/>
  <c r="AT11" i="77"/>
  <c r="AT12" i="77"/>
  <c r="AT13" i="77"/>
  <c r="AT14" i="77"/>
  <c r="AT15" i="77"/>
  <c r="AT16" i="77"/>
  <c r="AT17" i="77"/>
  <c r="AT18" i="77"/>
  <c r="AT19" i="77"/>
  <c r="AT20" i="77"/>
  <c r="AT21" i="77"/>
  <c r="AT22" i="77"/>
  <c r="AT23" i="77"/>
  <c r="AT24" i="77"/>
  <c r="AT25" i="77"/>
  <c r="AT26" i="77"/>
  <c r="AT27" i="77"/>
  <c r="AT28" i="77"/>
  <c r="AT29" i="77"/>
  <c r="AT30" i="77"/>
  <c r="AT31" i="77"/>
  <c r="AT32" i="77"/>
  <c r="AT33" i="77"/>
  <c r="AT34" i="77"/>
  <c r="AT35" i="77"/>
  <c r="AT36" i="77"/>
  <c r="AT37" i="77"/>
  <c r="AT38" i="77"/>
  <c r="AT39" i="77"/>
  <c r="AT40" i="77"/>
  <c r="AT41" i="77"/>
  <c r="AT42" i="77"/>
  <c r="AT43" i="77"/>
  <c r="AT44" i="77"/>
  <c r="AT45" i="77"/>
  <c r="AT46" i="77"/>
  <c r="AT47" i="77"/>
  <c r="AT48" i="77"/>
  <c r="AT49" i="77"/>
  <c r="AT50" i="77"/>
  <c r="AT51" i="77"/>
  <c r="AT52" i="77"/>
  <c r="AT53" i="77"/>
  <c r="AT54" i="77"/>
  <c r="AT55" i="77"/>
  <c r="AT56" i="77"/>
  <c r="AT57" i="77"/>
  <c r="AT58" i="77"/>
  <c r="AT59" i="77"/>
  <c r="AT60" i="77"/>
  <c r="AT61" i="77"/>
  <c r="AT62" i="77"/>
  <c r="AT63" i="77"/>
  <c r="AT64" i="77"/>
  <c r="AT65" i="77"/>
  <c r="AT66" i="77"/>
  <c r="AT67" i="77"/>
  <c r="AT68" i="77"/>
  <c r="AT69" i="77"/>
  <c r="AT70" i="77"/>
  <c r="AT71" i="77"/>
  <c r="AT72" i="77"/>
  <c r="AT73" i="77"/>
  <c r="AT74" i="77"/>
  <c r="AT75" i="77"/>
  <c r="AT76" i="77"/>
  <c r="AT77" i="77"/>
  <c r="AT78" i="77"/>
  <c r="AT79" i="77"/>
  <c r="AT80" i="77"/>
  <c r="AT81" i="77"/>
  <c r="AT82" i="77"/>
  <c r="AT83" i="77"/>
  <c r="AT84" i="77"/>
  <c r="AT85" i="77"/>
  <c r="AT86" i="77"/>
  <c r="AT87" i="77"/>
  <c r="AT8" i="77"/>
  <c r="M310" i="77" l="1"/>
  <c r="N310" i="77" s="1"/>
  <c r="O310" i="77"/>
  <c r="P310" i="77" s="1"/>
  <c r="Q310" i="77"/>
  <c r="R310" i="77" s="1"/>
  <c r="S310" i="77"/>
  <c r="T310" i="77" s="1"/>
  <c r="U310" i="77"/>
  <c r="V310" i="77" s="1"/>
  <c r="W310" i="77"/>
  <c r="X310" i="77" s="1"/>
  <c r="Y310" i="77"/>
  <c r="Z310" i="77" s="1"/>
  <c r="AC310" i="77"/>
  <c r="AD310" i="77" s="1"/>
  <c r="AG310" i="77"/>
  <c r="AH310" i="77" s="1"/>
  <c r="M311" i="77"/>
  <c r="N311" i="77" s="1"/>
  <c r="O311" i="77"/>
  <c r="P311" i="77" s="1"/>
  <c r="Q311" i="77"/>
  <c r="R311" i="77" s="1"/>
  <c r="S311" i="77"/>
  <c r="T311" i="77" s="1"/>
  <c r="U311" i="77"/>
  <c r="V311" i="77" s="1"/>
  <c r="W311" i="77"/>
  <c r="X311" i="77" s="1"/>
  <c r="Y311" i="77"/>
  <c r="Z311" i="77" s="1"/>
  <c r="AC311" i="77"/>
  <c r="AD311" i="77" s="1"/>
  <c r="AG311" i="77"/>
  <c r="AH311" i="77"/>
  <c r="M312" i="77"/>
  <c r="N312" i="77" s="1"/>
  <c r="O312" i="77"/>
  <c r="P312" i="77" s="1"/>
  <c r="Q312" i="77"/>
  <c r="R312" i="77" s="1"/>
  <c r="S312" i="77"/>
  <c r="T312" i="77" s="1"/>
  <c r="U312" i="77"/>
  <c r="V312" i="77" s="1"/>
  <c r="W312" i="77"/>
  <c r="X312" i="77" s="1"/>
  <c r="Y312" i="77"/>
  <c r="Z312" i="77" s="1"/>
  <c r="AC312" i="77"/>
  <c r="AD312" i="77" s="1"/>
  <c r="AG312" i="77"/>
  <c r="AH312" i="77" s="1"/>
  <c r="M313" i="77"/>
  <c r="N313" i="77" s="1"/>
  <c r="O313" i="77"/>
  <c r="P313" i="77" s="1"/>
  <c r="Q313" i="77"/>
  <c r="R313" i="77"/>
  <c r="S313" i="77"/>
  <c r="T313" i="77" s="1"/>
  <c r="U313" i="77"/>
  <c r="V313" i="77" s="1"/>
  <c r="W313" i="77"/>
  <c r="X313" i="77" s="1"/>
  <c r="Y313" i="77"/>
  <c r="Z313" i="77" s="1"/>
  <c r="AC313" i="77"/>
  <c r="AD313" i="77" s="1"/>
  <c r="AG313" i="77"/>
  <c r="AH313" i="77" s="1"/>
  <c r="M314" i="77"/>
  <c r="N314" i="77" s="1"/>
  <c r="O314" i="77"/>
  <c r="P314" i="77" s="1"/>
  <c r="Q314" i="77"/>
  <c r="R314" i="77"/>
  <c r="S314" i="77"/>
  <c r="T314" i="77" s="1"/>
  <c r="U314" i="77"/>
  <c r="V314" i="77" s="1"/>
  <c r="W314" i="77"/>
  <c r="X314" i="77" s="1"/>
  <c r="Y314" i="77"/>
  <c r="Z314" i="77" s="1"/>
  <c r="AC314" i="77"/>
  <c r="AD314" i="77" s="1"/>
  <c r="AG314" i="77"/>
  <c r="AH314" i="77" s="1"/>
  <c r="M315" i="77"/>
  <c r="N315" i="77"/>
  <c r="O315" i="77"/>
  <c r="P315" i="77" s="1"/>
  <c r="Q315" i="77"/>
  <c r="R315" i="77"/>
  <c r="S315" i="77"/>
  <c r="T315" i="77" s="1"/>
  <c r="U315" i="77"/>
  <c r="V315" i="77"/>
  <c r="W315" i="77"/>
  <c r="X315" i="77" s="1"/>
  <c r="Y315" i="77"/>
  <c r="Z315" i="77" s="1"/>
  <c r="AC315" i="77"/>
  <c r="AD315" i="77" s="1"/>
  <c r="AG315" i="77"/>
  <c r="AH315" i="77" s="1"/>
  <c r="M316" i="77"/>
  <c r="N316" i="77" s="1"/>
  <c r="O316" i="77"/>
  <c r="P316" i="77" s="1"/>
  <c r="Q316" i="77"/>
  <c r="R316" i="77" s="1"/>
  <c r="S316" i="77"/>
  <c r="T316" i="77" s="1"/>
  <c r="U316" i="77"/>
  <c r="V316" i="77"/>
  <c r="W316" i="77"/>
  <c r="X316" i="77" s="1"/>
  <c r="Y316" i="77"/>
  <c r="Z316" i="77" s="1"/>
  <c r="AC316" i="77"/>
  <c r="AD316" i="77" s="1"/>
  <c r="AG316" i="77"/>
  <c r="AH316" i="77" s="1"/>
  <c r="M317" i="77"/>
  <c r="N317" i="77"/>
  <c r="O317" i="77"/>
  <c r="P317" i="77" s="1"/>
  <c r="Q317" i="77"/>
  <c r="R317" i="77" s="1"/>
  <c r="S317" i="77"/>
  <c r="T317" i="77" s="1"/>
  <c r="U317" i="77"/>
  <c r="V317" i="77" s="1"/>
  <c r="W317" i="77"/>
  <c r="X317" i="77" s="1"/>
  <c r="Y317" i="77"/>
  <c r="Z317" i="77" s="1"/>
  <c r="AC317" i="77"/>
  <c r="AD317" i="77" s="1"/>
  <c r="AG317" i="77"/>
  <c r="AH317" i="77" s="1"/>
  <c r="M318" i="77"/>
  <c r="N318" i="77" s="1"/>
  <c r="O318" i="77"/>
  <c r="P318" i="77" s="1"/>
  <c r="Q318" i="77"/>
  <c r="R318" i="77" s="1"/>
  <c r="S318" i="77"/>
  <c r="T318" i="77" s="1"/>
  <c r="U318" i="77"/>
  <c r="V318" i="77" s="1"/>
  <c r="W318" i="77"/>
  <c r="X318" i="77" s="1"/>
  <c r="Y318" i="77"/>
  <c r="Z318" i="77"/>
  <c r="AC318" i="77"/>
  <c r="AD318" i="77" s="1"/>
  <c r="AG318" i="77"/>
  <c r="AH318" i="77" s="1"/>
  <c r="M319" i="77"/>
  <c r="N319" i="77" s="1"/>
  <c r="O319" i="77"/>
  <c r="P319" i="77" s="1"/>
  <c r="Q319" i="77"/>
  <c r="R319" i="77" s="1"/>
  <c r="S319" i="77"/>
  <c r="T319" i="77" s="1"/>
  <c r="U319" i="77"/>
  <c r="V319" i="77" s="1"/>
  <c r="W319" i="77"/>
  <c r="X319" i="77" s="1"/>
  <c r="Y319" i="77"/>
  <c r="Z319" i="77" s="1"/>
  <c r="AC319" i="77"/>
  <c r="AD319" i="77" s="1"/>
  <c r="AG319" i="77"/>
  <c r="AH319" i="77" s="1"/>
  <c r="M320" i="77"/>
  <c r="N320" i="77" s="1"/>
  <c r="O320" i="77"/>
  <c r="P320" i="77" s="1"/>
  <c r="Q320" i="77"/>
  <c r="R320" i="77" s="1"/>
  <c r="S320" i="77"/>
  <c r="T320" i="77" s="1"/>
  <c r="U320" i="77"/>
  <c r="V320" i="77" s="1"/>
  <c r="W320" i="77"/>
  <c r="X320" i="77"/>
  <c r="Y320" i="77"/>
  <c r="Z320" i="77" s="1"/>
  <c r="AC320" i="77"/>
  <c r="AD320" i="77" s="1"/>
  <c r="AG320" i="77"/>
  <c r="AH320" i="77" s="1"/>
  <c r="M321" i="77"/>
  <c r="N321" i="77" s="1"/>
  <c r="O321" i="77"/>
  <c r="P321" i="77" s="1"/>
  <c r="Q321" i="77"/>
  <c r="R321" i="77" s="1"/>
  <c r="S321" i="77"/>
  <c r="T321" i="77"/>
  <c r="U321" i="77"/>
  <c r="V321" i="77" s="1"/>
  <c r="W321" i="77"/>
  <c r="X321" i="77" s="1"/>
  <c r="Y321" i="77"/>
  <c r="Z321" i="77" s="1"/>
  <c r="AC321" i="77"/>
  <c r="AD321" i="77" s="1"/>
  <c r="AG321" i="77"/>
  <c r="AH321" i="77" s="1"/>
  <c r="M322" i="77"/>
  <c r="N322" i="77" s="1"/>
  <c r="O322" i="77"/>
  <c r="P322" i="77"/>
  <c r="Q322" i="77"/>
  <c r="R322" i="77" s="1"/>
  <c r="S322" i="77"/>
  <c r="T322" i="77" s="1"/>
  <c r="U322" i="77"/>
  <c r="V322" i="77" s="1"/>
  <c r="W322" i="77"/>
  <c r="X322" i="77" s="1"/>
  <c r="Y322" i="77"/>
  <c r="Z322" i="77" s="1"/>
  <c r="AC322" i="77"/>
  <c r="AD322" i="77" s="1"/>
  <c r="AG322" i="77"/>
  <c r="AH322" i="77" s="1"/>
  <c r="M323" i="77"/>
  <c r="N323" i="77" s="1"/>
  <c r="O323" i="77"/>
  <c r="P323" i="77" s="1"/>
  <c r="Q323" i="77"/>
  <c r="R323" i="77" s="1"/>
  <c r="S323" i="77"/>
  <c r="T323" i="77" s="1"/>
  <c r="U323" i="77"/>
  <c r="V323" i="77" s="1"/>
  <c r="W323" i="77"/>
  <c r="X323" i="77" s="1"/>
  <c r="Y323" i="77"/>
  <c r="Z323" i="77" s="1"/>
  <c r="AC323" i="77"/>
  <c r="AD323" i="77" s="1"/>
  <c r="AG323" i="77"/>
  <c r="AH323" i="77" s="1"/>
  <c r="M324" i="77"/>
  <c r="N324" i="77" s="1"/>
  <c r="O324" i="77"/>
  <c r="P324" i="77" s="1"/>
  <c r="Q324" i="77"/>
  <c r="R324" i="77" s="1"/>
  <c r="S324" i="77"/>
  <c r="T324" i="77" s="1"/>
  <c r="U324" i="77"/>
  <c r="V324" i="77" s="1"/>
  <c r="W324" i="77"/>
  <c r="X324" i="77" s="1"/>
  <c r="Y324" i="77"/>
  <c r="Z324" i="77" s="1"/>
  <c r="AC324" i="77"/>
  <c r="AD324" i="77" s="1"/>
  <c r="AG324" i="77"/>
  <c r="AH324" i="77" s="1"/>
  <c r="M325" i="77"/>
  <c r="N325" i="77" s="1"/>
  <c r="O325" i="77"/>
  <c r="P325" i="77" s="1"/>
  <c r="Q325" i="77"/>
  <c r="R325" i="77" s="1"/>
  <c r="S325" i="77"/>
  <c r="T325" i="77" s="1"/>
  <c r="U325" i="77"/>
  <c r="V325" i="77" s="1"/>
  <c r="W325" i="77"/>
  <c r="X325" i="77" s="1"/>
  <c r="Y325" i="77"/>
  <c r="Z325" i="77" s="1"/>
  <c r="AC325" i="77"/>
  <c r="AD325" i="77" s="1"/>
  <c r="AG325" i="77"/>
  <c r="AH325" i="77"/>
  <c r="M326" i="77"/>
  <c r="N326" i="77" s="1"/>
  <c r="O326" i="77"/>
  <c r="P326" i="77"/>
  <c r="Q326" i="77"/>
  <c r="R326" i="77" s="1"/>
  <c r="S326" i="77"/>
  <c r="T326" i="77" s="1"/>
  <c r="U326" i="77"/>
  <c r="V326" i="77" s="1"/>
  <c r="W326" i="77"/>
  <c r="X326" i="77" s="1"/>
  <c r="Y326" i="77"/>
  <c r="Z326" i="77"/>
  <c r="AC326" i="77"/>
  <c r="AD326" i="77"/>
  <c r="AG326" i="77"/>
  <c r="AH326" i="77" s="1"/>
  <c r="M327" i="77"/>
  <c r="N327" i="77" s="1"/>
  <c r="O327" i="77"/>
  <c r="P327" i="77" s="1"/>
  <c r="Q327" i="77"/>
  <c r="R327" i="77" s="1"/>
  <c r="S327" i="77"/>
  <c r="T327" i="77" s="1"/>
  <c r="U327" i="77"/>
  <c r="V327" i="77" s="1"/>
  <c r="W327" i="77"/>
  <c r="X327" i="77" s="1"/>
  <c r="Y327" i="77"/>
  <c r="Z327" i="77" s="1"/>
  <c r="AC327" i="77"/>
  <c r="AD327" i="77" s="1"/>
  <c r="AG327" i="77"/>
  <c r="AH327" i="77" s="1"/>
  <c r="M328" i="77"/>
  <c r="N328" i="77" s="1"/>
  <c r="O328" i="77"/>
  <c r="P328" i="77"/>
  <c r="Q328" i="77"/>
  <c r="R328" i="77" s="1"/>
  <c r="S328" i="77"/>
  <c r="T328" i="77" s="1"/>
  <c r="U328" i="77"/>
  <c r="V328" i="77" s="1"/>
  <c r="W328" i="77"/>
  <c r="X328" i="77" s="1"/>
  <c r="Y328" i="77"/>
  <c r="Z328" i="77" s="1"/>
  <c r="AC328" i="77"/>
  <c r="AD328" i="77" s="1"/>
  <c r="AG328" i="77"/>
  <c r="AH328" i="77" s="1"/>
  <c r="M329" i="77"/>
  <c r="N329" i="77" s="1"/>
  <c r="O329" i="77"/>
  <c r="P329" i="77" s="1"/>
  <c r="Q329" i="77"/>
  <c r="R329" i="77" s="1"/>
  <c r="S329" i="77"/>
  <c r="T329" i="77" s="1"/>
  <c r="U329" i="77"/>
  <c r="V329" i="77" s="1"/>
  <c r="W329" i="77"/>
  <c r="X329" i="77" s="1"/>
  <c r="Y329" i="77"/>
  <c r="Z329" i="77" s="1"/>
  <c r="AC329" i="77"/>
  <c r="AD329" i="77" s="1"/>
  <c r="AG329" i="77"/>
  <c r="AH329" i="77" s="1"/>
  <c r="M330" i="77"/>
  <c r="N330" i="77" s="1"/>
  <c r="O330" i="77"/>
  <c r="P330" i="77" s="1"/>
  <c r="Q330" i="77"/>
  <c r="R330" i="77" s="1"/>
  <c r="S330" i="77"/>
  <c r="T330" i="77" s="1"/>
  <c r="U330" i="77"/>
  <c r="V330" i="77" s="1"/>
  <c r="W330" i="77"/>
  <c r="X330" i="77" s="1"/>
  <c r="Y330" i="77"/>
  <c r="Z330" i="77" s="1"/>
  <c r="AC330" i="77"/>
  <c r="AD330" i="77" s="1"/>
  <c r="AG330" i="77"/>
  <c r="AH330" i="77" s="1"/>
  <c r="M331" i="77"/>
  <c r="N331" i="77" s="1"/>
  <c r="O331" i="77"/>
  <c r="P331" i="77" s="1"/>
  <c r="Q331" i="77"/>
  <c r="R331" i="77" s="1"/>
  <c r="S331" i="77"/>
  <c r="T331" i="77" s="1"/>
  <c r="U331" i="77"/>
  <c r="V331" i="77" s="1"/>
  <c r="W331" i="77"/>
  <c r="X331" i="77" s="1"/>
  <c r="Y331" i="77"/>
  <c r="Z331" i="77" s="1"/>
  <c r="AC331" i="77"/>
  <c r="AD331" i="77" s="1"/>
  <c r="AG331" i="77"/>
  <c r="AH331" i="77" s="1"/>
  <c r="M332" i="77"/>
  <c r="N332" i="77" s="1"/>
  <c r="O332" i="77"/>
  <c r="P332" i="77" s="1"/>
  <c r="Q332" i="77"/>
  <c r="R332" i="77" s="1"/>
  <c r="S332" i="77"/>
  <c r="T332" i="77" s="1"/>
  <c r="U332" i="77"/>
  <c r="V332" i="77" s="1"/>
  <c r="W332" i="77"/>
  <c r="X332" i="77" s="1"/>
  <c r="Y332" i="77"/>
  <c r="Z332" i="77" s="1"/>
  <c r="AC332" i="77"/>
  <c r="AD332" i="77" s="1"/>
  <c r="AG332" i="77"/>
  <c r="AH332" i="77" s="1"/>
  <c r="M333" i="77"/>
  <c r="N333" i="77" s="1"/>
  <c r="O333" i="77"/>
  <c r="P333" i="77" s="1"/>
  <c r="Q333" i="77"/>
  <c r="R333" i="77"/>
  <c r="S333" i="77"/>
  <c r="T333" i="77" s="1"/>
  <c r="U333" i="77"/>
  <c r="V333" i="77" s="1"/>
  <c r="W333" i="77"/>
  <c r="X333" i="77" s="1"/>
  <c r="Y333" i="77"/>
  <c r="Z333" i="77" s="1"/>
  <c r="AC333" i="77"/>
  <c r="AD333" i="77" s="1"/>
  <c r="AG333" i="77"/>
  <c r="AH333" i="77"/>
  <c r="CE30" i="80" l="1"/>
  <c r="CF30" i="80"/>
  <c r="CE31" i="80"/>
  <c r="CF31" i="80"/>
  <c r="CE32" i="80"/>
  <c r="CF32" i="80"/>
  <c r="CE33" i="80"/>
  <c r="CF33" i="80"/>
  <c r="CE34" i="80"/>
  <c r="CF34" i="80"/>
  <c r="CE35" i="80"/>
  <c r="CF35" i="80"/>
  <c r="CE20" i="80"/>
  <c r="CF20" i="80"/>
  <c r="CE21" i="80"/>
  <c r="CF21" i="80"/>
  <c r="CE22" i="80"/>
  <c r="CF22" i="80"/>
  <c r="CE23" i="80"/>
  <c r="CF23" i="80"/>
  <c r="CE24" i="80"/>
  <c r="CF24" i="80"/>
  <c r="CE25" i="80"/>
  <c r="CF25" i="80"/>
  <c r="CE26" i="80"/>
  <c r="CF26" i="80"/>
  <c r="CE27" i="80"/>
  <c r="CF27" i="80"/>
  <c r="CE28" i="80"/>
  <c r="CF28" i="80"/>
  <c r="CE29" i="80"/>
  <c r="CF29" i="80"/>
  <c r="BP54" i="80"/>
  <c r="BQ54" i="80"/>
  <c r="BR54" i="80"/>
  <c r="BS54" i="80"/>
  <c r="BT54" i="80"/>
  <c r="BU54" i="80"/>
  <c r="BP55" i="80"/>
  <c r="BQ55" i="80"/>
  <c r="BR55" i="80"/>
  <c r="BS55" i="80"/>
  <c r="BT55" i="80"/>
  <c r="BU55" i="80"/>
  <c r="BP56" i="80"/>
  <c r="BQ56" i="80"/>
  <c r="BR56" i="80"/>
  <c r="BS56" i="80"/>
  <c r="BT56" i="80"/>
  <c r="BU56" i="80"/>
  <c r="BP57" i="80"/>
  <c r="BQ57" i="80"/>
  <c r="BR57" i="80"/>
  <c r="BS57" i="80"/>
  <c r="BT57" i="80"/>
  <c r="BU57" i="80"/>
  <c r="BP58" i="80"/>
  <c r="BQ58" i="80"/>
  <c r="BR58" i="80"/>
  <c r="BS58" i="80"/>
  <c r="BT58" i="80"/>
  <c r="BU58" i="80"/>
  <c r="BP59" i="80"/>
  <c r="BQ59" i="80"/>
  <c r="BR59" i="80"/>
  <c r="BS59" i="80"/>
  <c r="BT59" i="80"/>
  <c r="BU59" i="80"/>
  <c r="BP60" i="80"/>
  <c r="BQ60" i="80"/>
  <c r="BR60" i="80"/>
  <c r="BS60" i="80"/>
  <c r="BT60" i="80"/>
  <c r="BU60" i="80"/>
  <c r="BP61" i="80"/>
  <c r="BQ61" i="80"/>
  <c r="BR61" i="80"/>
  <c r="BS61" i="80"/>
  <c r="BT61" i="80"/>
  <c r="BU61" i="80"/>
  <c r="BP62" i="80"/>
  <c r="BQ62" i="80"/>
  <c r="BR62" i="80"/>
  <c r="BS62" i="80"/>
  <c r="BT62" i="80"/>
  <c r="BU62" i="80"/>
  <c r="BP63" i="80"/>
  <c r="BQ63" i="80"/>
  <c r="BR63" i="80"/>
  <c r="BS63" i="80"/>
  <c r="BT63" i="80"/>
  <c r="BU63" i="80"/>
  <c r="BP64" i="80"/>
  <c r="BQ64" i="80"/>
  <c r="BR64" i="80"/>
  <c r="BS64" i="80"/>
  <c r="BT64" i="80"/>
  <c r="BU64" i="80"/>
  <c r="BP65" i="80"/>
  <c r="BQ65" i="80"/>
  <c r="BR65" i="80"/>
  <c r="BS65" i="80"/>
  <c r="BT65" i="80"/>
  <c r="BU65" i="80"/>
  <c r="BP66" i="80"/>
  <c r="BQ66" i="80"/>
  <c r="BR66" i="80"/>
  <c r="BS66" i="80"/>
  <c r="BT66" i="80"/>
  <c r="BU66" i="80"/>
  <c r="BP67" i="80"/>
  <c r="BQ67" i="80"/>
  <c r="BR67" i="80"/>
  <c r="BS67" i="80"/>
  <c r="BT67" i="80"/>
  <c r="BU67" i="80"/>
  <c r="BP68" i="80"/>
  <c r="BQ68" i="80"/>
  <c r="BR68" i="80"/>
  <c r="BS68" i="80"/>
  <c r="BT68" i="80"/>
  <c r="BU68" i="80"/>
  <c r="BP69" i="80"/>
  <c r="BQ69" i="80"/>
  <c r="BR69" i="80"/>
  <c r="BS69" i="80"/>
  <c r="BT69" i="80"/>
  <c r="BU69" i="80"/>
  <c r="BP70" i="80"/>
  <c r="BQ70" i="80"/>
  <c r="BR70" i="80"/>
  <c r="BS70" i="80"/>
  <c r="BT70" i="80"/>
  <c r="BU70" i="80"/>
  <c r="BP71" i="80"/>
  <c r="BQ71" i="80"/>
  <c r="BR71" i="80"/>
  <c r="BS71" i="80"/>
  <c r="BT71" i="80"/>
  <c r="BU71" i="80"/>
  <c r="BP72" i="80"/>
  <c r="BQ72" i="80"/>
  <c r="BR72" i="80"/>
  <c r="BS72" i="80"/>
  <c r="BT72" i="80"/>
  <c r="BU72" i="80"/>
  <c r="BP73" i="80"/>
  <c r="BQ73" i="80"/>
  <c r="BR73" i="80"/>
  <c r="BS73" i="80"/>
  <c r="BT73" i="80"/>
  <c r="BU73" i="80"/>
  <c r="BP74" i="80"/>
  <c r="BQ74" i="80"/>
  <c r="BR74" i="80"/>
  <c r="BS74" i="80"/>
  <c r="BT74" i="80"/>
  <c r="BU74" i="80"/>
  <c r="BP75" i="80"/>
  <c r="BQ75" i="80"/>
  <c r="BR75" i="80"/>
  <c r="BS75" i="80"/>
  <c r="BT75" i="80"/>
  <c r="BU75" i="80"/>
  <c r="BP76" i="80"/>
  <c r="BQ76" i="80"/>
  <c r="BR76" i="80"/>
  <c r="BS76" i="80"/>
  <c r="BT76" i="80"/>
  <c r="BU76" i="80"/>
  <c r="BP77" i="80"/>
  <c r="BQ77" i="80"/>
  <c r="BR77" i="80"/>
  <c r="BS77" i="80"/>
  <c r="BT77" i="80"/>
  <c r="BU77" i="80"/>
  <c r="BP78" i="80"/>
  <c r="BQ78" i="80"/>
  <c r="BR78" i="80"/>
  <c r="BS78" i="80"/>
  <c r="BT78" i="80"/>
  <c r="BU78" i="80"/>
  <c r="BP79" i="80"/>
  <c r="BQ79" i="80"/>
  <c r="BR79" i="80"/>
  <c r="BS79" i="80"/>
  <c r="BT79" i="80"/>
  <c r="BU79" i="80"/>
  <c r="BP80" i="80"/>
  <c r="BQ80" i="80"/>
  <c r="BR80" i="80"/>
  <c r="BS80" i="80"/>
  <c r="BT80" i="80"/>
  <c r="BU80" i="80"/>
  <c r="BP81" i="80"/>
  <c r="BQ81" i="80"/>
  <c r="BR81" i="80"/>
  <c r="BS81" i="80"/>
  <c r="BT81" i="80"/>
  <c r="BU81" i="80"/>
  <c r="BP82" i="80"/>
  <c r="BQ82" i="80"/>
  <c r="BR82" i="80"/>
  <c r="BS82" i="80"/>
  <c r="BT82" i="80"/>
  <c r="BU82" i="80"/>
  <c r="BP83" i="80"/>
  <c r="BQ83" i="80"/>
  <c r="BR83" i="80"/>
  <c r="BS83" i="80"/>
  <c r="BT83" i="80"/>
  <c r="BU83" i="80"/>
  <c r="BI104" i="80"/>
  <c r="BJ104" i="80"/>
  <c r="BK104" i="80"/>
  <c r="BL104" i="80"/>
  <c r="BM104" i="80"/>
  <c r="BN104" i="80"/>
  <c r="BW104" i="80"/>
  <c r="BX104" i="80"/>
  <c r="BY104" i="80"/>
  <c r="BZ104" i="80"/>
  <c r="CA104" i="80"/>
  <c r="CB104" i="80"/>
  <c r="CC104" i="80"/>
  <c r="BI105" i="80"/>
  <c r="BJ105" i="80"/>
  <c r="BK105" i="80"/>
  <c r="BL105" i="80"/>
  <c r="BM105" i="80"/>
  <c r="BN105" i="80"/>
  <c r="BW105" i="80"/>
  <c r="BX105" i="80"/>
  <c r="BY105" i="80"/>
  <c r="BZ105" i="80"/>
  <c r="CA105" i="80"/>
  <c r="CB105" i="80"/>
  <c r="CC105" i="80"/>
  <c r="BI106" i="80"/>
  <c r="BJ106" i="80"/>
  <c r="BK106" i="80"/>
  <c r="BL106" i="80"/>
  <c r="BM106" i="80"/>
  <c r="BN106" i="80"/>
  <c r="BW106" i="80"/>
  <c r="BX106" i="80"/>
  <c r="BY106" i="80"/>
  <c r="BZ106" i="80"/>
  <c r="CA106" i="80"/>
  <c r="CB106" i="80"/>
  <c r="CC106" i="80"/>
  <c r="BI107" i="80"/>
  <c r="BJ107" i="80"/>
  <c r="BK107" i="80"/>
  <c r="BL107" i="80"/>
  <c r="BM107" i="80"/>
  <c r="BN107" i="80"/>
  <c r="BW107" i="80"/>
  <c r="BX107" i="80"/>
  <c r="BY107" i="80"/>
  <c r="BZ107" i="80"/>
  <c r="CA107" i="80"/>
  <c r="CB107" i="80"/>
  <c r="CC107" i="80"/>
  <c r="BI108" i="80"/>
  <c r="BJ108" i="80"/>
  <c r="BK108" i="80"/>
  <c r="BL108" i="80"/>
  <c r="BM108" i="80"/>
  <c r="BN108" i="80"/>
  <c r="BW108" i="80"/>
  <c r="BX108" i="80"/>
  <c r="BY108" i="80"/>
  <c r="BZ108" i="80"/>
  <c r="CA108" i="80"/>
  <c r="CB108" i="80"/>
  <c r="CC108" i="80"/>
  <c r="BI109" i="80"/>
  <c r="BJ109" i="80"/>
  <c r="BK109" i="80"/>
  <c r="BL109" i="80"/>
  <c r="BM109" i="80"/>
  <c r="BN109" i="80"/>
  <c r="BW109" i="80"/>
  <c r="BX109" i="80"/>
  <c r="BY109" i="80"/>
  <c r="BZ109" i="80"/>
  <c r="CA109" i="80"/>
  <c r="CB109" i="80"/>
  <c r="CC109" i="80"/>
  <c r="BI110" i="80"/>
  <c r="BJ110" i="80"/>
  <c r="BK110" i="80"/>
  <c r="BL110" i="80"/>
  <c r="BM110" i="80"/>
  <c r="BN110" i="80"/>
  <c r="BW110" i="80"/>
  <c r="BX110" i="80"/>
  <c r="BY110" i="80"/>
  <c r="BZ110" i="80"/>
  <c r="CA110" i="80"/>
  <c r="CB110" i="80"/>
  <c r="CC110" i="80"/>
  <c r="BI111" i="80"/>
  <c r="BJ111" i="80"/>
  <c r="BK111" i="80"/>
  <c r="BL111" i="80"/>
  <c r="BM111" i="80"/>
  <c r="BN111" i="80"/>
  <c r="BW111" i="80"/>
  <c r="BX111" i="80"/>
  <c r="BY111" i="80"/>
  <c r="BZ111" i="80"/>
  <c r="CA111" i="80"/>
  <c r="CB111" i="80"/>
  <c r="CC111" i="80"/>
  <c r="BI112" i="80"/>
  <c r="BJ112" i="80"/>
  <c r="BK112" i="80"/>
  <c r="BL112" i="80"/>
  <c r="BM112" i="80"/>
  <c r="BN112" i="80"/>
  <c r="BW112" i="80"/>
  <c r="BX112" i="80"/>
  <c r="BY112" i="80"/>
  <c r="BZ112" i="80"/>
  <c r="CA112" i="80"/>
  <c r="CB112" i="80"/>
  <c r="CC112" i="80"/>
  <c r="BI113" i="80"/>
  <c r="BJ113" i="80"/>
  <c r="BK113" i="80"/>
  <c r="BL113" i="80"/>
  <c r="BM113" i="80"/>
  <c r="BN113" i="80"/>
  <c r="BW113" i="80"/>
  <c r="BX113" i="80"/>
  <c r="BY113" i="80"/>
  <c r="BZ113" i="80"/>
  <c r="CA113" i="80"/>
  <c r="CB113" i="80"/>
  <c r="CC113" i="80"/>
  <c r="BI114" i="80"/>
  <c r="BJ114" i="80"/>
  <c r="BK114" i="80"/>
  <c r="BL114" i="80"/>
  <c r="BM114" i="80"/>
  <c r="BN114" i="80"/>
  <c r="BW114" i="80"/>
  <c r="BX114" i="80"/>
  <c r="BY114" i="80"/>
  <c r="BZ114" i="80"/>
  <c r="CA114" i="80"/>
  <c r="CB114" i="80"/>
  <c r="CC114" i="80"/>
  <c r="BI115" i="80"/>
  <c r="BJ115" i="80"/>
  <c r="BK115" i="80"/>
  <c r="BL115" i="80"/>
  <c r="BM115" i="80"/>
  <c r="BN115" i="80"/>
  <c r="BW115" i="80"/>
  <c r="BX115" i="80"/>
  <c r="BY115" i="80"/>
  <c r="BZ115" i="80"/>
  <c r="CA115" i="80"/>
  <c r="CB115" i="80"/>
  <c r="CC115" i="80"/>
  <c r="BI116" i="80"/>
  <c r="BJ116" i="80"/>
  <c r="BK116" i="80"/>
  <c r="BL116" i="80"/>
  <c r="BM116" i="80"/>
  <c r="BN116" i="80"/>
  <c r="BW116" i="80"/>
  <c r="BX116" i="80"/>
  <c r="BY116" i="80"/>
  <c r="BZ116" i="80"/>
  <c r="CA116" i="80"/>
  <c r="CB116" i="80"/>
  <c r="CC116" i="80"/>
  <c r="BI117" i="80"/>
  <c r="BJ117" i="80"/>
  <c r="BK117" i="80"/>
  <c r="BL117" i="80"/>
  <c r="BM117" i="80"/>
  <c r="BN117" i="80"/>
  <c r="BW117" i="80"/>
  <c r="BX117" i="80"/>
  <c r="BY117" i="80"/>
  <c r="BZ117" i="80"/>
  <c r="CA117" i="80"/>
  <c r="CB117" i="80"/>
  <c r="CC117" i="80"/>
  <c r="BI118" i="80"/>
  <c r="BJ118" i="80"/>
  <c r="BK118" i="80"/>
  <c r="BL118" i="80"/>
  <c r="BM118" i="80"/>
  <c r="BN118" i="80"/>
  <c r="BW118" i="80"/>
  <c r="BX118" i="80"/>
  <c r="BY118" i="80"/>
  <c r="BZ118" i="80"/>
  <c r="CA118" i="80"/>
  <c r="CB118" i="80"/>
  <c r="CC118" i="80"/>
  <c r="BI119" i="80"/>
  <c r="BJ119" i="80"/>
  <c r="BK119" i="80"/>
  <c r="BL119" i="80"/>
  <c r="BM119" i="80"/>
  <c r="BN119" i="80"/>
  <c r="BW119" i="80"/>
  <c r="BX119" i="80"/>
  <c r="BY119" i="80"/>
  <c r="BZ119" i="80"/>
  <c r="CA119" i="80"/>
  <c r="CB119" i="80"/>
  <c r="CC119" i="80"/>
  <c r="BI120" i="80"/>
  <c r="BJ120" i="80"/>
  <c r="BK120" i="80"/>
  <c r="BL120" i="80"/>
  <c r="BM120" i="80"/>
  <c r="BN120" i="80"/>
  <c r="BW120" i="80"/>
  <c r="BX120" i="80"/>
  <c r="BY120" i="80"/>
  <c r="BZ120" i="80"/>
  <c r="CA120" i="80"/>
  <c r="CB120" i="80"/>
  <c r="CC120" i="80"/>
  <c r="BI121" i="80"/>
  <c r="BJ121" i="80"/>
  <c r="BK121" i="80"/>
  <c r="BL121" i="80"/>
  <c r="BM121" i="80"/>
  <c r="BN121" i="80"/>
  <c r="BW121" i="80"/>
  <c r="BX121" i="80"/>
  <c r="BY121" i="80"/>
  <c r="BZ121" i="80"/>
  <c r="CA121" i="80"/>
  <c r="CB121" i="80"/>
  <c r="CC121" i="80"/>
  <c r="BI122" i="80"/>
  <c r="BJ122" i="80"/>
  <c r="BK122" i="80"/>
  <c r="BL122" i="80"/>
  <c r="BM122" i="80"/>
  <c r="BN122" i="80"/>
  <c r="BW122" i="80"/>
  <c r="BX122" i="80"/>
  <c r="BY122" i="80"/>
  <c r="BZ122" i="80"/>
  <c r="CA122" i="80"/>
  <c r="CB122" i="80"/>
  <c r="CC122" i="80"/>
  <c r="BI123" i="80"/>
  <c r="BJ123" i="80"/>
  <c r="BK123" i="80"/>
  <c r="BL123" i="80"/>
  <c r="BM123" i="80"/>
  <c r="BN123" i="80"/>
  <c r="BW123" i="80"/>
  <c r="BX123" i="80"/>
  <c r="BY123" i="80"/>
  <c r="BZ123" i="80"/>
  <c r="CA123" i="80"/>
  <c r="CB123" i="80"/>
  <c r="CC123" i="80"/>
  <c r="BI124" i="80"/>
  <c r="BJ124" i="80"/>
  <c r="BK124" i="80"/>
  <c r="BL124" i="80"/>
  <c r="BM124" i="80"/>
  <c r="BN124" i="80"/>
  <c r="BW124" i="80"/>
  <c r="BX124" i="80"/>
  <c r="BY124" i="80"/>
  <c r="BZ124" i="80"/>
  <c r="CA124" i="80"/>
  <c r="CB124" i="80"/>
  <c r="CC124" i="80"/>
  <c r="BI125" i="80"/>
  <c r="BJ125" i="80"/>
  <c r="BK125" i="80"/>
  <c r="BL125" i="80"/>
  <c r="BM125" i="80"/>
  <c r="BN125" i="80"/>
  <c r="BW125" i="80"/>
  <c r="BX125" i="80"/>
  <c r="BY125" i="80"/>
  <c r="BZ125" i="80"/>
  <c r="CA125" i="80"/>
  <c r="CB125" i="80"/>
  <c r="CC125" i="80"/>
  <c r="BI126" i="80"/>
  <c r="BJ126" i="80"/>
  <c r="BK126" i="80"/>
  <c r="BL126" i="80"/>
  <c r="BM126" i="80"/>
  <c r="BN126" i="80"/>
  <c r="BW126" i="80"/>
  <c r="BX126" i="80"/>
  <c r="BY126" i="80"/>
  <c r="BZ126" i="80"/>
  <c r="CA126" i="80"/>
  <c r="CB126" i="80"/>
  <c r="CC126" i="80"/>
  <c r="BI127" i="80"/>
  <c r="BJ127" i="80"/>
  <c r="BK127" i="80"/>
  <c r="BL127" i="80"/>
  <c r="BM127" i="80"/>
  <c r="BN127" i="80"/>
  <c r="BW127" i="80"/>
  <c r="BX127" i="80"/>
  <c r="BY127" i="80"/>
  <c r="BZ127" i="80"/>
  <c r="CA127" i="80"/>
  <c r="CB127" i="80"/>
  <c r="CC127" i="80"/>
  <c r="BI128" i="80"/>
  <c r="BJ128" i="80"/>
  <c r="BK128" i="80"/>
  <c r="BL128" i="80"/>
  <c r="BM128" i="80"/>
  <c r="BN128" i="80"/>
  <c r="BW128" i="80"/>
  <c r="BX128" i="80"/>
  <c r="BY128" i="80"/>
  <c r="BZ128" i="80"/>
  <c r="CA128" i="80"/>
  <c r="CB128" i="80"/>
  <c r="CC128" i="80"/>
  <c r="BI129" i="80"/>
  <c r="BJ129" i="80"/>
  <c r="BK129" i="80"/>
  <c r="BL129" i="80"/>
  <c r="BM129" i="80"/>
  <c r="BN129" i="80"/>
  <c r="BW129" i="80"/>
  <c r="BX129" i="80"/>
  <c r="BY129" i="80"/>
  <c r="BZ129" i="80"/>
  <c r="CA129" i="80"/>
  <c r="CB129" i="80"/>
  <c r="CC129" i="80"/>
  <c r="BI130" i="80"/>
  <c r="BJ130" i="80"/>
  <c r="BK130" i="80"/>
  <c r="BL130" i="80"/>
  <c r="BM130" i="80"/>
  <c r="BN130" i="80"/>
  <c r="BW130" i="80"/>
  <c r="BX130" i="80"/>
  <c r="BY130" i="80"/>
  <c r="BZ130" i="80"/>
  <c r="CA130" i="80"/>
  <c r="CB130" i="80"/>
  <c r="CC130" i="80"/>
  <c r="BI131" i="80"/>
  <c r="BJ131" i="80"/>
  <c r="BK131" i="80"/>
  <c r="BL131" i="80"/>
  <c r="BM131" i="80"/>
  <c r="BN131" i="80"/>
  <c r="BW131" i="80"/>
  <c r="BX131" i="80"/>
  <c r="BY131" i="80"/>
  <c r="BZ131" i="80"/>
  <c r="CA131" i="80"/>
  <c r="CB131" i="80"/>
  <c r="CC131" i="80"/>
  <c r="BI132" i="80"/>
  <c r="BJ132" i="80"/>
  <c r="BK132" i="80"/>
  <c r="BL132" i="80"/>
  <c r="BM132" i="80"/>
  <c r="BN132" i="80"/>
  <c r="BW132" i="80"/>
  <c r="BX132" i="80"/>
  <c r="BY132" i="80"/>
  <c r="BZ132" i="80"/>
  <c r="CA132" i="80"/>
  <c r="CB132" i="80"/>
  <c r="CC132" i="80"/>
  <c r="BI133" i="80"/>
  <c r="BJ133" i="80"/>
  <c r="BK133" i="80"/>
  <c r="BL133" i="80"/>
  <c r="BM133" i="80"/>
  <c r="BN133" i="80"/>
  <c r="BW133" i="80"/>
  <c r="BX133" i="80"/>
  <c r="BY133" i="80"/>
  <c r="BZ133" i="80"/>
  <c r="CA133" i="80"/>
  <c r="CB133" i="80"/>
  <c r="CC133" i="80"/>
  <c r="BI134" i="80"/>
  <c r="BJ134" i="80"/>
  <c r="BK134" i="80"/>
  <c r="BL134" i="80"/>
  <c r="BM134" i="80"/>
  <c r="BN134" i="80"/>
  <c r="BW134" i="80"/>
  <c r="BX134" i="80"/>
  <c r="BY134" i="80"/>
  <c r="BZ134" i="80"/>
  <c r="CA134" i="80"/>
  <c r="CB134" i="80"/>
  <c r="CC134" i="80"/>
  <c r="BI135" i="80"/>
  <c r="BJ135" i="80"/>
  <c r="BK135" i="80"/>
  <c r="BL135" i="80"/>
  <c r="BM135" i="80"/>
  <c r="BN135" i="80"/>
  <c r="BW135" i="80"/>
  <c r="BX135" i="80"/>
  <c r="BY135" i="80"/>
  <c r="BZ135" i="80"/>
  <c r="CA135" i="80"/>
  <c r="CB135" i="80"/>
  <c r="CC135" i="80"/>
  <c r="BI136" i="80"/>
  <c r="BJ136" i="80"/>
  <c r="BK136" i="80"/>
  <c r="BL136" i="80"/>
  <c r="BM136" i="80"/>
  <c r="BN136" i="80"/>
  <c r="BW136" i="80"/>
  <c r="BX136" i="80"/>
  <c r="BY136" i="80"/>
  <c r="BZ136" i="80"/>
  <c r="CA136" i="80"/>
  <c r="CB136" i="80"/>
  <c r="CC136" i="80"/>
  <c r="BI137" i="80"/>
  <c r="BJ137" i="80"/>
  <c r="BK137" i="80"/>
  <c r="BL137" i="80"/>
  <c r="BM137" i="80"/>
  <c r="BN137" i="80"/>
  <c r="BW137" i="80"/>
  <c r="BX137" i="80"/>
  <c r="BY137" i="80"/>
  <c r="BZ137" i="80"/>
  <c r="CA137" i="80"/>
  <c r="CB137" i="80"/>
  <c r="CC137" i="80"/>
  <c r="BI138" i="80"/>
  <c r="BJ138" i="80"/>
  <c r="BK138" i="80"/>
  <c r="BL138" i="80"/>
  <c r="BM138" i="80"/>
  <c r="BN138" i="80"/>
  <c r="BW138" i="80"/>
  <c r="BX138" i="80"/>
  <c r="BY138" i="80"/>
  <c r="BZ138" i="80"/>
  <c r="CA138" i="80"/>
  <c r="CB138" i="80"/>
  <c r="CC138" i="80"/>
  <c r="BI139" i="80"/>
  <c r="BJ139" i="80"/>
  <c r="BK139" i="80"/>
  <c r="BL139" i="80"/>
  <c r="BM139" i="80"/>
  <c r="BN139" i="80"/>
  <c r="BW139" i="80"/>
  <c r="BX139" i="80"/>
  <c r="BY139" i="80"/>
  <c r="BZ139" i="80"/>
  <c r="CA139" i="80"/>
  <c r="CB139" i="80"/>
  <c r="CC139" i="80"/>
  <c r="BI140" i="80"/>
  <c r="BJ140" i="80"/>
  <c r="BK140" i="80"/>
  <c r="BL140" i="80"/>
  <c r="BM140" i="80"/>
  <c r="BN140" i="80"/>
  <c r="BW140" i="80"/>
  <c r="BX140" i="80"/>
  <c r="BY140" i="80"/>
  <c r="BZ140" i="80"/>
  <c r="CA140" i="80"/>
  <c r="CB140" i="80"/>
  <c r="CC140" i="80"/>
  <c r="BI141" i="80"/>
  <c r="BJ141" i="80"/>
  <c r="BK141" i="80"/>
  <c r="BL141" i="80"/>
  <c r="BM141" i="80"/>
  <c r="BN141" i="80"/>
  <c r="BW141" i="80"/>
  <c r="BX141" i="80"/>
  <c r="BY141" i="80"/>
  <c r="BZ141" i="80"/>
  <c r="CA141" i="80"/>
  <c r="CB141" i="80"/>
  <c r="CC141" i="80"/>
  <c r="BI142" i="80"/>
  <c r="BJ142" i="80"/>
  <c r="BK142" i="80"/>
  <c r="BL142" i="80"/>
  <c r="BM142" i="80"/>
  <c r="BN142" i="80"/>
  <c r="BW142" i="80"/>
  <c r="BX142" i="80"/>
  <c r="BY142" i="80"/>
  <c r="BZ142" i="80"/>
  <c r="CA142" i="80"/>
  <c r="CB142" i="80"/>
  <c r="CC142" i="80"/>
  <c r="BI143" i="80"/>
  <c r="BJ143" i="80"/>
  <c r="BK143" i="80"/>
  <c r="BL143" i="80"/>
  <c r="BM143" i="80"/>
  <c r="BN143" i="80"/>
  <c r="BW143" i="80"/>
  <c r="BX143" i="80"/>
  <c r="BY143" i="80"/>
  <c r="BZ143" i="80"/>
  <c r="CA143" i="80"/>
  <c r="CB143" i="80"/>
  <c r="CC143" i="80"/>
  <c r="BI144" i="80"/>
  <c r="BJ144" i="80"/>
  <c r="BK144" i="80"/>
  <c r="BL144" i="80"/>
  <c r="BM144" i="80"/>
  <c r="BN144" i="80"/>
  <c r="BW144" i="80"/>
  <c r="BX144" i="80"/>
  <c r="BY144" i="80"/>
  <c r="BZ144" i="80"/>
  <c r="CA144" i="80"/>
  <c r="CB144" i="80"/>
  <c r="CC144" i="80"/>
  <c r="BI145" i="80"/>
  <c r="BJ145" i="80"/>
  <c r="BK145" i="80"/>
  <c r="BL145" i="80"/>
  <c r="BM145" i="80"/>
  <c r="BN145" i="80"/>
  <c r="BW145" i="80"/>
  <c r="BX145" i="80"/>
  <c r="BY145" i="80"/>
  <c r="BZ145" i="80"/>
  <c r="CA145" i="80"/>
  <c r="CB145" i="80"/>
  <c r="CC145" i="80"/>
  <c r="BI146" i="80"/>
  <c r="BJ146" i="80"/>
  <c r="BK146" i="80"/>
  <c r="BL146" i="80"/>
  <c r="BM146" i="80"/>
  <c r="BN146" i="80"/>
  <c r="BW146" i="80"/>
  <c r="BX146" i="80"/>
  <c r="BY146" i="80"/>
  <c r="BZ146" i="80"/>
  <c r="CA146" i="80"/>
  <c r="CB146" i="80"/>
  <c r="CC146" i="80"/>
  <c r="BI147" i="80"/>
  <c r="BJ147" i="80"/>
  <c r="BK147" i="80"/>
  <c r="BL147" i="80"/>
  <c r="BM147" i="80"/>
  <c r="BN147" i="80"/>
  <c r="BW147" i="80"/>
  <c r="BX147" i="80"/>
  <c r="BY147" i="80"/>
  <c r="BZ147" i="80"/>
  <c r="CA147" i="80"/>
  <c r="CB147" i="80"/>
  <c r="CC147" i="80"/>
  <c r="BI148" i="80"/>
  <c r="BJ148" i="80"/>
  <c r="BK148" i="80"/>
  <c r="BL148" i="80"/>
  <c r="BM148" i="80"/>
  <c r="BN148" i="80"/>
  <c r="BW148" i="80"/>
  <c r="BX148" i="80"/>
  <c r="BY148" i="80"/>
  <c r="BZ148" i="80"/>
  <c r="CA148" i="80"/>
  <c r="CB148" i="80"/>
  <c r="CC148" i="80"/>
  <c r="BI149" i="80"/>
  <c r="BJ149" i="80"/>
  <c r="BK149" i="80"/>
  <c r="BL149" i="80"/>
  <c r="BM149" i="80"/>
  <c r="BN149" i="80"/>
  <c r="BW149" i="80"/>
  <c r="BX149" i="80"/>
  <c r="BY149" i="80"/>
  <c r="BZ149" i="80"/>
  <c r="CA149" i="80"/>
  <c r="CB149" i="80"/>
  <c r="CC149" i="80"/>
  <c r="BI150" i="80"/>
  <c r="BJ150" i="80"/>
  <c r="BK150" i="80"/>
  <c r="BL150" i="80"/>
  <c r="BM150" i="80"/>
  <c r="BN150" i="80"/>
  <c r="BW150" i="80"/>
  <c r="BX150" i="80"/>
  <c r="BY150" i="80"/>
  <c r="BZ150" i="80"/>
  <c r="CA150" i="80"/>
  <c r="CB150" i="80"/>
  <c r="CC150" i="80"/>
  <c r="BI151" i="80"/>
  <c r="BJ151" i="80"/>
  <c r="BK151" i="80"/>
  <c r="BL151" i="80"/>
  <c r="BM151" i="80"/>
  <c r="BN151" i="80"/>
  <c r="BW151" i="80"/>
  <c r="BX151" i="80"/>
  <c r="BY151" i="80"/>
  <c r="BZ151" i="80"/>
  <c r="CA151" i="80"/>
  <c r="CB151" i="80"/>
  <c r="CC151" i="80"/>
  <c r="BI152" i="80"/>
  <c r="BJ152" i="80"/>
  <c r="BK152" i="80"/>
  <c r="BL152" i="80"/>
  <c r="BM152" i="80"/>
  <c r="BN152" i="80"/>
  <c r="BW152" i="80"/>
  <c r="BX152" i="80"/>
  <c r="BY152" i="80"/>
  <c r="BZ152" i="80"/>
  <c r="CA152" i="80"/>
  <c r="CB152" i="80"/>
  <c r="CC152" i="80"/>
  <c r="BI153" i="80"/>
  <c r="BJ153" i="80"/>
  <c r="BK153" i="80"/>
  <c r="BL153" i="80"/>
  <c r="BM153" i="80"/>
  <c r="BN153" i="80"/>
  <c r="BW153" i="80"/>
  <c r="BX153" i="80"/>
  <c r="BY153" i="80"/>
  <c r="BZ153" i="80"/>
  <c r="CA153" i="80"/>
  <c r="CB153" i="80"/>
  <c r="CC153" i="80"/>
  <c r="BI154" i="80"/>
  <c r="BJ154" i="80"/>
  <c r="BK154" i="80"/>
  <c r="BL154" i="80"/>
  <c r="BM154" i="80"/>
  <c r="BN154" i="80"/>
  <c r="BW154" i="80"/>
  <c r="BX154" i="80"/>
  <c r="BY154" i="80"/>
  <c r="BZ154" i="80"/>
  <c r="CA154" i="80"/>
  <c r="CB154" i="80"/>
  <c r="CC154" i="80"/>
  <c r="BI155" i="80"/>
  <c r="BJ155" i="80"/>
  <c r="BK155" i="80"/>
  <c r="BL155" i="80"/>
  <c r="BM155" i="80"/>
  <c r="BN155" i="80"/>
  <c r="BW155" i="80"/>
  <c r="BX155" i="80"/>
  <c r="BY155" i="80"/>
  <c r="BZ155" i="80"/>
  <c r="CA155" i="80"/>
  <c r="CB155" i="80"/>
  <c r="CC155" i="80"/>
  <c r="BI156" i="80"/>
  <c r="BJ156" i="80"/>
  <c r="BK156" i="80"/>
  <c r="BL156" i="80"/>
  <c r="BM156" i="80"/>
  <c r="BN156" i="80"/>
  <c r="BW156" i="80"/>
  <c r="BX156" i="80"/>
  <c r="BY156" i="80"/>
  <c r="BZ156" i="80"/>
  <c r="CA156" i="80"/>
  <c r="CB156" i="80"/>
  <c r="CC156" i="80"/>
  <c r="BI157" i="80"/>
  <c r="BJ157" i="80"/>
  <c r="BK157" i="80"/>
  <c r="BL157" i="80"/>
  <c r="BM157" i="80"/>
  <c r="BN157" i="80"/>
  <c r="BW157" i="80"/>
  <c r="BX157" i="80"/>
  <c r="BY157" i="80"/>
  <c r="BZ157" i="80"/>
  <c r="CA157" i="80"/>
  <c r="CB157" i="80"/>
  <c r="CC157" i="80"/>
  <c r="BI158" i="80"/>
  <c r="BJ158" i="80"/>
  <c r="BK158" i="80"/>
  <c r="BL158" i="80"/>
  <c r="BM158" i="80"/>
  <c r="BN158" i="80"/>
  <c r="BW158" i="80"/>
  <c r="BX158" i="80"/>
  <c r="BY158" i="80"/>
  <c r="BZ158" i="80"/>
  <c r="CA158" i="80"/>
  <c r="CB158" i="80"/>
  <c r="CC158" i="80"/>
  <c r="BI159" i="80"/>
  <c r="BJ159" i="80"/>
  <c r="BK159" i="80"/>
  <c r="BL159" i="80"/>
  <c r="BM159" i="80"/>
  <c r="BN159" i="80"/>
  <c r="BW159" i="80"/>
  <c r="BX159" i="80"/>
  <c r="BY159" i="80"/>
  <c r="BZ159" i="80"/>
  <c r="CA159" i="80"/>
  <c r="CB159" i="80"/>
  <c r="CC159" i="80"/>
  <c r="BI160" i="80"/>
  <c r="BJ160" i="80"/>
  <c r="BK160" i="80"/>
  <c r="BL160" i="80"/>
  <c r="BM160" i="80"/>
  <c r="BN160" i="80"/>
  <c r="BW160" i="80"/>
  <c r="BX160" i="80"/>
  <c r="BY160" i="80"/>
  <c r="BZ160" i="80"/>
  <c r="CA160" i="80"/>
  <c r="CB160" i="80"/>
  <c r="CC160" i="80"/>
  <c r="BI161" i="80"/>
  <c r="BJ161" i="80"/>
  <c r="BK161" i="80"/>
  <c r="BL161" i="80"/>
  <c r="BM161" i="80"/>
  <c r="BN161" i="80"/>
  <c r="BW161" i="80"/>
  <c r="BX161" i="80"/>
  <c r="BY161" i="80"/>
  <c r="BZ161" i="80"/>
  <c r="CA161" i="80"/>
  <c r="CB161" i="80"/>
  <c r="CC161" i="80"/>
  <c r="BI162" i="80"/>
  <c r="BJ162" i="80"/>
  <c r="BK162" i="80"/>
  <c r="BL162" i="80"/>
  <c r="BM162" i="80"/>
  <c r="BN162" i="80"/>
  <c r="BW162" i="80"/>
  <c r="BX162" i="80"/>
  <c r="BY162" i="80"/>
  <c r="BZ162" i="80"/>
  <c r="CA162" i="80"/>
  <c r="CB162" i="80"/>
  <c r="CC162" i="80"/>
  <c r="BI163" i="80"/>
  <c r="BJ163" i="80"/>
  <c r="BK163" i="80"/>
  <c r="BL163" i="80"/>
  <c r="BM163" i="80"/>
  <c r="BN163" i="80"/>
  <c r="BW163" i="80"/>
  <c r="BX163" i="80"/>
  <c r="BY163" i="80"/>
  <c r="BZ163" i="80"/>
  <c r="CA163" i="80"/>
  <c r="CB163" i="80"/>
  <c r="CC163" i="80"/>
  <c r="AL54" i="80"/>
  <c r="AM54" i="80"/>
  <c r="AN54" i="80"/>
  <c r="AO54" i="80"/>
  <c r="AP54" i="80"/>
  <c r="AQ54" i="80"/>
  <c r="AS54" i="80"/>
  <c r="AT54" i="80"/>
  <c r="AU54" i="80"/>
  <c r="AV54" i="80"/>
  <c r="AW54" i="80"/>
  <c r="AX54" i="80"/>
  <c r="AL55" i="80"/>
  <c r="AM55" i="80"/>
  <c r="D314" i="77" s="1"/>
  <c r="AN55" i="80"/>
  <c r="AO55" i="80"/>
  <c r="AP55" i="80"/>
  <c r="AQ55" i="80"/>
  <c r="AS55" i="80"/>
  <c r="AT55" i="80"/>
  <c r="AU55" i="80"/>
  <c r="AV55" i="80"/>
  <c r="AW55" i="80"/>
  <c r="AX55" i="80"/>
  <c r="AL56" i="80"/>
  <c r="AM56" i="80"/>
  <c r="AN56" i="80"/>
  <c r="AO56" i="80"/>
  <c r="AP56" i="80"/>
  <c r="AQ56" i="80"/>
  <c r="AS56" i="80"/>
  <c r="AT56" i="80"/>
  <c r="AU56" i="80"/>
  <c r="AV56" i="80"/>
  <c r="AW56" i="80"/>
  <c r="AX56" i="80"/>
  <c r="AL57" i="80"/>
  <c r="AM57" i="80"/>
  <c r="D324" i="77" s="1"/>
  <c r="AN57" i="80"/>
  <c r="AO57" i="80"/>
  <c r="AP57" i="80"/>
  <c r="AQ57" i="80"/>
  <c r="AS57" i="80"/>
  <c r="AT57" i="80"/>
  <c r="AU57" i="80"/>
  <c r="AV57" i="80"/>
  <c r="AW57" i="80"/>
  <c r="AX57" i="80"/>
  <c r="AL58" i="80"/>
  <c r="AM58" i="80"/>
  <c r="AN58" i="80"/>
  <c r="AO58" i="80"/>
  <c r="AP58" i="80"/>
  <c r="AQ58" i="80"/>
  <c r="AS58" i="80"/>
  <c r="AT58" i="80"/>
  <c r="AU58" i="80"/>
  <c r="AV58" i="80"/>
  <c r="AW58" i="80"/>
  <c r="AX58" i="80"/>
  <c r="AL59" i="80"/>
  <c r="AM59" i="80"/>
  <c r="AN59" i="80"/>
  <c r="AO59" i="80"/>
  <c r="AP59" i="80"/>
  <c r="AQ59" i="80"/>
  <c r="AS59" i="80"/>
  <c r="AT59" i="80"/>
  <c r="AU59" i="80"/>
  <c r="AV59" i="80"/>
  <c r="AW59" i="80"/>
  <c r="AX59" i="80"/>
  <c r="AL60" i="80"/>
  <c r="AM60" i="80"/>
  <c r="AN60" i="80"/>
  <c r="AO60" i="80"/>
  <c r="AP60" i="80"/>
  <c r="AQ60" i="80"/>
  <c r="AS60" i="80"/>
  <c r="AT60" i="80"/>
  <c r="AU60" i="80"/>
  <c r="AV60" i="80"/>
  <c r="AW60" i="80"/>
  <c r="AX60" i="80"/>
  <c r="AL61" i="80"/>
  <c r="AM61" i="80"/>
  <c r="AN61" i="80"/>
  <c r="AO61" i="80"/>
  <c r="AP61" i="80"/>
  <c r="AQ61" i="80"/>
  <c r="AS61" i="80"/>
  <c r="AT61" i="80"/>
  <c r="AU61" i="80"/>
  <c r="AV61" i="80"/>
  <c r="AW61" i="80"/>
  <c r="AX61" i="80"/>
  <c r="AL62" i="80"/>
  <c r="AM62" i="80"/>
  <c r="AN62" i="80"/>
  <c r="AO62" i="80"/>
  <c r="AP62" i="80"/>
  <c r="AQ62" i="80"/>
  <c r="AS62" i="80"/>
  <c r="AT62" i="80"/>
  <c r="AU62" i="80"/>
  <c r="AV62" i="80"/>
  <c r="AW62" i="80"/>
  <c r="AX62" i="80"/>
  <c r="AL63" i="80"/>
  <c r="AM63" i="80"/>
  <c r="AN63" i="80"/>
  <c r="AO63" i="80"/>
  <c r="AP63" i="80"/>
  <c r="AQ63" i="80"/>
  <c r="AS63" i="80"/>
  <c r="AT63" i="80"/>
  <c r="AU63" i="80"/>
  <c r="AV63" i="80"/>
  <c r="AW63" i="80"/>
  <c r="AX63" i="80"/>
  <c r="AL64" i="80"/>
  <c r="AM64" i="80"/>
  <c r="AN64" i="80"/>
  <c r="AO64" i="80"/>
  <c r="AP64" i="80"/>
  <c r="AQ64" i="80"/>
  <c r="AS64" i="80"/>
  <c r="AT64" i="80"/>
  <c r="AU64" i="80"/>
  <c r="AV64" i="80"/>
  <c r="AW64" i="80"/>
  <c r="AX64" i="80"/>
  <c r="AL65" i="80"/>
  <c r="AM65" i="80"/>
  <c r="AN65" i="80"/>
  <c r="AO65" i="80"/>
  <c r="AP65" i="80"/>
  <c r="AQ65" i="80"/>
  <c r="AS65" i="80"/>
  <c r="AT65" i="80"/>
  <c r="AU65" i="80"/>
  <c r="AV65" i="80"/>
  <c r="AW65" i="80"/>
  <c r="AX65" i="80"/>
  <c r="AL66" i="80"/>
  <c r="AM66" i="80"/>
  <c r="AN66" i="80"/>
  <c r="AO66" i="80"/>
  <c r="AP66" i="80"/>
  <c r="AQ66" i="80"/>
  <c r="AS66" i="80"/>
  <c r="AT66" i="80"/>
  <c r="AU66" i="80"/>
  <c r="AV66" i="80"/>
  <c r="AW66" i="80"/>
  <c r="AX66" i="80"/>
  <c r="AL67" i="80"/>
  <c r="AM67" i="80"/>
  <c r="AN67" i="80"/>
  <c r="AO67" i="80"/>
  <c r="AP67" i="80"/>
  <c r="AQ67" i="80"/>
  <c r="AS67" i="80"/>
  <c r="AT67" i="80"/>
  <c r="AU67" i="80"/>
  <c r="AV67" i="80"/>
  <c r="AW67" i="80"/>
  <c r="AX67" i="80"/>
  <c r="AL68" i="80"/>
  <c r="AM68" i="80"/>
  <c r="AN68" i="80"/>
  <c r="AO68" i="80"/>
  <c r="AP68" i="80"/>
  <c r="AQ68" i="80"/>
  <c r="AS68" i="80"/>
  <c r="AT68" i="80"/>
  <c r="AU68" i="80"/>
  <c r="AV68" i="80"/>
  <c r="AW68" i="80"/>
  <c r="AX68" i="80"/>
  <c r="AL69" i="80"/>
  <c r="AM69" i="80"/>
  <c r="AN69" i="80"/>
  <c r="AO69" i="80"/>
  <c r="AP69" i="80"/>
  <c r="AQ69" i="80"/>
  <c r="AS69" i="80"/>
  <c r="AT69" i="80"/>
  <c r="AU69" i="80"/>
  <c r="AV69" i="80"/>
  <c r="AW69" i="80"/>
  <c r="AX69" i="80"/>
  <c r="AL70" i="80"/>
  <c r="AM70" i="80"/>
  <c r="AN70" i="80"/>
  <c r="AO70" i="80"/>
  <c r="AP70" i="80"/>
  <c r="AQ70" i="80"/>
  <c r="AS70" i="80"/>
  <c r="AT70" i="80"/>
  <c r="AU70" i="80"/>
  <c r="AV70" i="80"/>
  <c r="AW70" i="80"/>
  <c r="AX70" i="80"/>
  <c r="AL71" i="80"/>
  <c r="AM71" i="80"/>
  <c r="AN71" i="80"/>
  <c r="AO71" i="80"/>
  <c r="AP71" i="80"/>
  <c r="AQ71" i="80"/>
  <c r="AS71" i="80"/>
  <c r="AT71" i="80"/>
  <c r="AU71" i="80"/>
  <c r="AV71" i="80"/>
  <c r="AW71" i="80"/>
  <c r="AX71" i="80"/>
  <c r="AL72" i="80"/>
  <c r="AM72" i="80"/>
  <c r="AN72" i="80"/>
  <c r="AO72" i="80"/>
  <c r="AP72" i="80"/>
  <c r="AQ72" i="80"/>
  <c r="AS72" i="80"/>
  <c r="AT72" i="80"/>
  <c r="AU72" i="80"/>
  <c r="AV72" i="80"/>
  <c r="AW72" i="80"/>
  <c r="AX72" i="80"/>
  <c r="AL73" i="80"/>
  <c r="AM73" i="80"/>
  <c r="AN73" i="80"/>
  <c r="AO73" i="80"/>
  <c r="AP73" i="80"/>
  <c r="AQ73" i="80"/>
  <c r="AS73" i="80"/>
  <c r="AT73" i="80"/>
  <c r="AU73" i="80"/>
  <c r="AV73" i="80"/>
  <c r="AW73" i="80"/>
  <c r="AX73" i="80"/>
  <c r="AL74" i="80"/>
  <c r="AM74" i="80"/>
  <c r="AN74" i="80"/>
  <c r="AO74" i="80"/>
  <c r="AP74" i="80"/>
  <c r="AQ74" i="80"/>
  <c r="AS74" i="80"/>
  <c r="AT74" i="80"/>
  <c r="AU74" i="80"/>
  <c r="AV74" i="80"/>
  <c r="AW74" i="80"/>
  <c r="AX74" i="80"/>
  <c r="AL75" i="80"/>
  <c r="AM75" i="80"/>
  <c r="AN75" i="80"/>
  <c r="AO75" i="80"/>
  <c r="AP75" i="80"/>
  <c r="AQ75" i="80"/>
  <c r="AS75" i="80"/>
  <c r="AT75" i="80"/>
  <c r="AU75" i="80"/>
  <c r="AV75" i="80"/>
  <c r="AW75" i="80"/>
  <c r="AX75" i="80"/>
  <c r="AL76" i="80"/>
  <c r="AM76" i="80"/>
  <c r="AN76" i="80"/>
  <c r="AO76" i="80"/>
  <c r="AP76" i="80"/>
  <c r="AQ76" i="80"/>
  <c r="AS76" i="80"/>
  <c r="AT76" i="80"/>
  <c r="AU76" i="80"/>
  <c r="AV76" i="80"/>
  <c r="AW76" i="80"/>
  <c r="AX76" i="80"/>
  <c r="AL77" i="80"/>
  <c r="AM77" i="80"/>
  <c r="AN77" i="80"/>
  <c r="AO77" i="80"/>
  <c r="AP77" i="80"/>
  <c r="AQ77" i="80"/>
  <c r="AS77" i="80"/>
  <c r="AT77" i="80"/>
  <c r="AU77" i="80"/>
  <c r="AV77" i="80"/>
  <c r="AW77" i="80"/>
  <c r="AX77" i="80"/>
  <c r="AL78" i="80"/>
  <c r="AM78" i="80"/>
  <c r="AN78" i="80"/>
  <c r="AO78" i="80"/>
  <c r="AP78" i="80"/>
  <c r="AQ78" i="80"/>
  <c r="AS78" i="80"/>
  <c r="AT78" i="80"/>
  <c r="AU78" i="80"/>
  <c r="AV78" i="80"/>
  <c r="AW78" i="80"/>
  <c r="AX78" i="80"/>
  <c r="AL79" i="80"/>
  <c r="AM79" i="80"/>
  <c r="AN79" i="80"/>
  <c r="AO79" i="80"/>
  <c r="AP79" i="80"/>
  <c r="AQ79" i="80"/>
  <c r="AS79" i="80"/>
  <c r="AT79" i="80"/>
  <c r="AU79" i="80"/>
  <c r="AV79" i="80"/>
  <c r="AW79" i="80"/>
  <c r="AX79" i="80"/>
  <c r="AL80" i="80"/>
  <c r="AM80" i="80"/>
  <c r="AN80" i="80"/>
  <c r="AO80" i="80"/>
  <c r="AP80" i="80"/>
  <c r="AQ80" i="80"/>
  <c r="AS80" i="80"/>
  <c r="AT80" i="80"/>
  <c r="AU80" i="80"/>
  <c r="AV80" i="80"/>
  <c r="AW80" i="80"/>
  <c r="AX80" i="80"/>
  <c r="AL81" i="80"/>
  <c r="AM81" i="80"/>
  <c r="AN81" i="80"/>
  <c r="AO81" i="80"/>
  <c r="AP81" i="80"/>
  <c r="AQ81" i="80"/>
  <c r="AS81" i="80"/>
  <c r="AT81" i="80"/>
  <c r="AU81" i="80"/>
  <c r="AV81" i="80"/>
  <c r="AW81" i="80"/>
  <c r="AX81" i="80"/>
  <c r="AL82" i="80"/>
  <c r="AM82" i="80"/>
  <c r="AN82" i="80"/>
  <c r="AO82" i="80"/>
  <c r="AP82" i="80"/>
  <c r="AQ82" i="80"/>
  <c r="AS82" i="80"/>
  <c r="AT82" i="80"/>
  <c r="AU82" i="80"/>
  <c r="AV82" i="80"/>
  <c r="AW82" i="80"/>
  <c r="AX82" i="80"/>
  <c r="AL83" i="80"/>
  <c r="AM83" i="80"/>
  <c r="AN83" i="80"/>
  <c r="AO83" i="80"/>
  <c r="AP83" i="80"/>
  <c r="AQ83" i="80"/>
  <c r="AS83" i="80"/>
  <c r="AT83" i="80"/>
  <c r="AU83" i="80"/>
  <c r="AV83" i="80"/>
  <c r="AW83" i="80"/>
  <c r="AX83" i="80"/>
  <c r="N114" i="80"/>
  <c r="O114" i="80"/>
  <c r="P114" i="80"/>
  <c r="Q114" i="80"/>
  <c r="R114" i="80"/>
  <c r="S114" i="80"/>
  <c r="T114" i="80"/>
  <c r="V114" i="80"/>
  <c r="W114" i="80"/>
  <c r="X114" i="80"/>
  <c r="Y114" i="80"/>
  <c r="Z114" i="80"/>
  <c r="AA114" i="80"/>
  <c r="N115" i="80"/>
  <c r="O115" i="80"/>
  <c r="P115" i="80"/>
  <c r="Q115" i="80"/>
  <c r="R115" i="80"/>
  <c r="S115" i="80"/>
  <c r="T115" i="80"/>
  <c r="V115" i="80"/>
  <c r="W115" i="80"/>
  <c r="X115" i="80"/>
  <c r="Y115" i="80"/>
  <c r="Z115" i="80"/>
  <c r="AA115" i="80"/>
  <c r="N116" i="80"/>
  <c r="O116" i="80"/>
  <c r="P116" i="80"/>
  <c r="Q116" i="80"/>
  <c r="R116" i="80"/>
  <c r="S116" i="80"/>
  <c r="T116" i="80"/>
  <c r="V116" i="80"/>
  <c r="W116" i="80"/>
  <c r="X116" i="80"/>
  <c r="Y116" i="80"/>
  <c r="Z116" i="80"/>
  <c r="AA116" i="80"/>
  <c r="N117" i="80"/>
  <c r="O117" i="80"/>
  <c r="P117" i="80"/>
  <c r="Q117" i="80"/>
  <c r="R117" i="80"/>
  <c r="S117" i="80"/>
  <c r="T117" i="80"/>
  <c r="V117" i="80"/>
  <c r="W117" i="80"/>
  <c r="X117" i="80"/>
  <c r="Y117" i="80"/>
  <c r="Z117" i="80"/>
  <c r="AA117" i="80"/>
  <c r="N118" i="80"/>
  <c r="O118" i="80"/>
  <c r="P118" i="80"/>
  <c r="Q118" i="80"/>
  <c r="R118" i="80"/>
  <c r="S118" i="80"/>
  <c r="T118" i="80"/>
  <c r="V118" i="80"/>
  <c r="W118" i="80"/>
  <c r="X118" i="80"/>
  <c r="Y118" i="80"/>
  <c r="Z118" i="80"/>
  <c r="AA118" i="80"/>
  <c r="N119" i="80"/>
  <c r="O119" i="80"/>
  <c r="P119" i="80"/>
  <c r="Q119" i="80"/>
  <c r="R119" i="80"/>
  <c r="S119" i="80"/>
  <c r="T119" i="80"/>
  <c r="V119" i="80"/>
  <c r="W119" i="80"/>
  <c r="X119" i="80"/>
  <c r="Y119" i="80"/>
  <c r="Z119" i="80"/>
  <c r="AA119" i="80"/>
  <c r="N120" i="80"/>
  <c r="O120" i="80"/>
  <c r="P120" i="80"/>
  <c r="Q120" i="80"/>
  <c r="R120" i="80"/>
  <c r="S120" i="80"/>
  <c r="T120" i="80"/>
  <c r="V120" i="80"/>
  <c r="W120" i="80"/>
  <c r="X120" i="80"/>
  <c r="Y120" i="80"/>
  <c r="Z120" i="80"/>
  <c r="AA120" i="80"/>
  <c r="N121" i="80"/>
  <c r="O121" i="80"/>
  <c r="P121" i="80"/>
  <c r="Q121" i="80"/>
  <c r="R121" i="80"/>
  <c r="S121" i="80"/>
  <c r="T121" i="80"/>
  <c r="V121" i="80"/>
  <c r="W121" i="80"/>
  <c r="X121" i="80"/>
  <c r="Y121" i="80"/>
  <c r="Z121" i="80"/>
  <c r="AA121" i="80"/>
  <c r="N122" i="80"/>
  <c r="O122" i="80"/>
  <c r="P122" i="80"/>
  <c r="Q122" i="80"/>
  <c r="R122" i="80"/>
  <c r="S122" i="80"/>
  <c r="T122" i="80"/>
  <c r="V122" i="80"/>
  <c r="W122" i="80"/>
  <c r="X122" i="80"/>
  <c r="Y122" i="80"/>
  <c r="Z122" i="80"/>
  <c r="AA122" i="80"/>
  <c r="N123" i="80"/>
  <c r="O123" i="80"/>
  <c r="P123" i="80"/>
  <c r="Q123" i="80"/>
  <c r="R123" i="80"/>
  <c r="S123" i="80"/>
  <c r="T123" i="80"/>
  <c r="V123" i="80"/>
  <c r="W123" i="80"/>
  <c r="X123" i="80"/>
  <c r="Y123" i="80"/>
  <c r="Z123" i="80"/>
  <c r="AA123" i="80"/>
  <c r="N124" i="80"/>
  <c r="O124" i="80"/>
  <c r="P124" i="80"/>
  <c r="Q124" i="80"/>
  <c r="R124" i="80"/>
  <c r="S124" i="80"/>
  <c r="T124" i="80"/>
  <c r="V124" i="80"/>
  <c r="W124" i="80"/>
  <c r="X124" i="80"/>
  <c r="Y124" i="80"/>
  <c r="Z124" i="80"/>
  <c r="AA124" i="80"/>
  <c r="N125" i="80"/>
  <c r="O125" i="80"/>
  <c r="P125" i="80"/>
  <c r="Q125" i="80"/>
  <c r="R125" i="80"/>
  <c r="S125" i="80"/>
  <c r="T125" i="80"/>
  <c r="V125" i="80"/>
  <c r="W125" i="80"/>
  <c r="X125" i="80"/>
  <c r="Y125" i="80"/>
  <c r="Z125" i="80"/>
  <c r="AA125" i="80"/>
  <c r="N126" i="80"/>
  <c r="O126" i="80"/>
  <c r="P126" i="80"/>
  <c r="Q126" i="80"/>
  <c r="R126" i="80"/>
  <c r="S126" i="80"/>
  <c r="T126" i="80"/>
  <c r="V126" i="80"/>
  <c r="W126" i="80"/>
  <c r="X126" i="80"/>
  <c r="Y126" i="80"/>
  <c r="Z126" i="80"/>
  <c r="AA126" i="80"/>
  <c r="N127" i="80"/>
  <c r="O127" i="80"/>
  <c r="P127" i="80"/>
  <c r="Q127" i="80"/>
  <c r="R127" i="80"/>
  <c r="S127" i="80"/>
  <c r="T127" i="80"/>
  <c r="V127" i="80"/>
  <c r="W127" i="80"/>
  <c r="X127" i="80"/>
  <c r="Y127" i="80"/>
  <c r="Z127" i="80"/>
  <c r="AA127" i="80"/>
  <c r="N128" i="80"/>
  <c r="O128" i="80"/>
  <c r="P128" i="80"/>
  <c r="Q128" i="80"/>
  <c r="R128" i="80"/>
  <c r="S128" i="80"/>
  <c r="T128" i="80"/>
  <c r="V128" i="80"/>
  <c r="W128" i="80"/>
  <c r="X128" i="80"/>
  <c r="Y128" i="80"/>
  <c r="Z128" i="80"/>
  <c r="AA128" i="80"/>
  <c r="N129" i="80"/>
  <c r="O129" i="80"/>
  <c r="P129" i="80"/>
  <c r="Q129" i="80"/>
  <c r="R129" i="80"/>
  <c r="S129" i="80"/>
  <c r="T129" i="80"/>
  <c r="V129" i="80"/>
  <c r="W129" i="80"/>
  <c r="X129" i="80"/>
  <c r="Y129" i="80"/>
  <c r="Z129" i="80"/>
  <c r="AA129" i="80"/>
  <c r="N130" i="80"/>
  <c r="O130" i="80"/>
  <c r="P130" i="80"/>
  <c r="Q130" i="80"/>
  <c r="R130" i="80"/>
  <c r="S130" i="80"/>
  <c r="T130" i="80"/>
  <c r="V130" i="80"/>
  <c r="W130" i="80"/>
  <c r="X130" i="80"/>
  <c r="Y130" i="80"/>
  <c r="Z130" i="80"/>
  <c r="AA130" i="80"/>
  <c r="N131" i="80"/>
  <c r="O131" i="80"/>
  <c r="P131" i="80"/>
  <c r="Q131" i="80"/>
  <c r="R131" i="80"/>
  <c r="S131" i="80"/>
  <c r="T131" i="80"/>
  <c r="V131" i="80"/>
  <c r="W131" i="80"/>
  <c r="X131" i="80"/>
  <c r="Y131" i="80"/>
  <c r="Z131" i="80"/>
  <c r="AA131" i="80"/>
  <c r="N132" i="80"/>
  <c r="O132" i="80"/>
  <c r="P132" i="80"/>
  <c r="Q132" i="80"/>
  <c r="R132" i="80"/>
  <c r="S132" i="80"/>
  <c r="T132" i="80"/>
  <c r="V132" i="80"/>
  <c r="W132" i="80"/>
  <c r="X132" i="80"/>
  <c r="Y132" i="80"/>
  <c r="Z132" i="80"/>
  <c r="AA132" i="80"/>
  <c r="N133" i="80"/>
  <c r="O133" i="80"/>
  <c r="P133" i="80"/>
  <c r="Q133" i="80"/>
  <c r="R133" i="80"/>
  <c r="S133" i="80"/>
  <c r="T133" i="80"/>
  <c r="V133" i="80"/>
  <c r="W133" i="80"/>
  <c r="X133" i="80"/>
  <c r="Y133" i="80"/>
  <c r="Z133" i="80"/>
  <c r="AA133" i="80"/>
  <c r="N134" i="80"/>
  <c r="O134" i="80"/>
  <c r="P134" i="80"/>
  <c r="Q134" i="80"/>
  <c r="R134" i="80"/>
  <c r="S134" i="80"/>
  <c r="T134" i="80"/>
  <c r="V134" i="80"/>
  <c r="W134" i="80"/>
  <c r="X134" i="80"/>
  <c r="Y134" i="80"/>
  <c r="Z134" i="80"/>
  <c r="AA134" i="80"/>
  <c r="N135" i="80"/>
  <c r="O135" i="80"/>
  <c r="P135" i="80"/>
  <c r="Q135" i="80"/>
  <c r="R135" i="80"/>
  <c r="S135" i="80"/>
  <c r="T135" i="80"/>
  <c r="V135" i="80"/>
  <c r="W135" i="80"/>
  <c r="X135" i="80"/>
  <c r="Y135" i="80"/>
  <c r="Z135" i="80"/>
  <c r="AA135" i="80"/>
  <c r="N136" i="80"/>
  <c r="O136" i="80"/>
  <c r="P136" i="80"/>
  <c r="Q136" i="80"/>
  <c r="R136" i="80"/>
  <c r="S136" i="80"/>
  <c r="T136" i="80"/>
  <c r="V136" i="80"/>
  <c r="W136" i="80"/>
  <c r="X136" i="80"/>
  <c r="Y136" i="80"/>
  <c r="Z136" i="80"/>
  <c r="AA136" i="80"/>
  <c r="N137" i="80"/>
  <c r="O137" i="80"/>
  <c r="P137" i="80"/>
  <c r="Q137" i="80"/>
  <c r="R137" i="80"/>
  <c r="S137" i="80"/>
  <c r="T137" i="80"/>
  <c r="V137" i="80"/>
  <c r="W137" i="80"/>
  <c r="X137" i="80"/>
  <c r="Y137" i="80"/>
  <c r="Z137" i="80"/>
  <c r="AA137" i="80"/>
  <c r="N138" i="80"/>
  <c r="O138" i="80"/>
  <c r="P138" i="80"/>
  <c r="Q138" i="80"/>
  <c r="R138" i="80"/>
  <c r="S138" i="80"/>
  <c r="T138" i="80"/>
  <c r="V138" i="80"/>
  <c r="W138" i="80"/>
  <c r="X138" i="80"/>
  <c r="Y138" i="80"/>
  <c r="Z138" i="80"/>
  <c r="AA138" i="80"/>
  <c r="N139" i="80"/>
  <c r="O139" i="80"/>
  <c r="P139" i="80"/>
  <c r="Q139" i="80"/>
  <c r="R139" i="80"/>
  <c r="S139" i="80"/>
  <c r="T139" i="80"/>
  <c r="V139" i="80"/>
  <c r="W139" i="80"/>
  <c r="X139" i="80"/>
  <c r="Y139" i="80"/>
  <c r="Z139" i="80"/>
  <c r="AA139" i="80"/>
  <c r="N140" i="80"/>
  <c r="O140" i="80"/>
  <c r="P140" i="80"/>
  <c r="Q140" i="80"/>
  <c r="R140" i="80"/>
  <c r="S140" i="80"/>
  <c r="T140" i="80"/>
  <c r="V140" i="80"/>
  <c r="W140" i="80"/>
  <c r="X140" i="80"/>
  <c r="Y140" i="80"/>
  <c r="Z140" i="80"/>
  <c r="AA140" i="80"/>
  <c r="N141" i="80"/>
  <c r="O141" i="80"/>
  <c r="P141" i="80"/>
  <c r="Q141" i="80"/>
  <c r="R141" i="80"/>
  <c r="S141" i="80"/>
  <c r="T141" i="80"/>
  <c r="V141" i="80"/>
  <c r="W141" i="80"/>
  <c r="X141" i="80"/>
  <c r="Y141" i="80"/>
  <c r="Z141" i="80"/>
  <c r="AA141" i="80"/>
  <c r="N142" i="80"/>
  <c r="O142" i="80"/>
  <c r="P142" i="80"/>
  <c r="Q142" i="80"/>
  <c r="R142" i="80"/>
  <c r="S142" i="80"/>
  <c r="T142" i="80"/>
  <c r="V142" i="80"/>
  <c r="W142" i="80"/>
  <c r="X142" i="80"/>
  <c r="Y142" i="80"/>
  <c r="Z142" i="80"/>
  <c r="AA142" i="80"/>
  <c r="N143" i="80"/>
  <c r="O143" i="80"/>
  <c r="P143" i="80"/>
  <c r="Q143" i="80"/>
  <c r="R143" i="80"/>
  <c r="S143" i="80"/>
  <c r="T143" i="80"/>
  <c r="V143" i="80"/>
  <c r="W143" i="80"/>
  <c r="X143" i="80"/>
  <c r="Y143" i="80"/>
  <c r="Z143" i="80"/>
  <c r="AA143" i="80"/>
  <c r="N144" i="80"/>
  <c r="O144" i="80"/>
  <c r="P144" i="80"/>
  <c r="Q144" i="80"/>
  <c r="R144" i="80"/>
  <c r="S144" i="80"/>
  <c r="T144" i="80"/>
  <c r="V144" i="80"/>
  <c r="W144" i="80"/>
  <c r="X144" i="80"/>
  <c r="Y144" i="80"/>
  <c r="Z144" i="80"/>
  <c r="AA144" i="80"/>
  <c r="N145" i="80"/>
  <c r="O145" i="80"/>
  <c r="P145" i="80"/>
  <c r="Q145" i="80"/>
  <c r="R145" i="80"/>
  <c r="S145" i="80"/>
  <c r="T145" i="80"/>
  <c r="V145" i="80"/>
  <c r="W145" i="80"/>
  <c r="X145" i="80"/>
  <c r="Y145" i="80"/>
  <c r="Z145" i="80"/>
  <c r="AA145" i="80"/>
  <c r="N146" i="80"/>
  <c r="O146" i="80"/>
  <c r="P146" i="80"/>
  <c r="Q146" i="80"/>
  <c r="R146" i="80"/>
  <c r="S146" i="80"/>
  <c r="T146" i="80"/>
  <c r="V146" i="80"/>
  <c r="W146" i="80"/>
  <c r="X146" i="80"/>
  <c r="Y146" i="80"/>
  <c r="Z146" i="80"/>
  <c r="AA146" i="80"/>
  <c r="N147" i="80"/>
  <c r="O147" i="80"/>
  <c r="P147" i="80"/>
  <c r="Q147" i="80"/>
  <c r="R147" i="80"/>
  <c r="S147" i="80"/>
  <c r="T147" i="80"/>
  <c r="V147" i="80"/>
  <c r="W147" i="80"/>
  <c r="X147" i="80"/>
  <c r="Y147" i="80"/>
  <c r="Z147" i="80"/>
  <c r="AA147" i="80"/>
  <c r="N148" i="80"/>
  <c r="O148" i="80"/>
  <c r="P148" i="80"/>
  <c r="Q148" i="80"/>
  <c r="R148" i="80"/>
  <c r="S148" i="80"/>
  <c r="T148" i="80"/>
  <c r="V148" i="80"/>
  <c r="W148" i="80"/>
  <c r="X148" i="80"/>
  <c r="Y148" i="80"/>
  <c r="Z148" i="80"/>
  <c r="AA148" i="80"/>
  <c r="N149" i="80"/>
  <c r="O149" i="80"/>
  <c r="P149" i="80"/>
  <c r="Q149" i="80"/>
  <c r="R149" i="80"/>
  <c r="S149" i="80"/>
  <c r="T149" i="80"/>
  <c r="V149" i="80"/>
  <c r="W149" i="80"/>
  <c r="X149" i="80"/>
  <c r="Y149" i="80"/>
  <c r="Z149" i="80"/>
  <c r="AA149" i="80"/>
  <c r="N150" i="80"/>
  <c r="O150" i="80"/>
  <c r="P150" i="80"/>
  <c r="Q150" i="80"/>
  <c r="R150" i="80"/>
  <c r="S150" i="80"/>
  <c r="T150" i="80"/>
  <c r="V150" i="80"/>
  <c r="W150" i="80"/>
  <c r="X150" i="80"/>
  <c r="Y150" i="80"/>
  <c r="Z150" i="80"/>
  <c r="AA150" i="80"/>
  <c r="N151" i="80"/>
  <c r="O151" i="80"/>
  <c r="P151" i="80"/>
  <c r="Q151" i="80"/>
  <c r="R151" i="80"/>
  <c r="S151" i="80"/>
  <c r="T151" i="80"/>
  <c r="V151" i="80"/>
  <c r="W151" i="80"/>
  <c r="X151" i="80"/>
  <c r="Y151" i="80"/>
  <c r="Z151" i="80"/>
  <c r="AA151" i="80"/>
  <c r="N152" i="80"/>
  <c r="O152" i="80"/>
  <c r="P152" i="80"/>
  <c r="Q152" i="80"/>
  <c r="R152" i="80"/>
  <c r="S152" i="80"/>
  <c r="T152" i="80"/>
  <c r="V152" i="80"/>
  <c r="W152" i="80"/>
  <c r="X152" i="80"/>
  <c r="Y152" i="80"/>
  <c r="Z152" i="80"/>
  <c r="AA152" i="80"/>
  <c r="N153" i="80"/>
  <c r="O153" i="80"/>
  <c r="P153" i="80"/>
  <c r="Q153" i="80"/>
  <c r="R153" i="80"/>
  <c r="S153" i="80"/>
  <c r="T153" i="80"/>
  <c r="V153" i="80"/>
  <c r="W153" i="80"/>
  <c r="X153" i="80"/>
  <c r="Y153" i="80"/>
  <c r="Z153" i="80"/>
  <c r="AA153" i="80"/>
  <c r="N154" i="80"/>
  <c r="O154" i="80"/>
  <c r="P154" i="80"/>
  <c r="Q154" i="80"/>
  <c r="R154" i="80"/>
  <c r="S154" i="80"/>
  <c r="T154" i="80"/>
  <c r="V154" i="80"/>
  <c r="W154" i="80"/>
  <c r="X154" i="80"/>
  <c r="Y154" i="80"/>
  <c r="Z154" i="80"/>
  <c r="AA154" i="80"/>
  <c r="N155" i="80"/>
  <c r="O155" i="80"/>
  <c r="P155" i="80"/>
  <c r="Q155" i="80"/>
  <c r="R155" i="80"/>
  <c r="S155" i="80"/>
  <c r="T155" i="80"/>
  <c r="V155" i="80"/>
  <c r="W155" i="80"/>
  <c r="X155" i="80"/>
  <c r="Y155" i="80"/>
  <c r="Z155" i="80"/>
  <c r="AA155" i="80"/>
  <c r="N156" i="80"/>
  <c r="O156" i="80"/>
  <c r="P156" i="80"/>
  <c r="Q156" i="80"/>
  <c r="R156" i="80"/>
  <c r="S156" i="80"/>
  <c r="T156" i="80"/>
  <c r="V156" i="80"/>
  <c r="W156" i="80"/>
  <c r="X156" i="80"/>
  <c r="Y156" i="80"/>
  <c r="Z156" i="80"/>
  <c r="AA156" i="80"/>
  <c r="N157" i="80"/>
  <c r="O157" i="80"/>
  <c r="P157" i="80"/>
  <c r="Q157" i="80"/>
  <c r="R157" i="80"/>
  <c r="S157" i="80"/>
  <c r="T157" i="80"/>
  <c r="V157" i="80"/>
  <c r="W157" i="80"/>
  <c r="X157" i="80"/>
  <c r="Y157" i="80"/>
  <c r="Z157" i="80"/>
  <c r="AA157" i="80"/>
  <c r="N158" i="80"/>
  <c r="O158" i="80"/>
  <c r="P158" i="80"/>
  <c r="Q158" i="80"/>
  <c r="R158" i="80"/>
  <c r="S158" i="80"/>
  <c r="T158" i="80"/>
  <c r="V158" i="80"/>
  <c r="W158" i="80"/>
  <c r="X158" i="80"/>
  <c r="Y158" i="80"/>
  <c r="Z158" i="80"/>
  <c r="AA158" i="80"/>
  <c r="N159" i="80"/>
  <c r="O159" i="80"/>
  <c r="P159" i="80"/>
  <c r="Q159" i="80"/>
  <c r="R159" i="80"/>
  <c r="S159" i="80"/>
  <c r="T159" i="80"/>
  <c r="V159" i="80"/>
  <c r="W159" i="80"/>
  <c r="X159" i="80"/>
  <c r="Y159" i="80"/>
  <c r="Z159" i="80"/>
  <c r="AA159" i="80"/>
  <c r="N160" i="80"/>
  <c r="O160" i="80"/>
  <c r="P160" i="80"/>
  <c r="Q160" i="80"/>
  <c r="R160" i="80"/>
  <c r="S160" i="80"/>
  <c r="T160" i="80"/>
  <c r="V160" i="80"/>
  <c r="W160" i="80"/>
  <c r="X160" i="80"/>
  <c r="Y160" i="80"/>
  <c r="Z160" i="80"/>
  <c r="AA160" i="80"/>
  <c r="N161" i="80"/>
  <c r="O161" i="80"/>
  <c r="P161" i="80"/>
  <c r="Q161" i="80"/>
  <c r="R161" i="80"/>
  <c r="S161" i="80"/>
  <c r="T161" i="80"/>
  <c r="V161" i="80"/>
  <c r="W161" i="80"/>
  <c r="X161" i="80"/>
  <c r="Y161" i="80"/>
  <c r="Z161" i="80"/>
  <c r="AA161" i="80"/>
  <c r="N162" i="80"/>
  <c r="O162" i="80"/>
  <c r="P162" i="80"/>
  <c r="Q162" i="80"/>
  <c r="R162" i="80"/>
  <c r="S162" i="80"/>
  <c r="T162" i="80"/>
  <c r="V162" i="80"/>
  <c r="W162" i="80"/>
  <c r="X162" i="80"/>
  <c r="Y162" i="80"/>
  <c r="Z162" i="80"/>
  <c r="AA162" i="80"/>
  <c r="N163" i="80"/>
  <c r="O163" i="80"/>
  <c r="P163" i="80"/>
  <c r="Q163" i="80"/>
  <c r="R163" i="80"/>
  <c r="S163" i="80"/>
  <c r="T163" i="80"/>
  <c r="V163" i="80"/>
  <c r="W163" i="80"/>
  <c r="X163" i="80"/>
  <c r="Y163" i="80"/>
  <c r="Z163" i="80"/>
  <c r="AA163" i="80"/>
  <c r="F162" i="80"/>
  <c r="G162" i="80"/>
  <c r="F153" i="80"/>
  <c r="G153" i="80"/>
  <c r="F154" i="80"/>
  <c r="G154" i="80"/>
  <c r="F155" i="80"/>
  <c r="G155" i="80"/>
  <c r="F156" i="80"/>
  <c r="G156" i="80"/>
  <c r="F157" i="80"/>
  <c r="G157" i="80"/>
  <c r="F158" i="80"/>
  <c r="G158" i="80"/>
  <c r="F159" i="80"/>
  <c r="G159" i="80"/>
  <c r="F160" i="80"/>
  <c r="G160" i="80"/>
  <c r="F161" i="80"/>
  <c r="G161" i="80"/>
  <c r="I53" i="80"/>
  <c r="J53" i="80"/>
  <c r="K53" i="80"/>
  <c r="I54" i="80"/>
  <c r="J54" i="80"/>
  <c r="K54" i="80"/>
  <c r="I55" i="80"/>
  <c r="J55" i="80"/>
  <c r="K55" i="80"/>
  <c r="I56" i="80"/>
  <c r="J56" i="80"/>
  <c r="K56" i="80"/>
  <c r="I57" i="80"/>
  <c r="J57" i="80"/>
  <c r="K57" i="80"/>
  <c r="I58" i="80"/>
  <c r="J58" i="80"/>
  <c r="K58" i="80"/>
  <c r="I59" i="80"/>
  <c r="J59" i="80"/>
  <c r="K59" i="80"/>
  <c r="I60" i="80"/>
  <c r="J60" i="80"/>
  <c r="K60" i="80"/>
  <c r="I61" i="80"/>
  <c r="J61" i="80"/>
  <c r="K61" i="80"/>
  <c r="I62" i="80"/>
  <c r="J62" i="80"/>
  <c r="K62" i="80"/>
  <c r="I63" i="80"/>
  <c r="J63" i="80"/>
  <c r="K63" i="80"/>
  <c r="I64" i="80"/>
  <c r="J64" i="80"/>
  <c r="K64" i="80"/>
  <c r="I65" i="80"/>
  <c r="J65" i="80"/>
  <c r="K65" i="80"/>
  <c r="I66" i="80"/>
  <c r="J66" i="80"/>
  <c r="K66" i="80"/>
  <c r="I67" i="80"/>
  <c r="J67" i="80"/>
  <c r="K67" i="80"/>
  <c r="I68" i="80"/>
  <c r="J68" i="80"/>
  <c r="K68" i="80"/>
  <c r="I69" i="80"/>
  <c r="J69" i="80"/>
  <c r="K69" i="80"/>
  <c r="I70" i="80"/>
  <c r="J70" i="80"/>
  <c r="K70" i="80"/>
  <c r="I71" i="80"/>
  <c r="J71" i="80"/>
  <c r="K71" i="80"/>
  <c r="I72" i="80"/>
  <c r="J72" i="80"/>
  <c r="K72" i="80"/>
  <c r="I73" i="80"/>
  <c r="J73" i="80"/>
  <c r="K73" i="80"/>
  <c r="I74" i="80"/>
  <c r="J74" i="80"/>
  <c r="K74" i="80"/>
  <c r="I75" i="80"/>
  <c r="J75" i="80"/>
  <c r="K75" i="80"/>
  <c r="I76" i="80"/>
  <c r="J76" i="80"/>
  <c r="K76" i="80"/>
  <c r="I77" i="80"/>
  <c r="J77" i="80"/>
  <c r="K77" i="80"/>
  <c r="I78" i="80"/>
  <c r="J78" i="80"/>
  <c r="K78" i="80"/>
  <c r="I79" i="80"/>
  <c r="J79" i="80"/>
  <c r="K79" i="80"/>
  <c r="I80" i="80"/>
  <c r="J80" i="80"/>
  <c r="K80" i="80"/>
  <c r="I81" i="80"/>
  <c r="J81" i="80"/>
  <c r="K81" i="80"/>
  <c r="I82" i="80"/>
  <c r="J82" i="80"/>
  <c r="K82" i="80"/>
  <c r="D333" i="77"/>
  <c r="M309" i="77"/>
  <c r="N309" i="77" s="1"/>
  <c r="O309" i="77"/>
  <c r="P309" i="77" s="1"/>
  <c r="Q309" i="77"/>
  <c r="R309" i="77" s="1"/>
  <c r="S309" i="77"/>
  <c r="T309" i="77" s="1"/>
  <c r="U309" i="77"/>
  <c r="V309" i="77" s="1"/>
  <c r="W309" i="77"/>
  <c r="X309" i="77" s="1"/>
  <c r="Y309" i="77"/>
  <c r="Z309" i="77" s="1"/>
  <c r="AC309" i="77"/>
  <c r="AD309" i="77" s="1"/>
  <c r="AG309" i="77"/>
  <c r="AH309" i="77" s="1"/>
  <c r="D309" i="77"/>
  <c r="D310" i="77"/>
  <c r="D311" i="77"/>
  <c r="D312" i="77"/>
  <c r="D313" i="77"/>
  <c r="D319" i="77"/>
  <c r="D320" i="77"/>
  <c r="D321" i="77"/>
  <c r="D322" i="77"/>
  <c r="D323" i="77"/>
  <c r="D328" i="77"/>
  <c r="D329" i="77"/>
  <c r="D330" i="77"/>
  <c r="D331" i="77"/>
  <c r="D332" i="77"/>
  <c r="M11" i="77"/>
  <c r="N11" i="77" s="1"/>
  <c r="O11" i="77"/>
  <c r="P11" i="77" s="1"/>
  <c r="Q11" i="77"/>
  <c r="R11" i="77" s="1"/>
  <c r="S11" i="77"/>
  <c r="T11" i="77" s="1"/>
  <c r="U11" i="77"/>
  <c r="V11" i="77" s="1"/>
  <c r="W11" i="77"/>
  <c r="X11" i="77" s="1"/>
  <c r="Y11" i="77"/>
  <c r="Z11" i="77" s="1"/>
  <c r="AC11" i="77"/>
  <c r="AD11" i="77" s="1"/>
  <c r="AG11" i="77"/>
  <c r="AH11" i="77" s="1"/>
  <c r="M12" i="77"/>
  <c r="N12" i="77" s="1"/>
  <c r="O12" i="77"/>
  <c r="P12" i="77" s="1"/>
  <c r="Q12" i="77"/>
  <c r="R12" i="77" s="1"/>
  <c r="S12" i="77"/>
  <c r="T12" i="77" s="1"/>
  <c r="U12" i="77"/>
  <c r="V12" i="77" s="1"/>
  <c r="W12" i="77"/>
  <c r="X12" i="77" s="1"/>
  <c r="Y12" i="77"/>
  <c r="Z12" i="77" s="1"/>
  <c r="AC12" i="77"/>
  <c r="AD12" i="77" s="1"/>
  <c r="AG12" i="77"/>
  <c r="AH12" i="77" s="1"/>
  <c r="M17" i="77"/>
  <c r="N17" i="77" s="1"/>
  <c r="O17" i="77"/>
  <c r="P17" i="77" s="1"/>
  <c r="Q17" i="77"/>
  <c r="R17" i="77" s="1"/>
  <c r="S17" i="77"/>
  <c r="T17" i="77" s="1"/>
  <c r="U17" i="77"/>
  <c r="V17" i="77" s="1"/>
  <c r="W17" i="77"/>
  <c r="X17" i="77" s="1"/>
  <c r="Y17" i="77"/>
  <c r="Z17" i="77" s="1"/>
  <c r="AC17" i="77"/>
  <c r="AD17" i="77" s="1"/>
  <c r="AG17" i="77"/>
  <c r="AH17" i="77" s="1"/>
  <c r="M18" i="77"/>
  <c r="N18" i="77" s="1"/>
  <c r="O18" i="77"/>
  <c r="P18" i="77" s="1"/>
  <c r="Q18" i="77"/>
  <c r="R18" i="77" s="1"/>
  <c r="S18" i="77"/>
  <c r="T18" i="77" s="1"/>
  <c r="U18" i="77"/>
  <c r="V18" i="77" s="1"/>
  <c r="W18" i="77"/>
  <c r="X18" i="77" s="1"/>
  <c r="Y18" i="77"/>
  <c r="Z18" i="77" s="1"/>
  <c r="AC18" i="77"/>
  <c r="AD18" i="77" s="1"/>
  <c r="AG18" i="77"/>
  <c r="AH18" i="77" s="1"/>
  <c r="M19" i="77"/>
  <c r="N19" i="77" s="1"/>
  <c r="O19" i="77"/>
  <c r="P19" i="77" s="1"/>
  <c r="Q19" i="77"/>
  <c r="R19" i="77" s="1"/>
  <c r="S19" i="77"/>
  <c r="T19" i="77" s="1"/>
  <c r="U19" i="77"/>
  <c r="V19" i="77" s="1"/>
  <c r="W19" i="77"/>
  <c r="X19" i="77" s="1"/>
  <c r="Y19" i="77"/>
  <c r="Z19" i="77" s="1"/>
  <c r="AC19" i="77"/>
  <c r="AD19" i="77" s="1"/>
  <c r="AG19" i="77"/>
  <c r="AH19" i="77" s="1"/>
  <c r="M20" i="77"/>
  <c r="N20" i="77" s="1"/>
  <c r="O20" i="77"/>
  <c r="P20" i="77" s="1"/>
  <c r="Q20" i="77"/>
  <c r="R20" i="77" s="1"/>
  <c r="S20" i="77"/>
  <c r="T20" i="77" s="1"/>
  <c r="U20" i="77"/>
  <c r="V20" i="77" s="1"/>
  <c r="W20" i="77"/>
  <c r="X20" i="77" s="1"/>
  <c r="Y20" i="77"/>
  <c r="Z20" i="77" s="1"/>
  <c r="AC20" i="77"/>
  <c r="AD20" i="77" s="1"/>
  <c r="AG20" i="77"/>
  <c r="AH20" i="77" s="1"/>
  <c r="M21" i="77"/>
  <c r="N21" i="77" s="1"/>
  <c r="O21" i="77"/>
  <c r="P21" i="77" s="1"/>
  <c r="Q21" i="77"/>
  <c r="R21" i="77" s="1"/>
  <c r="S21" i="77"/>
  <c r="T21" i="77" s="1"/>
  <c r="U21" i="77"/>
  <c r="V21" i="77" s="1"/>
  <c r="W21" i="77"/>
  <c r="X21" i="77" s="1"/>
  <c r="Y21" i="77"/>
  <c r="Z21" i="77"/>
  <c r="AC21" i="77"/>
  <c r="AD21" i="77" s="1"/>
  <c r="AG21" i="77"/>
  <c r="AH21" i="77" s="1"/>
  <c r="M22" i="77"/>
  <c r="N22" i="77" s="1"/>
  <c r="O22" i="77"/>
  <c r="P22" i="77" s="1"/>
  <c r="Q22" i="77"/>
  <c r="R22" i="77" s="1"/>
  <c r="S22" i="77"/>
  <c r="T22" i="77" s="1"/>
  <c r="U22" i="77"/>
  <c r="V22" i="77" s="1"/>
  <c r="W22" i="77"/>
  <c r="X22" i="77" s="1"/>
  <c r="Y22" i="77"/>
  <c r="Z22" i="77" s="1"/>
  <c r="AC22" i="77"/>
  <c r="AD22" i="77" s="1"/>
  <c r="AG22" i="77"/>
  <c r="AH22" i="77" s="1"/>
  <c r="M23" i="77"/>
  <c r="N23" i="77" s="1"/>
  <c r="O23" i="77"/>
  <c r="P23" i="77" s="1"/>
  <c r="Q23" i="77"/>
  <c r="R23" i="77" s="1"/>
  <c r="S23" i="77"/>
  <c r="T23" i="77" s="1"/>
  <c r="U23" i="77"/>
  <c r="V23" i="77" s="1"/>
  <c r="W23" i="77"/>
  <c r="X23" i="77" s="1"/>
  <c r="Y23" i="77"/>
  <c r="Z23" i="77"/>
  <c r="AC23" i="77"/>
  <c r="AD23" i="77" s="1"/>
  <c r="AG23" i="77"/>
  <c r="AH23" i="77" s="1"/>
  <c r="M24" i="77"/>
  <c r="N24" i="77" s="1"/>
  <c r="O24" i="77"/>
  <c r="P24" i="77" s="1"/>
  <c r="Q24" i="77"/>
  <c r="R24" i="77" s="1"/>
  <c r="S24" i="77"/>
  <c r="T24" i="77" s="1"/>
  <c r="U24" i="77"/>
  <c r="V24" i="77" s="1"/>
  <c r="W24" i="77"/>
  <c r="X24" i="77" s="1"/>
  <c r="Y24" i="77"/>
  <c r="Z24" i="77" s="1"/>
  <c r="AC24" i="77"/>
  <c r="AD24" i="77" s="1"/>
  <c r="AG24" i="77"/>
  <c r="AH24" i="77" s="1"/>
  <c r="M25" i="77"/>
  <c r="N25" i="77" s="1"/>
  <c r="O25" i="77"/>
  <c r="P25" i="77" s="1"/>
  <c r="Q25" i="77"/>
  <c r="R25" i="77" s="1"/>
  <c r="S25" i="77"/>
  <c r="T25" i="77" s="1"/>
  <c r="U25" i="77"/>
  <c r="V25" i="77" s="1"/>
  <c r="W25" i="77"/>
  <c r="X25" i="77" s="1"/>
  <c r="Y25" i="77"/>
  <c r="Z25" i="77" s="1"/>
  <c r="AC25" i="77"/>
  <c r="AD25" i="77" s="1"/>
  <c r="AG25" i="77"/>
  <c r="AH25" i="77" s="1"/>
  <c r="M26" i="77"/>
  <c r="N26" i="77" s="1"/>
  <c r="O26" i="77"/>
  <c r="P26" i="77" s="1"/>
  <c r="Q26" i="77"/>
  <c r="R26" i="77" s="1"/>
  <c r="S26" i="77"/>
  <c r="T26" i="77" s="1"/>
  <c r="U26" i="77"/>
  <c r="V26" i="77" s="1"/>
  <c r="W26" i="77"/>
  <c r="X26" i="77" s="1"/>
  <c r="Y26" i="77"/>
  <c r="Z26" i="77"/>
  <c r="AC26" i="77"/>
  <c r="AD26" i="77" s="1"/>
  <c r="AG26" i="77"/>
  <c r="AH26" i="77" s="1"/>
  <c r="M27" i="77"/>
  <c r="N27" i="77" s="1"/>
  <c r="O27" i="77"/>
  <c r="P27" i="77" s="1"/>
  <c r="Q27" i="77"/>
  <c r="R27" i="77" s="1"/>
  <c r="S27" i="77"/>
  <c r="T27" i="77" s="1"/>
  <c r="U27" i="77"/>
  <c r="V27" i="77" s="1"/>
  <c r="W27" i="77"/>
  <c r="X27" i="77" s="1"/>
  <c r="Y27" i="77"/>
  <c r="Z27" i="77" s="1"/>
  <c r="AC27" i="77"/>
  <c r="AD27" i="77" s="1"/>
  <c r="AG27" i="77"/>
  <c r="AH27" i="77" s="1"/>
  <c r="M38" i="77"/>
  <c r="N38" i="77" s="1"/>
  <c r="O38" i="77"/>
  <c r="P38" i="77" s="1"/>
  <c r="Q38" i="77"/>
  <c r="R38" i="77" s="1"/>
  <c r="S38" i="77"/>
  <c r="T38" i="77" s="1"/>
  <c r="U38" i="77"/>
  <c r="V38" i="77" s="1"/>
  <c r="W38" i="77"/>
  <c r="X38" i="77" s="1"/>
  <c r="Y38" i="77"/>
  <c r="Z38" i="77" s="1"/>
  <c r="AC38" i="77"/>
  <c r="AD38" i="77" s="1"/>
  <c r="AG38" i="77"/>
  <c r="AH38" i="77" s="1"/>
  <c r="M39" i="77"/>
  <c r="N39" i="77" s="1"/>
  <c r="O39" i="77"/>
  <c r="P39" i="77" s="1"/>
  <c r="Q39" i="77"/>
  <c r="R39" i="77" s="1"/>
  <c r="S39" i="77"/>
  <c r="T39" i="77" s="1"/>
  <c r="U39" i="77"/>
  <c r="V39" i="77" s="1"/>
  <c r="W39" i="77"/>
  <c r="X39" i="77" s="1"/>
  <c r="Y39" i="77"/>
  <c r="Z39" i="77" s="1"/>
  <c r="AC39" i="77"/>
  <c r="AD39" i="77" s="1"/>
  <c r="AG39" i="77"/>
  <c r="AH39" i="77" s="1"/>
  <c r="M40" i="77"/>
  <c r="N40" i="77" s="1"/>
  <c r="O40" i="77"/>
  <c r="P40" i="77" s="1"/>
  <c r="Q40" i="77"/>
  <c r="R40" i="77" s="1"/>
  <c r="S40" i="77"/>
  <c r="T40" i="77" s="1"/>
  <c r="U40" i="77"/>
  <c r="V40" i="77" s="1"/>
  <c r="W40" i="77"/>
  <c r="X40" i="77" s="1"/>
  <c r="Y40" i="77"/>
  <c r="Z40" i="77" s="1"/>
  <c r="AC40" i="77"/>
  <c r="AD40" i="77" s="1"/>
  <c r="AG40" i="77"/>
  <c r="AH40" i="77" s="1"/>
  <c r="M41" i="77"/>
  <c r="N41" i="77" s="1"/>
  <c r="O41" i="77"/>
  <c r="P41" i="77" s="1"/>
  <c r="Q41" i="77"/>
  <c r="R41" i="77" s="1"/>
  <c r="S41" i="77"/>
  <c r="T41" i="77" s="1"/>
  <c r="U41" i="77"/>
  <c r="V41" i="77" s="1"/>
  <c r="W41" i="77"/>
  <c r="X41" i="77" s="1"/>
  <c r="Y41" i="77"/>
  <c r="Z41" i="77" s="1"/>
  <c r="AC41" i="77"/>
  <c r="AD41" i="77" s="1"/>
  <c r="AG41" i="77"/>
  <c r="AH41" i="77" s="1"/>
  <c r="M42" i="77"/>
  <c r="N42" i="77" s="1"/>
  <c r="O42" i="77"/>
  <c r="P42" i="77" s="1"/>
  <c r="Q42" i="77"/>
  <c r="R42" i="77" s="1"/>
  <c r="S42" i="77"/>
  <c r="T42" i="77" s="1"/>
  <c r="U42" i="77"/>
  <c r="V42" i="77" s="1"/>
  <c r="W42" i="77"/>
  <c r="X42" i="77" s="1"/>
  <c r="Y42" i="77"/>
  <c r="Z42" i="77" s="1"/>
  <c r="AC42" i="77"/>
  <c r="AD42" i="77" s="1"/>
  <c r="AG42" i="77"/>
  <c r="AH42" i="77" s="1"/>
  <c r="M43" i="77"/>
  <c r="N43" i="77" s="1"/>
  <c r="O43" i="77"/>
  <c r="P43" i="77" s="1"/>
  <c r="Q43" i="77"/>
  <c r="R43" i="77" s="1"/>
  <c r="S43" i="77"/>
  <c r="T43" i="77" s="1"/>
  <c r="U43" i="77"/>
  <c r="V43" i="77" s="1"/>
  <c r="W43" i="77"/>
  <c r="X43" i="77" s="1"/>
  <c r="Y43" i="77"/>
  <c r="Z43" i="77" s="1"/>
  <c r="AC43" i="77"/>
  <c r="AD43" i="77" s="1"/>
  <c r="AG43" i="77"/>
  <c r="AH43" i="77" s="1"/>
  <c r="AG9" i="77"/>
  <c r="AH9" i="77" s="1"/>
  <c r="AG10" i="77"/>
  <c r="AH10" i="77" s="1"/>
  <c r="AG13" i="77"/>
  <c r="AH13" i="77" s="1"/>
  <c r="AG14" i="77"/>
  <c r="AH14" i="77" s="1"/>
  <c r="AG15" i="77"/>
  <c r="AH15" i="77" s="1"/>
  <c r="AG16" i="77"/>
  <c r="AH16" i="77" s="1"/>
  <c r="AG28" i="77"/>
  <c r="AH28" i="77" s="1"/>
  <c r="AG29" i="77"/>
  <c r="AH29" i="77" s="1"/>
  <c r="AG30" i="77"/>
  <c r="AH30" i="77" s="1"/>
  <c r="AG31" i="77"/>
  <c r="AH31" i="77" s="1"/>
  <c r="AG32" i="77"/>
  <c r="AH32" i="77" s="1"/>
  <c r="AG33" i="77"/>
  <c r="AH33" i="77" s="1"/>
  <c r="AG34" i="77"/>
  <c r="AH34" i="77" s="1"/>
  <c r="AG35" i="77"/>
  <c r="AH35" i="77" s="1"/>
  <c r="AG36" i="77"/>
  <c r="AH36" i="77" s="1"/>
  <c r="AG37" i="77"/>
  <c r="AH37" i="77" s="1"/>
  <c r="AG44" i="77"/>
  <c r="AH44" i="77" s="1"/>
  <c r="AG45" i="77"/>
  <c r="AH45" i="77" s="1"/>
  <c r="AG46" i="77"/>
  <c r="AH46" i="77" s="1"/>
  <c r="AG47" i="77"/>
  <c r="AH47" i="77" s="1"/>
  <c r="AG48" i="77"/>
  <c r="AH48" i="77" s="1"/>
  <c r="AG49" i="77"/>
  <c r="AH49" i="77" s="1"/>
  <c r="AG50" i="77"/>
  <c r="AH50" i="77" s="1"/>
  <c r="AG51" i="77"/>
  <c r="AH51" i="77" s="1"/>
  <c r="AG52" i="77"/>
  <c r="AH52" i="77" s="1"/>
  <c r="AG53" i="77"/>
  <c r="AH53" i="77" s="1"/>
  <c r="AG54" i="77"/>
  <c r="AH54" i="77" s="1"/>
  <c r="AG55" i="77"/>
  <c r="AH55" i="77" s="1"/>
  <c r="AG56" i="77"/>
  <c r="AH56" i="77" s="1"/>
  <c r="AG57" i="77"/>
  <c r="AH57" i="77" s="1"/>
  <c r="AG58" i="77"/>
  <c r="AH58" i="77" s="1"/>
  <c r="AG59" i="77"/>
  <c r="AH59" i="77" s="1"/>
  <c r="AG60" i="77"/>
  <c r="AH60" i="77" s="1"/>
  <c r="AG61" i="77"/>
  <c r="AH61" i="77" s="1"/>
  <c r="AG62" i="77"/>
  <c r="AH62" i="77" s="1"/>
  <c r="AG63" i="77"/>
  <c r="AH63" i="77" s="1"/>
  <c r="AG64" i="77"/>
  <c r="AH64" i="77" s="1"/>
  <c r="AG65" i="77"/>
  <c r="AH65" i="77" s="1"/>
  <c r="AG66" i="77"/>
  <c r="AH66" i="77" s="1"/>
  <c r="AG67" i="77"/>
  <c r="AH67" i="77" s="1"/>
  <c r="AG68" i="77"/>
  <c r="AH68" i="77" s="1"/>
  <c r="AG69" i="77"/>
  <c r="AH69" i="77" s="1"/>
  <c r="AG70" i="77"/>
  <c r="AH70" i="77" s="1"/>
  <c r="AG71" i="77"/>
  <c r="AH71" i="77" s="1"/>
  <c r="AG72" i="77"/>
  <c r="AH72" i="77" s="1"/>
  <c r="AG73" i="77"/>
  <c r="AH73" i="77" s="1"/>
  <c r="AG74" i="77"/>
  <c r="AH74" i="77" s="1"/>
  <c r="AG75" i="77"/>
  <c r="AH75" i="77" s="1"/>
  <c r="AG76" i="77"/>
  <c r="AH76" i="77" s="1"/>
  <c r="AG77" i="77"/>
  <c r="AH77" i="77" s="1"/>
  <c r="AG78" i="77"/>
  <c r="AH78" i="77" s="1"/>
  <c r="AG79" i="77"/>
  <c r="AH79" i="77" s="1"/>
  <c r="AG80" i="77"/>
  <c r="AH80" i="77" s="1"/>
  <c r="AG81" i="77"/>
  <c r="AH81" i="77" s="1"/>
  <c r="AG82" i="77"/>
  <c r="AH82" i="77" s="1"/>
  <c r="AG83" i="77"/>
  <c r="AH83" i="77" s="1"/>
  <c r="AG84" i="77"/>
  <c r="AH84" i="77" s="1"/>
  <c r="AG85" i="77"/>
  <c r="AH85" i="77" s="1"/>
  <c r="AG86" i="77"/>
  <c r="AH86" i="77" s="1"/>
  <c r="AG87" i="77"/>
  <c r="AH87" i="77" s="1"/>
  <c r="AG88" i="77"/>
  <c r="AH88" i="77" s="1"/>
  <c r="AG89" i="77"/>
  <c r="AH89" i="77" s="1"/>
  <c r="AG90" i="77"/>
  <c r="AH90" i="77" s="1"/>
  <c r="AG91" i="77"/>
  <c r="AH91" i="77" s="1"/>
  <c r="AG92" i="77"/>
  <c r="AH92" i="77" s="1"/>
  <c r="AG93" i="77"/>
  <c r="AH93" i="77" s="1"/>
  <c r="AG94" i="77"/>
  <c r="AH94" i="77" s="1"/>
  <c r="AG95" i="77"/>
  <c r="AH95" i="77" s="1"/>
  <c r="AG96" i="77"/>
  <c r="AH96" i="77" s="1"/>
  <c r="AG97" i="77"/>
  <c r="AH97" i="77" s="1"/>
  <c r="AG98" i="77"/>
  <c r="AH98" i="77" s="1"/>
  <c r="AG99" i="77"/>
  <c r="AH99" i="77" s="1"/>
  <c r="AG100" i="77"/>
  <c r="AH100" i="77" s="1"/>
  <c r="AG101" i="77"/>
  <c r="AH101" i="77" s="1"/>
  <c r="AG102" i="77"/>
  <c r="AH102" i="77" s="1"/>
  <c r="AG103" i="77"/>
  <c r="AH103" i="77" s="1"/>
  <c r="AG104" i="77"/>
  <c r="AH104" i="77" s="1"/>
  <c r="AG105" i="77"/>
  <c r="AH105" i="77" s="1"/>
  <c r="AG106" i="77"/>
  <c r="AH106" i="77" s="1"/>
  <c r="AG107" i="77"/>
  <c r="AH107" i="77" s="1"/>
  <c r="AG108" i="77"/>
  <c r="AH108" i="77" s="1"/>
  <c r="AG109" i="77"/>
  <c r="AH109" i="77" s="1"/>
  <c r="AG110" i="77"/>
  <c r="AH110" i="77" s="1"/>
  <c r="AG111" i="77"/>
  <c r="AH111" i="77" s="1"/>
  <c r="AG112" i="77"/>
  <c r="AH112" i="77" s="1"/>
  <c r="AG113" i="77"/>
  <c r="AH113" i="77" s="1"/>
  <c r="AG114" i="77"/>
  <c r="AH114" i="77" s="1"/>
  <c r="AG115" i="77"/>
  <c r="AH115" i="77" s="1"/>
  <c r="AG116" i="77"/>
  <c r="AH116" i="77" s="1"/>
  <c r="AG117" i="77"/>
  <c r="AH117" i="77" s="1"/>
  <c r="AG118" i="77"/>
  <c r="AH118" i="77" s="1"/>
  <c r="AG119" i="77"/>
  <c r="AH119" i="77" s="1"/>
  <c r="AG120" i="77"/>
  <c r="AH120" i="77" s="1"/>
  <c r="AG121" i="77"/>
  <c r="AH121" i="77" s="1"/>
  <c r="AG122" i="77"/>
  <c r="AH122" i="77" s="1"/>
  <c r="AG123" i="77"/>
  <c r="AH123" i="77" s="1"/>
  <c r="AG124" i="77"/>
  <c r="AH124" i="77" s="1"/>
  <c r="AG125" i="77"/>
  <c r="AH125" i="77" s="1"/>
  <c r="AG126" i="77"/>
  <c r="AH126" i="77" s="1"/>
  <c r="AG127" i="77"/>
  <c r="AH127" i="77" s="1"/>
  <c r="AG128" i="77"/>
  <c r="AH128" i="77" s="1"/>
  <c r="AG129" i="77"/>
  <c r="AH129" i="77" s="1"/>
  <c r="AG130" i="77"/>
  <c r="AH130" i="77" s="1"/>
  <c r="AG131" i="77"/>
  <c r="AH131" i="77" s="1"/>
  <c r="AG132" i="77"/>
  <c r="AH132" i="77" s="1"/>
  <c r="AG133" i="77"/>
  <c r="AH133" i="77" s="1"/>
  <c r="AG134" i="77"/>
  <c r="AH134" i="77" s="1"/>
  <c r="AG135" i="77"/>
  <c r="AH135" i="77" s="1"/>
  <c r="AG136" i="77"/>
  <c r="AH136" i="77" s="1"/>
  <c r="AG137" i="77"/>
  <c r="AH137" i="77" s="1"/>
  <c r="AG138" i="77"/>
  <c r="AH138" i="77" s="1"/>
  <c r="AG139" i="77"/>
  <c r="AH139" i="77" s="1"/>
  <c r="AG140" i="77"/>
  <c r="AH140" i="77" s="1"/>
  <c r="AG141" i="77"/>
  <c r="AH141" i="77" s="1"/>
  <c r="AG142" i="77"/>
  <c r="AH142" i="77" s="1"/>
  <c r="AG143" i="77"/>
  <c r="AH143" i="77" s="1"/>
  <c r="AG144" i="77"/>
  <c r="AH144" i="77" s="1"/>
  <c r="AG145" i="77"/>
  <c r="AH145" i="77" s="1"/>
  <c r="AG146" i="77"/>
  <c r="AH146" i="77" s="1"/>
  <c r="AG147" i="77"/>
  <c r="AH147" i="77" s="1"/>
  <c r="AG148" i="77"/>
  <c r="AH148" i="77" s="1"/>
  <c r="AG149" i="77"/>
  <c r="AH149" i="77" s="1"/>
  <c r="AG150" i="77"/>
  <c r="AH150" i="77" s="1"/>
  <c r="AG151" i="77"/>
  <c r="AH151" i="77" s="1"/>
  <c r="AG152" i="77"/>
  <c r="AH152" i="77" s="1"/>
  <c r="AG153" i="77"/>
  <c r="AH153" i="77" s="1"/>
  <c r="AG154" i="77"/>
  <c r="AH154" i="77" s="1"/>
  <c r="AG155" i="77"/>
  <c r="AH155" i="77" s="1"/>
  <c r="AG156" i="77"/>
  <c r="AH156" i="77" s="1"/>
  <c r="AG157" i="77"/>
  <c r="AH157" i="77" s="1"/>
  <c r="AG158" i="77"/>
  <c r="AH158" i="77" s="1"/>
  <c r="AG159" i="77"/>
  <c r="AH159" i="77" s="1"/>
  <c r="AG160" i="77"/>
  <c r="AH160" i="77" s="1"/>
  <c r="AG161" i="77"/>
  <c r="AH161" i="77" s="1"/>
  <c r="AG162" i="77"/>
  <c r="AH162" i="77" s="1"/>
  <c r="AG163" i="77"/>
  <c r="AH163" i="77" s="1"/>
  <c r="AG164" i="77"/>
  <c r="AH164" i="77" s="1"/>
  <c r="AG165" i="77"/>
  <c r="AH165" i="77" s="1"/>
  <c r="AG166" i="77"/>
  <c r="AH166" i="77" s="1"/>
  <c r="AG167" i="77"/>
  <c r="AH167" i="77" s="1"/>
  <c r="AG168" i="77"/>
  <c r="AH168" i="77" s="1"/>
  <c r="AG169" i="77"/>
  <c r="AH169" i="77" s="1"/>
  <c r="AG170" i="77"/>
  <c r="AH170" i="77" s="1"/>
  <c r="AG171" i="77"/>
  <c r="AH171" i="77" s="1"/>
  <c r="AG172" i="77"/>
  <c r="AH172" i="77" s="1"/>
  <c r="AG173" i="77"/>
  <c r="AH173" i="77" s="1"/>
  <c r="AG174" i="77"/>
  <c r="AH174" i="77" s="1"/>
  <c r="AG175" i="77"/>
  <c r="AH175" i="77" s="1"/>
  <c r="AG176" i="77"/>
  <c r="AH176" i="77" s="1"/>
  <c r="AG177" i="77"/>
  <c r="AH177" i="77" s="1"/>
  <c r="AG178" i="77"/>
  <c r="AH178" i="77" s="1"/>
  <c r="AG179" i="77"/>
  <c r="AH179" i="77" s="1"/>
  <c r="AG180" i="77"/>
  <c r="AH180" i="77" s="1"/>
  <c r="AG181" i="77"/>
  <c r="AH181" i="77" s="1"/>
  <c r="AG182" i="77"/>
  <c r="AH182" i="77" s="1"/>
  <c r="AG183" i="77"/>
  <c r="AH183" i="77" s="1"/>
  <c r="AG184" i="77"/>
  <c r="AH184" i="77" s="1"/>
  <c r="AG185" i="77"/>
  <c r="AH185" i="77" s="1"/>
  <c r="AG186" i="77"/>
  <c r="AH186" i="77" s="1"/>
  <c r="AG187" i="77"/>
  <c r="AH187" i="77" s="1"/>
  <c r="AG188" i="77"/>
  <c r="AH188" i="77" s="1"/>
  <c r="AG189" i="77"/>
  <c r="AH189" i="77" s="1"/>
  <c r="AG190" i="77"/>
  <c r="AH190" i="77" s="1"/>
  <c r="AG191" i="77"/>
  <c r="AH191" i="77" s="1"/>
  <c r="AG192" i="77"/>
  <c r="AH192" i="77" s="1"/>
  <c r="AG193" i="77"/>
  <c r="AH193" i="77" s="1"/>
  <c r="AG194" i="77"/>
  <c r="AH194" i="77" s="1"/>
  <c r="AG195" i="77"/>
  <c r="AH195" i="77" s="1"/>
  <c r="AG196" i="77"/>
  <c r="AH196" i="77" s="1"/>
  <c r="AG197" i="77"/>
  <c r="AH197" i="77" s="1"/>
  <c r="AG198" i="77"/>
  <c r="AH198" i="77" s="1"/>
  <c r="AG199" i="77"/>
  <c r="AH199" i="77" s="1"/>
  <c r="AG200" i="77"/>
  <c r="AH200" i="77" s="1"/>
  <c r="AG201" i="77"/>
  <c r="AH201" i="77" s="1"/>
  <c r="AG202" i="77"/>
  <c r="AH202" i="77" s="1"/>
  <c r="AG203" i="77"/>
  <c r="AH203" i="77" s="1"/>
  <c r="AG204" i="77"/>
  <c r="AH204" i="77" s="1"/>
  <c r="AG205" i="77"/>
  <c r="AH205" i="77" s="1"/>
  <c r="AG206" i="77"/>
  <c r="AH206" i="77" s="1"/>
  <c r="AG207" i="77"/>
  <c r="AH207" i="77" s="1"/>
  <c r="AG208" i="77"/>
  <c r="AH208" i="77" s="1"/>
  <c r="AG209" i="77"/>
  <c r="AH209" i="77" s="1"/>
  <c r="AG210" i="77"/>
  <c r="AH210" i="77" s="1"/>
  <c r="AG211" i="77"/>
  <c r="AH211" i="77" s="1"/>
  <c r="AG212" i="77"/>
  <c r="AH212" i="77" s="1"/>
  <c r="AG213" i="77"/>
  <c r="AH213" i="77" s="1"/>
  <c r="AG214" i="77"/>
  <c r="AH214" i="77" s="1"/>
  <c r="AG215" i="77"/>
  <c r="AH215" i="77" s="1"/>
  <c r="AG216" i="77"/>
  <c r="AH216" i="77" s="1"/>
  <c r="AG217" i="77"/>
  <c r="AH217" i="77" s="1"/>
  <c r="AG218" i="77"/>
  <c r="AH218" i="77" s="1"/>
  <c r="AG219" i="77"/>
  <c r="AH219" i="77" s="1"/>
  <c r="AG220" i="77"/>
  <c r="AH220" i="77" s="1"/>
  <c r="AG221" i="77"/>
  <c r="AH221" i="77" s="1"/>
  <c r="AG222" i="77"/>
  <c r="AH222" i="77" s="1"/>
  <c r="AG223" i="77"/>
  <c r="AH223" i="77" s="1"/>
  <c r="AG224" i="77"/>
  <c r="AH224" i="77" s="1"/>
  <c r="AG225" i="77"/>
  <c r="AH225" i="77" s="1"/>
  <c r="AG226" i="77"/>
  <c r="AH226" i="77" s="1"/>
  <c r="AG227" i="77"/>
  <c r="AH227" i="77" s="1"/>
  <c r="AG228" i="77"/>
  <c r="AH228" i="77" s="1"/>
  <c r="AG229" i="77"/>
  <c r="AH229" i="77" s="1"/>
  <c r="AG230" i="77"/>
  <c r="AH230" i="77" s="1"/>
  <c r="AG231" i="77"/>
  <c r="AH231" i="77" s="1"/>
  <c r="AG232" i="77"/>
  <c r="AH232" i="77" s="1"/>
  <c r="AG233" i="77"/>
  <c r="AH233" i="77" s="1"/>
  <c r="AG234" i="77"/>
  <c r="AH234" i="77" s="1"/>
  <c r="AG235" i="77"/>
  <c r="AH235" i="77" s="1"/>
  <c r="AG236" i="77"/>
  <c r="AH236" i="77" s="1"/>
  <c r="AG237" i="77"/>
  <c r="AH237" i="77" s="1"/>
  <c r="AG238" i="77"/>
  <c r="AH238" i="77" s="1"/>
  <c r="AG239" i="77"/>
  <c r="AH239" i="77" s="1"/>
  <c r="AG240" i="77"/>
  <c r="AH240" i="77" s="1"/>
  <c r="AG241" i="77"/>
  <c r="AH241" i="77" s="1"/>
  <c r="AG242" i="77"/>
  <c r="AH242" i="77" s="1"/>
  <c r="AG243" i="77"/>
  <c r="AH243" i="77" s="1"/>
  <c r="AG244" i="77"/>
  <c r="AH244" i="77" s="1"/>
  <c r="AG245" i="77"/>
  <c r="AH245" i="77" s="1"/>
  <c r="AG246" i="77"/>
  <c r="AH246" i="77" s="1"/>
  <c r="AG247" i="77"/>
  <c r="AH247" i="77" s="1"/>
  <c r="AG248" i="77"/>
  <c r="AH248" i="77" s="1"/>
  <c r="AG249" i="77"/>
  <c r="AH249" i="77" s="1"/>
  <c r="AG250" i="77"/>
  <c r="AH250" i="77" s="1"/>
  <c r="AG251" i="77"/>
  <c r="AH251" i="77" s="1"/>
  <c r="AG252" i="77"/>
  <c r="AH252" i="77" s="1"/>
  <c r="AG253" i="77"/>
  <c r="AH253" i="77" s="1"/>
  <c r="AG254" i="77"/>
  <c r="AH254" i="77" s="1"/>
  <c r="AG255" i="77"/>
  <c r="AH255" i="77" s="1"/>
  <c r="AG256" i="77"/>
  <c r="AH256" i="77" s="1"/>
  <c r="AG257" i="77"/>
  <c r="AH257" i="77" s="1"/>
  <c r="AG258" i="77"/>
  <c r="AH258" i="77" s="1"/>
  <c r="AG259" i="77"/>
  <c r="AH259" i="77" s="1"/>
  <c r="AG260" i="77"/>
  <c r="AH260" i="77" s="1"/>
  <c r="AG261" i="77"/>
  <c r="AH261" i="77" s="1"/>
  <c r="AG262" i="77"/>
  <c r="AH262" i="77" s="1"/>
  <c r="AG263" i="77"/>
  <c r="AH263" i="77" s="1"/>
  <c r="AG264" i="77"/>
  <c r="AH264" i="77" s="1"/>
  <c r="AG265" i="77"/>
  <c r="AH265" i="77" s="1"/>
  <c r="AG266" i="77"/>
  <c r="AH266" i="77" s="1"/>
  <c r="AG267" i="77"/>
  <c r="AH267" i="77" s="1"/>
  <c r="AG268" i="77"/>
  <c r="AH268" i="77" s="1"/>
  <c r="AG269" i="77"/>
  <c r="AH269" i="77" s="1"/>
  <c r="AG270" i="77"/>
  <c r="AH270" i="77" s="1"/>
  <c r="AG271" i="77"/>
  <c r="AH271" i="77" s="1"/>
  <c r="AG272" i="77"/>
  <c r="AH272" i="77" s="1"/>
  <c r="AG273" i="77"/>
  <c r="AH273" i="77" s="1"/>
  <c r="AG274" i="77"/>
  <c r="AH274" i="77" s="1"/>
  <c r="AG275" i="77"/>
  <c r="AH275" i="77" s="1"/>
  <c r="AG276" i="77"/>
  <c r="AH276" i="77" s="1"/>
  <c r="AG277" i="77"/>
  <c r="AH277" i="77" s="1"/>
  <c r="AG278" i="77"/>
  <c r="AH278" i="77" s="1"/>
  <c r="AG279" i="77"/>
  <c r="AH279" i="77" s="1"/>
  <c r="AG280" i="77"/>
  <c r="AH280" i="77" s="1"/>
  <c r="AG281" i="77"/>
  <c r="AH281" i="77" s="1"/>
  <c r="AG282" i="77"/>
  <c r="AH282" i="77" s="1"/>
  <c r="AG283" i="77"/>
  <c r="AH283" i="77" s="1"/>
  <c r="AG284" i="77"/>
  <c r="AH284" i="77" s="1"/>
  <c r="AG285" i="77"/>
  <c r="AH285" i="77" s="1"/>
  <c r="AG286" i="77"/>
  <c r="AH286" i="77" s="1"/>
  <c r="AG287" i="77"/>
  <c r="AH287" i="77" s="1"/>
  <c r="AG288" i="77"/>
  <c r="AH288" i="77" s="1"/>
  <c r="AG289" i="77"/>
  <c r="AH289" i="77" s="1"/>
  <c r="AG290" i="77"/>
  <c r="AH290" i="77" s="1"/>
  <c r="AG291" i="77"/>
  <c r="AH291" i="77" s="1"/>
  <c r="AG292" i="77"/>
  <c r="AH292" i="77" s="1"/>
  <c r="AG293" i="77"/>
  <c r="AH293" i="77" s="1"/>
  <c r="AG294" i="77"/>
  <c r="AH294" i="77" s="1"/>
  <c r="AG295" i="77"/>
  <c r="AH295" i="77" s="1"/>
  <c r="AG296" i="77"/>
  <c r="AH296" i="77" s="1"/>
  <c r="AG297" i="77"/>
  <c r="AH297" i="77" s="1"/>
  <c r="AG298" i="77"/>
  <c r="AH298" i="77" s="1"/>
  <c r="AG299" i="77"/>
  <c r="AH299" i="77" s="1"/>
  <c r="AG300" i="77"/>
  <c r="AH300" i="77" s="1"/>
  <c r="AG301" i="77"/>
  <c r="AH301" i="77" s="1"/>
  <c r="AG302" i="77"/>
  <c r="AH302" i="77" s="1"/>
  <c r="AG303" i="77"/>
  <c r="AH303" i="77" s="1"/>
  <c r="AG304" i="77"/>
  <c r="AH304" i="77" s="1"/>
  <c r="AG305" i="77"/>
  <c r="AH305" i="77" s="1"/>
  <c r="AG306" i="77"/>
  <c r="AH306" i="77" s="1"/>
  <c r="AG307" i="77"/>
  <c r="AH307" i="77" s="1"/>
  <c r="AG308" i="77"/>
  <c r="AH308" i="77" s="1"/>
  <c r="AC9" i="77"/>
  <c r="AD9" i="77" s="1"/>
  <c r="AC10" i="77"/>
  <c r="AD10" i="77" s="1"/>
  <c r="AC13" i="77"/>
  <c r="AD13" i="77" s="1"/>
  <c r="AC14" i="77"/>
  <c r="AD14" i="77" s="1"/>
  <c r="AC15" i="77"/>
  <c r="AD15" i="77" s="1"/>
  <c r="AC16" i="77"/>
  <c r="AD16" i="77" s="1"/>
  <c r="AC28" i="77"/>
  <c r="AD28" i="77" s="1"/>
  <c r="AC29" i="77"/>
  <c r="AD29" i="77" s="1"/>
  <c r="AC30" i="77"/>
  <c r="AD30" i="77" s="1"/>
  <c r="AC31" i="77"/>
  <c r="AD31" i="77" s="1"/>
  <c r="AC32" i="77"/>
  <c r="AD32" i="77" s="1"/>
  <c r="AC33" i="77"/>
  <c r="AD33" i="77" s="1"/>
  <c r="AC34" i="77"/>
  <c r="AD34" i="77" s="1"/>
  <c r="AC35" i="77"/>
  <c r="AD35" i="77" s="1"/>
  <c r="AC36" i="77"/>
  <c r="AD36" i="77" s="1"/>
  <c r="AC37" i="77"/>
  <c r="AD37" i="77" s="1"/>
  <c r="AC44" i="77"/>
  <c r="AD44" i="77" s="1"/>
  <c r="AC45" i="77"/>
  <c r="AD45" i="77" s="1"/>
  <c r="AC46" i="77"/>
  <c r="AD46" i="77" s="1"/>
  <c r="AC47" i="77"/>
  <c r="AD47" i="77" s="1"/>
  <c r="AC48" i="77"/>
  <c r="AD48" i="77" s="1"/>
  <c r="AC49" i="77"/>
  <c r="AD49" i="77" s="1"/>
  <c r="AC50" i="77"/>
  <c r="AD50" i="77" s="1"/>
  <c r="AC51" i="77"/>
  <c r="AD51" i="77" s="1"/>
  <c r="AC52" i="77"/>
  <c r="AD52" i="77" s="1"/>
  <c r="AC53" i="77"/>
  <c r="AD53" i="77" s="1"/>
  <c r="AC54" i="77"/>
  <c r="AD54" i="77" s="1"/>
  <c r="AC55" i="77"/>
  <c r="AD55" i="77" s="1"/>
  <c r="AC56" i="77"/>
  <c r="AD56" i="77" s="1"/>
  <c r="AC57" i="77"/>
  <c r="AD57" i="77" s="1"/>
  <c r="AC58" i="77"/>
  <c r="AD58" i="77" s="1"/>
  <c r="AC59" i="77"/>
  <c r="AD59" i="77" s="1"/>
  <c r="AC60" i="77"/>
  <c r="AD60" i="77" s="1"/>
  <c r="AC61" i="77"/>
  <c r="AD61" i="77" s="1"/>
  <c r="AC62" i="77"/>
  <c r="AD62" i="77" s="1"/>
  <c r="AC63" i="77"/>
  <c r="AD63" i="77" s="1"/>
  <c r="AC64" i="77"/>
  <c r="AD64" i="77" s="1"/>
  <c r="AC65" i="77"/>
  <c r="AD65" i="77" s="1"/>
  <c r="AC66" i="77"/>
  <c r="AD66" i="77" s="1"/>
  <c r="AC67" i="77"/>
  <c r="AD67" i="77" s="1"/>
  <c r="AC68" i="77"/>
  <c r="AD68" i="77" s="1"/>
  <c r="AC69" i="77"/>
  <c r="AD69" i="77" s="1"/>
  <c r="AC70" i="77"/>
  <c r="AD70" i="77" s="1"/>
  <c r="AC71" i="77"/>
  <c r="AD71" i="77" s="1"/>
  <c r="AC72" i="77"/>
  <c r="AD72" i="77" s="1"/>
  <c r="AC73" i="77"/>
  <c r="AD73" i="77" s="1"/>
  <c r="AC74" i="77"/>
  <c r="AD74" i="77" s="1"/>
  <c r="AC75" i="77"/>
  <c r="AD75" i="77" s="1"/>
  <c r="AC76" i="77"/>
  <c r="AD76" i="77" s="1"/>
  <c r="AC77" i="77"/>
  <c r="AD77" i="77" s="1"/>
  <c r="AC78" i="77"/>
  <c r="AD78" i="77" s="1"/>
  <c r="AC79" i="77"/>
  <c r="AD79" i="77" s="1"/>
  <c r="AC80" i="77"/>
  <c r="AD80" i="77" s="1"/>
  <c r="AC81" i="77"/>
  <c r="AD81" i="77" s="1"/>
  <c r="AC82" i="77"/>
  <c r="AD82" i="77" s="1"/>
  <c r="AC83" i="77"/>
  <c r="AD83" i="77" s="1"/>
  <c r="AC84" i="77"/>
  <c r="AD84" i="77" s="1"/>
  <c r="AC85" i="77"/>
  <c r="AD85" i="77" s="1"/>
  <c r="AC86" i="77"/>
  <c r="AD86" i="77" s="1"/>
  <c r="AC87" i="77"/>
  <c r="AD87" i="77" s="1"/>
  <c r="AC88" i="77"/>
  <c r="AD88" i="77" s="1"/>
  <c r="AC89" i="77"/>
  <c r="AD89" i="77" s="1"/>
  <c r="AC90" i="77"/>
  <c r="AD90" i="77" s="1"/>
  <c r="AC91" i="77"/>
  <c r="AD91" i="77" s="1"/>
  <c r="AC92" i="77"/>
  <c r="AD92" i="77" s="1"/>
  <c r="AC93" i="77"/>
  <c r="AD93" i="77" s="1"/>
  <c r="AC94" i="77"/>
  <c r="AD94" i="77" s="1"/>
  <c r="AC95" i="77"/>
  <c r="AD95" i="77" s="1"/>
  <c r="AC96" i="77"/>
  <c r="AD96" i="77" s="1"/>
  <c r="AC97" i="77"/>
  <c r="AD97" i="77" s="1"/>
  <c r="AC98" i="77"/>
  <c r="AD98" i="77" s="1"/>
  <c r="AC99" i="77"/>
  <c r="AD99" i="77" s="1"/>
  <c r="AC100" i="77"/>
  <c r="AD100" i="77" s="1"/>
  <c r="AC101" i="77"/>
  <c r="AD101" i="77" s="1"/>
  <c r="AC102" i="77"/>
  <c r="AD102" i="77" s="1"/>
  <c r="AC103" i="77"/>
  <c r="AD103" i="77" s="1"/>
  <c r="AC104" i="77"/>
  <c r="AD104" i="77" s="1"/>
  <c r="AC105" i="77"/>
  <c r="AD105" i="77" s="1"/>
  <c r="AC106" i="77"/>
  <c r="AD106" i="77" s="1"/>
  <c r="AC107" i="77"/>
  <c r="AD107" i="77" s="1"/>
  <c r="AC108" i="77"/>
  <c r="AD108" i="77" s="1"/>
  <c r="AC109" i="77"/>
  <c r="AD109" i="77" s="1"/>
  <c r="AC110" i="77"/>
  <c r="AD110" i="77" s="1"/>
  <c r="AC111" i="77"/>
  <c r="AD111" i="77" s="1"/>
  <c r="AC112" i="77"/>
  <c r="AD112" i="77" s="1"/>
  <c r="AC113" i="77"/>
  <c r="AD113" i="77" s="1"/>
  <c r="AC114" i="77"/>
  <c r="AD114" i="77" s="1"/>
  <c r="AC115" i="77"/>
  <c r="AD115" i="77" s="1"/>
  <c r="AC116" i="77"/>
  <c r="AD116" i="77" s="1"/>
  <c r="AC117" i="77"/>
  <c r="AD117" i="77" s="1"/>
  <c r="AC118" i="77"/>
  <c r="AD118" i="77" s="1"/>
  <c r="AC119" i="77"/>
  <c r="AD119" i="77" s="1"/>
  <c r="AC120" i="77"/>
  <c r="AD120" i="77" s="1"/>
  <c r="AC121" i="77"/>
  <c r="AD121" i="77" s="1"/>
  <c r="AC122" i="77"/>
  <c r="AD122" i="77" s="1"/>
  <c r="AC123" i="77"/>
  <c r="AD123" i="77" s="1"/>
  <c r="AC124" i="77"/>
  <c r="AD124" i="77" s="1"/>
  <c r="AC125" i="77"/>
  <c r="AD125" i="77" s="1"/>
  <c r="AC126" i="77"/>
  <c r="AD126" i="77" s="1"/>
  <c r="AC127" i="77"/>
  <c r="AD127" i="77" s="1"/>
  <c r="AC128" i="77"/>
  <c r="AD128" i="77" s="1"/>
  <c r="AC129" i="77"/>
  <c r="AD129" i="77" s="1"/>
  <c r="AC130" i="77"/>
  <c r="AD130" i="77" s="1"/>
  <c r="AC131" i="77"/>
  <c r="AD131" i="77" s="1"/>
  <c r="AC132" i="77"/>
  <c r="AD132" i="77" s="1"/>
  <c r="AC133" i="77"/>
  <c r="AD133" i="77" s="1"/>
  <c r="AC134" i="77"/>
  <c r="AD134" i="77" s="1"/>
  <c r="AC135" i="77"/>
  <c r="AD135" i="77" s="1"/>
  <c r="AC136" i="77"/>
  <c r="AD136" i="77" s="1"/>
  <c r="AC137" i="77"/>
  <c r="AD137" i="77" s="1"/>
  <c r="AC138" i="77"/>
  <c r="AD138" i="77" s="1"/>
  <c r="AC139" i="77"/>
  <c r="AD139" i="77" s="1"/>
  <c r="AC140" i="77"/>
  <c r="AD140" i="77" s="1"/>
  <c r="AC141" i="77"/>
  <c r="AD141" i="77" s="1"/>
  <c r="AC142" i="77"/>
  <c r="AD142" i="77" s="1"/>
  <c r="AC143" i="77"/>
  <c r="AD143" i="77" s="1"/>
  <c r="AC144" i="77"/>
  <c r="AD144" i="77" s="1"/>
  <c r="AC145" i="77"/>
  <c r="AD145" i="77" s="1"/>
  <c r="AC146" i="77"/>
  <c r="AD146" i="77" s="1"/>
  <c r="AC147" i="77"/>
  <c r="AD147" i="77" s="1"/>
  <c r="AC148" i="77"/>
  <c r="AD148" i="77" s="1"/>
  <c r="AC149" i="77"/>
  <c r="AD149" i="77" s="1"/>
  <c r="AC150" i="77"/>
  <c r="AD150" i="77" s="1"/>
  <c r="AC151" i="77"/>
  <c r="AD151" i="77" s="1"/>
  <c r="AC152" i="77"/>
  <c r="AD152" i="77" s="1"/>
  <c r="AC153" i="77"/>
  <c r="AD153" i="77" s="1"/>
  <c r="AC154" i="77"/>
  <c r="AD154" i="77" s="1"/>
  <c r="AC155" i="77"/>
  <c r="AD155" i="77" s="1"/>
  <c r="AC156" i="77"/>
  <c r="AD156" i="77" s="1"/>
  <c r="AC157" i="77"/>
  <c r="AD157" i="77" s="1"/>
  <c r="AC158" i="77"/>
  <c r="AD158" i="77" s="1"/>
  <c r="AC159" i="77"/>
  <c r="AD159" i="77" s="1"/>
  <c r="AC160" i="77"/>
  <c r="AD160" i="77" s="1"/>
  <c r="AC161" i="77"/>
  <c r="AD161" i="77" s="1"/>
  <c r="AC162" i="77"/>
  <c r="AD162" i="77" s="1"/>
  <c r="AC163" i="77"/>
  <c r="AD163" i="77" s="1"/>
  <c r="AC164" i="77"/>
  <c r="AD164" i="77" s="1"/>
  <c r="AC165" i="77"/>
  <c r="AD165" i="77" s="1"/>
  <c r="AC166" i="77"/>
  <c r="AD166" i="77" s="1"/>
  <c r="AC167" i="77"/>
  <c r="AD167" i="77" s="1"/>
  <c r="AC168" i="77"/>
  <c r="AD168" i="77" s="1"/>
  <c r="AC169" i="77"/>
  <c r="AD169" i="77" s="1"/>
  <c r="AC170" i="77"/>
  <c r="AD170" i="77" s="1"/>
  <c r="AC171" i="77"/>
  <c r="AD171" i="77" s="1"/>
  <c r="AC172" i="77"/>
  <c r="AD172" i="77" s="1"/>
  <c r="AC173" i="77"/>
  <c r="AD173" i="77" s="1"/>
  <c r="AC174" i="77"/>
  <c r="AD174" i="77" s="1"/>
  <c r="AC175" i="77"/>
  <c r="AD175" i="77" s="1"/>
  <c r="AC176" i="77"/>
  <c r="AD176" i="77" s="1"/>
  <c r="AC177" i="77"/>
  <c r="AD177" i="77" s="1"/>
  <c r="AC178" i="77"/>
  <c r="AD178" i="77" s="1"/>
  <c r="AC179" i="77"/>
  <c r="AD179" i="77" s="1"/>
  <c r="AC180" i="77"/>
  <c r="AD180" i="77" s="1"/>
  <c r="AC181" i="77"/>
  <c r="AD181" i="77" s="1"/>
  <c r="AC182" i="77"/>
  <c r="AD182" i="77" s="1"/>
  <c r="AC183" i="77"/>
  <c r="AD183" i="77" s="1"/>
  <c r="AC184" i="77"/>
  <c r="AD184" i="77" s="1"/>
  <c r="AC185" i="77"/>
  <c r="AD185" i="77" s="1"/>
  <c r="AC186" i="77"/>
  <c r="AD186" i="77" s="1"/>
  <c r="AC187" i="77"/>
  <c r="AD187" i="77" s="1"/>
  <c r="AC188" i="77"/>
  <c r="AD188" i="77" s="1"/>
  <c r="AC189" i="77"/>
  <c r="AD189" i="77" s="1"/>
  <c r="AC190" i="77"/>
  <c r="AD190" i="77" s="1"/>
  <c r="AC191" i="77"/>
  <c r="AD191" i="77" s="1"/>
  <c r="AC192" i="77"/>
  <c r="AD192" i="77" s="1"/>
  <c r="AC193" i="77"/>
  <c r="AD193" i="77" s="1"/>
  <c r="AC194" i="77"/>
  <c r="AD194" i="77" s="1"/>
  <c r="AC195" i="77"/>
  <c r="AD195" i="77" s="1"/>
  <c r="AC196" i="77"/>
  <c r="AD196" i="77" s="1"/>
  <c r="AC197" i="77"/>
  <c r="AD197" i="77" s="1"/>
  <c r="AC198" i="77"/>
  <c r="AD198" i="77" s="1"/>
  <c r="AC199" i="77"/>
  <c r="AD199" i="77" s="1"/>
  <c r="AC200" i="77"/>
  <c r="AD200" i="77" s="1"/>
  <c r="AC201" i="77"/>
  <c r="AD201" i="77" s="1"/>
  <c r="AC202" i="77"/>
  <c r="AD202" i="77" s="1"/>
  <c r="AC203" i="77"/>
  <c r="AD203" i="77" s="1"/>
  <c r="AC204" i="77"/>
  <c r="AD204" i="77" s="1"/>
  <c r="AC205" i="77"/>
  <c r="AD205" i="77" s="1"/>
  <c r="AC206" i="77"/>
  <c r="AD206" i="77" s="1"/>
  <c r="AC207" i="77"/>
  <c r="AD207" i="77" s="1"/>
  <c r="AC208" i="77"/>
  <c r="AD208" i="77" s="1"/>
  <c r="AC209" i="77"/>
  <c r="AD209" i="77" s="1"/>
  <c r="AC210" i="77"/>
  <c r="AD210" i="77" s="1"/>
  <c r="AC211" i="77"/>
  <c r="AD211" i="77" s="1"/>
  <c r="AC212" i="77"/>
  <c r="AD212" i="77" s="1"/>
  <c r="AC213" i="77"/>
  <c r="AD213" i="77" s="1"/>
  <c r="AC214" i="77"/>
  <c r="AD214" i="77" s="1"/>
  <c r="AC215" i="77"/>
  <c r="AD215" i="77" s="1"/>
  <c r="AC216" i="77"/>
  <c r="AD216" i="77" s="1"/>
  <c r="AC217" i="77"/>
  <c r="AD217" i="77" s="1"/>
  <c r="AC218" i="77"/>
  <c r="AD218" i="77" s="1"/>
  <c r="AC219" i="77"/>
  <c r="AD219" i="77" s="1"/>
  <c r="AC220" i="77"/>
  <c r="AD220" i="77" s="1"/>
  <c r="AC221" i="77"/>
  <c r="AD221" i="77" s="1"/>
  <c r="AC222" i="77"/>
  <c r="AD222" i="77" s="1"/>
  <c r="AC223" i="77"/>
  <c r="AD223" i="77" s="1"/>
  <c r="AC224" i="77"/>
  <c r="AD224" i="77" s="1"/>
  <c r="AC225" i="77"/>
  <c r="AD225" i="77" s="1"/>
  <c r="AC226" i="77"/>
  <c r="AD226" i="77" s="1"/>
  <c r="AC227" i="77"/>
  <c r="AD227" i="77" s="1"/>
  <c r="AC228" i="77"/>
  <c r="AD228" i="77" s="1"/>
  <c r="AC229" i="77"/>
  <c r="AD229" i="77" s="1"/>
  <c r="AC230" i="77"/>
  <c r="AD230" i="77" s="1"/>
  <c r="AC231" i="77"/>
  <c r="AD231" i="77" s="1"/>
  <c r="AC232" i="77"/>
  <c r="AD232" i="77" s="1"/>
  <c r="AC233" i="77"/>
  <c r="AD233" i="77" s="1"/>
  <c r="AC234" i="77"/>
  <c r="AD234" i="77" s="1"/>
  <c r="AC235" i="77"/>
  <c r="AD235" i="77" s="1"/>
  <c r="AC236" i="77"/>
  <c r="AD236" i="77" s="1"/>
  <c r="AC237" i="77"/>
  <c r="AD237" i="77" s="1"/>
  <c r="AC238" i="77"/>
  <c r="AD238" i="77" s="1"/>
  <c r="AC239" i="77"/>
  <c r="AD239" i="77" s="1"/>
  <c r="AC240" i="77"/>
  <c r="AD240" i="77" s="1"/>
  <c r="AC241" i="77"/>
  <c r="AD241" i="77" s="1"/>
  <c r="AC242" i="77"/>
  <c r="AD242" i="77" s="1"/>
  <c r="AC243" i="77"/>
  <c r="AD243" i="77" s="1"/>
  <c r="AC244" i="77"/>
  <c r="AD244" i="77" s="1"/>
  <c r="AC245" i="77"/>
  <c r="AD245" i="77" s="1"/>
  <c r="AC246" i="77"/>
  <c r="AD246" i="77" s="1"/>
  <c r="AC247" i="77"/>
  <c r="AD247" i="77" s="1"/>
  <c r="AC248" i="77"/>
  <c r="AD248" i="77" s="1"/>
  <c r="AC249" i="77"/>
  <c r="AD249" i="77" s="1"/>
  <c r="AC250" i="77"/>
  <c r="AD250" i="77" s="1"/>
  <c r="AC251" i="77"/>
  <c r="AD251" i="77" s="1"/>
  <c r="AC252" i="77"/>
  <c r="AD252" i="77" s="1"/>
  <c r="AC253" i="77"/>
  <c r="AD253" i="77" s="1"/>
  <c r="AC254" i="77"/>
  <c r="AD254" i="77" s="1"/>
  <c r="AC255" i="77"/>
  <c r="AD255" i="77" s="1"/>
  <c r="AC256" i="77"/>
  <c r="AD256" i="77" s="1"/>
  <c r="AC257" i="77"/>
  <c r="AD257" i="77" s="1"/>
  <c r="AC258" i="77"/>
  <c r="AD258" i="77" s="1"/>
  <c r="AC259" i="77"/>
  <c r="AD259" i="77" s="1"/>
  <c r="AC260" i="77"/>
  <c r="AD260" i="77" s="1"/>
  <c r="AC261" i="77"/>
  <c r="AD261" i="77" s="1"/>
  <c r="AC262" i="77"/>
  <c r="AD262" i="77" s="1"/>
  <c r="AC263" i="77"/>
  <c r="AD263" i="77" s="1"/>
  <c r="AC264" i="77"/>
  <c r="AD264" i="77" s="1"/>
  <c r="AC265" i="77"/>
  <c r="AD265" i="77" s="1"/>
  <c r="AC266" i="77"/>
  <c r="AD266" i="77" s="1"/>
  <c r="AC267" i="77"/>
  <c r="AD267" i="77" s="1"/>
  <c r="AC268" i="77"/>
  <c r="AD268" i="77" s="1"/>
  <c r="AC269" i="77"/>
  <c r="AD269" i="77" s="1"/>
  <c r="AC270" i="77"/>
  <c r="AD270" i="77" s="1"/>
  <c r="AC271" i="77"/>
  <c r="AD271" i="77" s="1"/>
  <c r="AC272" i="77"/>
  <c r="AD272" i="77" s="1"/>
  <c r="AC273" i="77"/>
  <c r="AD273" i="77" s="1"/>
  <c r="AC274" i="77"/>
  <c r="AD274" i="77" s="1"/>
  <c r="AC275" i="77"/>
  <c r="AD275" i="77" s="1"/>
  <c r="AC276" i="77"/>
  <c r="AD276" i="77" s="1"/>
  <c r="AC277" i="77"/>
  <c r="AD277" i="77" s="1"/>
  <c r="AC278" i="77"/>
  <c r="AD278" i="77" s="1"/>
  <c r="AC279" i="77"/>
  <c r="AD279" i="77" s="1"/>
  <c r="AC280" i="77"/>
  <c r="AD280" i="77" s="1"/>
  <c r="AC281" i="77"/>
  <c r="AD281" i="77" s="1"/>
  <c r="AC282" i="77"/>
  <c r="AD282" i="77" s="1"/>
  <c r="AC283" i="77"/>
  <c r="AD283" i="77" s="1"/>
  <c r="AC284" i="77"/>
  <c r="AD284" i="77" s="1"/>
  <c r="AC285" i="77"/>
  <c r="AD285" i="77" s="1"/>
  <c r="AC286" i="77"/>
  <c r="AD286" i="77" s="1"/>
  <c r="AC287" i="77"/>
  <c r="AD287" i="77" s="1"/>
  <c r="AC288" i="77"/>
  <c r="AD288" i="77" s="1"/>
  <c r="AC289" i="77"/>
  <c r="AD289" i="77" s="1"/>
  <c r="AC290" i="77"/>
  <c r="AD290" i="77" s="1"/>
  <c r="AC291" i="77"/>
  <c r="AD291" i="77" s="1"/>
  <c r="AC292" i="77"/>
  <c r="AD292" i="77" s="1"/>
  <c r="AC293" i="77"/>
  <c r="AD293" i="77" s="1"/>
  <c r="AC294" i="77"/>
  <c r="AD294" i="77" s="1"/>
  <c r="AC295" i="77"/>
  <c r="AD295" i="77" s="1"/>
  <c r="AC296" i="77"/>
  <c r="AD296" i="77" s="1"/>
  <c r="AC297" i="77"/>
  <c r="AD297" i="77" s="1"/>
  <c r="AC298" i="77"/>
  <c r="AD298" i="77" s="1"/>
  <c r="AC299" i="77"/>
  <c r="AD299" i="77" s="1"/>
  <c r="AC300" i="77"/>
  <c r="AD300" i="77" s="1"/>
  <c r="AC301" i="77"/>
  <c r="AD301" i="77" s="1"/>
  <c r="AC302" i="77"/>
  <c r="AD302" i="77" s="1"/>
  <c r="AC303" i="77"/>
  <c r="AD303" i="77" s="1"/>
  <c r="AC304" i="77"/>
  <c r="AD304" i="77" s="1"/>
  <c r="AC305" i="77"/>
  <c r="AD305" i="77" s="1"/>
  <c r="AC306" i="77"/>
  <c r="AD306" i="77" s="1"/>
  <c r="AC307" i="77"/>
  <c r="AD307" i="77" s="1"/>
  <c r="AC308" i="77"/>
  <c r="AD308" i="77" s="1"/>
  <c r="M9" i="77"/>
  <c r="N9" i="77" s="1"/>
  <c r="O9" i="77"/>
  <c r="P9" i="77" s="1"/>
  <c r="Q9" i="77"/>
  <c r="R9" i="77" s="1"/>
  <c r="S9" i="77"/>
  <c r="T9" i="77" s="1"/>
  <c r="U9" i="77"/>
  <c r="V9" i="77" s="1"/>
  <c r="W9" i="77"/>
  <c r="X9" i="77" s="1"/>
  <c r="Y9" i="77"/>
  <c r="Z9" i="77" s="1"/>
  <c r="M10" i="77"/>
  <c r="N10" i="77" s="1"/>
  <c r="O10" i="77"/>
  <c r="P10" i="77" s="1"/>
  <c r="Q10" i="77"/>
  <c r="R10" i="77" s="1"/>
  <c r="S10" i="77"/>
  <c r="T10" i="77" s="1"/>
  <c r="U10" i="77"/>
  <c r="V10" i="77" s="1"/>
  <c r="W10" i="77"/>
  <c r="X10" i="77" s="1"/>
  <c r="Y10" i="77"/>
  <c r="Z10" i="77" s="1"/>
  <c r="M13" i="77"/>
  <c r="N13" i="77" s="1"/>
  <c r="O13" i="77"/>
  <c r="P13" i="77" s="1"/>
  <c r="Q13" i="77"/>
  <c r="R13" i="77" s="1"/>
  <c r="S13" i="77"/>
  <c r="T13" i="77" s="1"/>
  <c r="U13" i="77"/>
  <c r="V13" i="77" s="1"/>
  <c r="W13" i="77"/>
  <c r="X13" i="77" s="1"/>
  <c r="Y13" i="77"/>
  <c r="Z13" i="77" s="1"/>
  <c r="M14" i="77"/>
  <c r="N14" i="77" s="1"/>
  <c r="O14" i="77"/>
  <c r="P14" i="77" s="1"/>
  <c r="Q14" i="77"/>
  <c r="R14" i="77" s="1"/>
  <c r="S14" i="77"/>
  <c r="T14" i="77" s="1"/>
  <c r="U14" i="77"/>
  <c r="V14" i="77" s="1"/>
  <c r="W14" i="77"/>
  <c r="X14" i="77" s="1"/>
  <c r="Y14" i="77"/>
  <c r="Z14" i="77" s="1"/>
  <c r="M15" i="77"/>
  <c r="N15" i="77" s="1"/>
  <c r="O15" i="77"/>
  <c r="P15" i="77" s="1"/>
  <c r="Q15" i="77"/>
  <c r="R15" i="77" s="1"/>
  <c r="S15" i="77"/>
  <c r="T15" i="77" s="1"/>
  <c r="U15" i="77"/>
  <c r="V15" i="77" s="1"/>
  <c r="W15" i="77"/>
  <c r="X15" i="77" s="1"/>
  <c r="Y15" i="77"/>
  <c r="Z15" i="77" s="1"/>
  <c r="M16" i="77"/>
  <c r="N16" i="77" s="1"/>
  <c r="O16" i="77"/>
  <c r="P16" i="77" s="1"/>
  <c r="Q16" i="77"/>
  <c r="R16" i="77" s="1"/>
  <c r="S16" i="77"/>
  <c r="T16" i="77" s="1"/>
  <c r="U16" i="77"/>
  <c r="V16" i="77" s="1"/>
  <c r="W16" i="77"/>
  <c r="X16" i="77" s="1"/>
  <c r="Y16" i="77"/>
  <c r="Z16" i="77" s="1"/>
  <c r="M28" i="77"/>
  <c r="N28" i="77" s="1"/>
  <c r="O28" i="77"/>
  <c r="P28" i="77" s="1"/>
  <c r="Q28" i="77"/>
  <c r="R28" i="77" s="1"/>
  <c r="S28" i="77"/>
  <c r="T28" i="77" s="1"/>
  <c r="U28" i="77"/>
  <c r="V28" i="77" s="1"/>
  <c r="W28" i="77"/>
  <c r="X28" i="77" s="1"/>
  <c r="Y28" i="77"/>
  <c r="Z28" i="77" s="1"/>
  <c r="M29" i="77"/>
  <c r="N29" i="77" s="1"/>
  <c r="O29" i="77"/>
  <c r="P29" i="77" s="1"/>
  <c r="Q29" i="77"/>
  <c r="R29" i="77" s="1"/>
  <c r="S29" i="77"/>
  <c r="T29" i="77" s="1"/>
  <c r="U29" i="77"/>
  <c r="V29" i="77" s="1"/>
  <c r="W29" i="77"/>
  <c r="X29" i="77" s="1"/>
  <c r="Y29" i="77"/>
  <c r="Z29" i="77" s="1"/>
  <c r="M30" i="77"/>
  <c r="N30" i="77" s="1"/>
  <c r="O30" i="77"/>
  <c r="P30" i="77" s="1"/>
  <c r="Q30" i="77"/>
  <c r="R30" i="77" s="1"/>
  <c r="S30" i="77"/>
  <c r="T30" i="77" s="1"/>
  <c r="U30" i="77"/>
  <c r="V30" i="77" s="1"/>
  <c r="W30" i="77"/>
  <c r="X30" i="77" s="1"/>
  <c r="Y30" i="77"/>
  <c r="Z30" i="77" s="1"/>
  <c r="M31" i="77"/>
  <c r="N31" i="77" s="1"/>
  <c r="O31" i="77"/>
  <c r="P31" i="77" s="1"/>
  <c r="Q31" i="77"/>
  <c r="R31" i="77" s="1"/>
  <c r="S31" i="77"/>
  <c r="T31" i="77" s="1"/>
  <c r="U31" i="77"/>
  <c r="V31" i="77" s="1"/>
  <c r="W31" i="77"/>
  <c r="X31" i="77" s="1"/>
  <c r="Y31" i="77"/>
  <c r="Z31" i="77" s="1"/>
  <c r="M32" i="77"/>
  <c r="N32" i="77" s="1"/>
  <c r="O32" i="77"/>
  <c r="P32" i="77" s="1"/>
  <c r="Q32" i="77"/>
  <c r="R32" i="77" s="1"/>
  <c r="S32" i="77"/>
  <c r="T32" i="77" s="1"/>
  <c r="U32" i="77"/>
  <c r="V32" i="77" s="1"/>
  <c r="W32" i="77"/>
  <c r="X32" i="77" s="1"/>
  <c r="Y32" i="77"/>
  <c r="Z32" i="77" s="1"/>
  <c r="M33" i="77"/>
  <c r="N33" i="77" s="1"/>
  <c r="O33" i="77"/>
  <c r="P33" i="77" s="1"/>
  <c r="Q33" i="77"/>
  <c r="R33" i="77" s="1"/>
  <c r="S33" i="77"/>
  <c r="T33" i="77" s="1"/>
  <c r="U33" i="77"/>
  <c r="V33" i="77" s="1"/>
  <c r="W33" i="77"/>
  <c r="X33" i="77" s="1"/>
  <c r="Y33" i="77"/>
  <c r="Z33" i="77" s="1"/>
  <c r="M34" i="77"/>
  <c r="N34" i="77" s="1"/>
  <c r="O34" i="77"/>
  <c r="P34" i="77" s="1"/>
  <c r="Q34" i="77"/>
  <c r="R34" i="77" s="1"/>
  <c r="S34" i="77"/>
  <c r="T34" i="77" s="1"/>
  <c r="U34" i="77"/>
  <c r="V34" i="77" s="1"/>
  <c r="W34" i="77"/>
  <c r="X34" i="77" s="1"/>
  <c r="Y34" i="77"/>
  <c r="Z34" i="77" s="1"/>
  <c r="M35" i="77"/>
  <c r="N35" i="77" s="1"/>
  <c r="O35" i="77"/>
  <c r="P35" i="77" s="1"/>
  <c r="Q35" i="77"/>
  <c r="R35" i="77" s="1"/>
  <c r="S35" i="77"/>
  <c r="T35" i="77" s="1"/>
  <c r="U35" i="77"/>
  <c r="V35" i="77" s="1"/>
  <c r="W35" i="77"/>
  <c r="X35" i="77" s="1"/>
  <c r="Y35" i="77"/>
  <c r="Z35" i="77" s="1"/>
  <c r="M36" i="77"/>
  <c r="N36" i="77" s="1"/>
  <c r="O36" i="77"/>
  <c r="P36" i="77" s="1"/>
  <c r="Q36" i="77"/>
  <c r="R36" i="77" s="1"/>
  <c r="S36" i="77"/>
  <c r="T36" i="77" s="1"/>
  <c r="U36" i="77"/>
  <c r="V36" i="77" s="1"/>
  <c r="W36" i="77"/>
  <c r="X36" i="77" s="1"/>
  <c r="Y36" i="77"/>
  <c r="Z36" i="77" s="1"/>
  <c r="M37" i="77"/>
  <c r="N37" i="77" s="1"/>
  <c r="O37" i="77"/>
  <c r="P37" i="77" s="1"/>
  <c r="Q37" i="77"/>
  <c r="R37" i="77" s="1"/>
  <c r="S37" i="77"/>
  <c r="T37" i="77" s="1"/>
  <c r="U37" i="77"/>
  <c r="V37" i="77" s="1"/>
  <c r="W37" i="77"/>
  <c r="X37" i="77" s="1"/>
  <c r="Y37" i="77"/>
  <c r="Z37" i="77" s="1"/>
  <c r="M44" i="77"/>
  <c r="N44" i="77" s="1"/>
  <c r="O44" i="77"/>
  <c r="P44" i="77" s="1"/>
  <c r="Q44" i="77"/>
  <c r="R44" i="77" s="1"/>
  <c r="S44" i="77"/>
  <c r="T44" i="77" s="1"/>
  <c r="U44" i="77"/>
  <c r="V44" i="77" s="1"/>
  <c r="W44" i="77"/>
  <c r="X44" i="77" s="1"/>
  <c r="Y44" i="77"/>
  <c r="Z44" i="77" s="1"/>
  <c r="M45" i="77"/>
  <c r="N45" i="77" s="1"/>
  <c r="O45" i="77"/>
  <c r="P45" i="77" s="1"/>
  <c r="Q45" i="77"/>
  <c r="R45" i="77" s="1"/>
  <c r="S45" i="77"/>
  <c r="T45" i="77" s="1"/>
  <c r="U45" i="77"/>
  <c r="V45" i="77" s="1"/>
  <c r="W45" i="77"/>
  <c r="X45" i="77" s="1"/>
  <c r="Y45" i="77"/>
  <c r="Z45" i="77" s="1"/>
  <c r="M46" i="77"/>
  <c r="N46" i="77" s="1"/>
  <c r="O46" i="77"/>
  <c r="P46" i="77" s="1"/>
  <c r="Q46" i="77"/>
  <c r="R46" i="77" s="1"/>
  <c r="S46" i="77"/>
  <c r="T46" i="77" s="1"/>
  <c r="U46" i="77"/>
  <c r="V46" i="77" s="1"/>
  <c r="W46" i="77"/>
  <c r="X46" i="77" s="1"/>
  <c r="Y46" i="77"/>
  <c r="Z46" i="77" s="1"/>
  <c r="M47" i="77"/>
  <c r="N47" i="77" s="1"/>
  <c r="O47" i="77"/>
  <c r="P47" i="77" s="1"/>
  <c r="Q47" i="77"/>
  <c r="R47" i="77" s="1"/>
  <c r="S47" i="77"/>
  <c r="T47" i="77" s="1"/>
  <c r="U47" i="77"/>
  <c r="V47" i="77" s="1"/>
  <c r="W47" i="77"/>
  <c r="X47" i="77" s="1"/>
  <c r="Y47" i="77"/>
  <c r="Z47" i="77" s="1"/>
  <c r="M48" i="77"/>
  <c r="N48" i="77" s="1"/>
  <c r="O48" i="77"/>
  <c r="P48" i="77" s="1"/>
  <c r="Q48" i="77"/>
  <c r="R48" i="77" s="1"/>
  <c r="S48" i="77"/>
  <c r="T48" i="77" s="1"/>
  <c r="U48" i="77"/>
  <c r="V48" i="77" s="1"/>
  <c r="W48" i="77"/>
  <c r="X48" i="77" s="1"/>
  <c r="Y48" i="77"/>
  <c r="Z48" i="77" s="1"/>
  <c r="M49" i="77"/>
  <c r="N49" i="77" s="1"/>
  <c r="O49" i="77"/>
  <c r="P49" i="77" s="1"/>
  <c r="Q49" i="77"/>
  <c r="R49" i="77" s="1"/>
  <c r="S49" i="77"/>
  <c r="T49" i="77" s="1"/>
  <c r="U49" i="77"/>
  <c r="V49" i="77" s="1"/>
  <c r="W49" i="77"/>
  <c r="X49" i="77" s="1"/>
  <c r="Y49" i="77"/>
  <c r="Z49" i="77" s="1"/>
  <c r="M50" i="77"/>
  <c r="N50" i="77" s="1"/>
  <c r="O50" i="77"/>
  <c r="P50" i="77" s="1"/>
  <c r="Q50" i="77"/>
  <c r="R50" i="77" s="1"/>
  <c r="S50" i="77"/>
  <c r="T50" i="77" s="1"/>
  <c r="U50" i="77"/>
  <c r="V50" i="77" s="1"/>
  <c r="W50" i="77"/>
  <c r="X50" i="77" s="1"/>
  <c r="Y50" i="77"/>
  <c r="Z50" i="77" s="1"/>
  <c r="M51" i="77"/>
  <c r="N51" i="77" s="1"/>
  <c r="O51" i="77"/>
  <c r="P51" i="77" s="1"/>
  <c r="Q51" i="77"/>
  <c r="R51" i="77" s="1"/>
  <c r="S51" i="77"/>
  <c r="T51" i="77" s="1"/>
  <c r="U51" i="77"/>
  <c r="V51" i="77" s="1"/>
  <c r="W51" i="77"/>
  <c r="X51" i="77" s="1"/>
  <c r="Y51" i="77"/>
  <c r="Z51" i="77" s="1"/>
  <c r="M52" i="77"/>
  <c r="N52" i="77" s="1"/>
  <c r="O52" i="77"/>
  <c r="P52" i="77" s="1"/>
  <c r="Q52" i="77"/>
  <c r="R52" i="77" s="1"/>
  <c r="S52" i="77"/>
  <c r="T52" i="77" s="1"/>
  <c r="U52" i="77"/>
  <c r="V52" i="77" s="1"/>
  <c r="W52" i="77"/>
  <c r="X52" i="77" s="1"/>
  <c r="Y52" i="77"/>
  <c r="Z52" i="77" s="1"/>
  <c r="M53" i="77"/>
  <c r="N53" i="77" s="1"/>
  <c r="O53" i="77"/>
  <c r="P53" i="77" s="1"/>
  <c r="Q53" i="77"/>
  <c r="R53" i="77" s="1"/>
  <c r="S53" i="77"/>
  <c r="T53" i="77" s="1"/>
  <c r="U53" i="77"/>
  <c r="V53" i="77" s="1"/>
  <c r="W53" i="77"/>
  <c r="X53" i="77" s="1"/>
  <c r="Y53" i="77"/>
  <c r="Z53" i="77" s="1"/>
  <c r="M54" i="77"/>
  <c r="N54" i="77" s="1"/>
  <c r="O54" i="77"/>
  <c r="P54" i="77" s="1"/>
  <c r="Q54" i="77"/>
  <c r="R54" i="77" s="1"/>
  <c r="S54" i="77"/>
  <c r="T54" i="77" s="1"/>
  <c r="U54" i="77"/>
  <c r="V54" i="77" s="1"/>
  <c r="W54" i="77"/>
  <c r="X54" i="77" s="1"/>
  <c r="Y54" i="77"/>
  <c r="Z54" i="77" s="1"/>
  <c r="M55" i="77"/>
  <c r="N55" i="77" s="1"/>
  <c r="O55" i="77"/>
  <c r="P55" i="77" s="1"/>
  <c r="Q55" i="77"/>
  <c r="R55" i="77" s="1"/>
  <c r="S55" i="77"/>
  <c r="T55" i="77" s="1"/>
  <c r="U55" i="77"/>
  <c r="V55" i="77" s="1"/>
  <c r="W55" i="77"/>
  <c r="X55" i="77" s="1"/>
  <c r="Y55" i="77"/>
  <c r="Z55" i="77" s="1"/>
  <c r="M56" i="77"/>
  <c r="N56" i="77" s="1"/>
  <c r="O56" i="77"/>
  <c r="P56" i="77" s="1"/>
  <c r="Q56" i="77"/>
  <c r="R56" i="77" s="1"/>
  <c r="S56" i="77"/>
  <c r="T56" i="77" s="1"/>
  <c r="U56" i="77"/>
  <c r="V56" i="77" s="1"/>
  <c r="W56" i="77"/>
  <c r="X56" i="77" s="1"/>
  <c r="Y56" i="77"/>
  <c r="Z56" i="77" s="1"/>
  <c r="M57" i="77"/>
  <c r="N57" i="77" s="1"/>
  <c r="O57" i="77"/>
  <c r="P57" i="77" s="1"/>
  <c r="Q57" i="77"/>
  <c r="R57" i="77" s="1"/>
  <c r="S57" i="77"/>
  <c r="T57" i="77" s="1"/>
  <c r="U57" i="77"/>
  <c r="V57" i="77" s="1"/>
  <c r="W57" i="77"/>
  <c r="X57" i="77" s="1"/>
  <c r="Y57" i="77"/>
  <c r="Z57" i="77" s="1"/>
  <c r="M58" i="77"/>
  <c r="N58" i="77" s="1"/>
  <c r="O58" i="77"/>
  <c r="P58" i="77" s="1"/>
  <c r="Q58" i="77"/>
  <c r="R58" i="77" s="1"/>
  <c r="S58" i="77"/>
  <c r="T58" i="77" s="1"/>
  <c r="U58" i="77"/>
  <c r="V58" i="77" s="1"/>
  <c r="W58" i="77"/>
  <c r="X58" i="77" s="1"/>
  <c r="Y58" i="77"/>
  <c r="Z58" i="77" s="1"/>
  <c r="M59" i="77"/>
  <c r="N59" i="77" s="1"/>
  <c r="O59" i="77"/>
  <c r="P59" i="77" s="1"/>
  <c r="Q59" i="77"/>
  <c r="R59" i="77" s="1"/>
  <c r="S59" i="77"/>
  <c r="T59" i="77" s="1"/>
  <c r="U59" i="77"/>
  <c r="V59" i="77" s="1"/>
  <c r="W59" i="77"/>
  <c r="X59" i="77" s="1"/>
  <c r="Y59" i="77"/>
  <c r="Z59" i="77" s="1"/>
  <c r="M60" i="77"/>
  <c r="N60" i="77" s="1"/>
  <c r="O60" i="77"/>
  <c r="P60" i="77" s="1"/>
  <c r="Q60" i="77"/>
  <c r="R60" i="77" s="1"/>
  <c r="S60" i="77"/>
  <c r="T60" i="77" s="1"/>
  <c r="U60" i="77"/>
  <c r="V60" i="77" s="1"/>
  <c r="W60" i="77"/>
  <c r="X60" i="77" s="1"/>
  <c r="Y60" i="77"/>
  <c r="Z60" i="77" s="1"/>
  <c r="M61" i="77"/>
  <c r="N61" i="77" s="1"/>
  <c r="O61" i="77"/>
  <c r="P61" i="77"/>
  <c r="Q61" i="77"/>
  <c r="R61" i="77" s="1"/>
  <c r="S61" i="77"/>
  <c r="T61" i="77" s="1"/>
  <c r="U61" i="77"/>
  <c r="V61" i="77" s="1"/>
  <c r="W61" i="77"/>
  <c r="X61" i="77" s="1"/>
  <c r="Y61" i="77"/>
  <c r="Z61" i="77" s="1"/>
  <c r="M62" i="77"/>
  <c r="N62" i="77" s="1"/>
  <c r="O62" i="77"/>
  <c r="P62" i="77" s="1"/>
  <c r="Q62" i="77"/>
  <c r="R62" i="77" s="1"/>
  <c r="S62" i="77"/>
  <c r="T62" i="77" s="1"/>
  <c r="U62" i="77"/>
  <c r="V62" i="77" s="1"/>
  <c r="W62" i="77"/>
  <c r="X62" i="77" s="1"/>
  <c r="Y62" i="77"/>
  <c r="Z62" i="77" s="1"/>
  <c r="M63" i="77"/>
  <c r="N63" i="77" s="1"/>
  <c r="O63" i="77"/>
  <c r="P63" i="77" s="1"/>
  <c r="Q63" i="77"/>
  <c r="R63" i="77" s="1"/>
  <c r="S63" i="77"/>
  <c r="T63" i="77" s="1"/>
  <c r="U63" i="77"/>
  <c r="V63" i="77" s="1"/>
  <c r="W63" i="77"/>
  <c r="X63" i="77" s="1"/>
  <c r="Y63" i="77"/>
  <c r="Z63" i="77" s="1"/>
  <c r="M64" i="77"/>
  <c r="N64" i="77" s="1"/>
  <c r="O64" i="77"/>
  <c r="P64" i="77" s="1"/>
  <c r="Q64" i="77"/>
  <c r="R64" i="77" s="1"/>
  <c r="S64" i="77"/>
  <c r="T64" i="77" s="1"/>
  <c r="U64" i="77"/>
  <c r="V64" i="77" s="1"/>
  <c r="W64" i="77"/>
  <c r="X64" i="77" s="1"/>
  <c r="Y64" i="77"/>
  <c r="Z64" i="77" s="1"/>
  <c r="M65" i="77"/>
  <c r="N65" i="77" s="1"/>
  <c r="O65" i="77"/>
  <c r="P65" i="77" s="1"/>
  <c r="Q65" i="77"/>
  <c r="R65" i="77" s="1"/>
  <c r="S65" i="77"/>
  <c r="T65" i="77" s="1"/>
  <c r="U65" i="77"/>
  <c r="V65" i="77" s="1"/>
  <c r="W65" i="77"/>
  <c r="X65" i="77" s="1"/>
  <c r="Y65" i="77"/>
  <c r="Z65" i="77" s="1"/>
  <c r="M66" i="77"/>
  <c r="N66" i="77" s="1"/>
  <c r="O66" i="77"/>
  <c r="P66" i="77" s="1"/>
  <c r="Q66" i="77"/>
  <c r="R66" i="77" s="1"/>
  <c r="S66" i="77"/>
  <c r="T66" i="77" s="1"/>
  <c r="U66" i="77"/>
  <c r="V66" i="77" s="1"/>
  <c r="W66" i="77"/>
  <c r="X66" i="77" s="1"/>
  <c r="Y66" i="77"/>
  <c r="Z66" i="77" s="1"/>
  <c r="M67" i="77"/>
  <c r="N67" i="77" s="1"/>
  <c r="O67" i="77"/>
  <c r="P67" i="77" s="1"/>
  <c r="Q67" i="77"/>
  <c r="R67" i="77" s="1"/>
  <c r="S67" i="77"/>
  <c r="T67" i="77" s="1"/>
  <c r="U67" i="77"/>
  <c r="V67" i="77" s="1"/>
  <c r="W67" i="77"/>
  <c r="X67" i="77" s="1"/>
  <c r="Y67" i="77"/>
  <c r="Z67" i="77" s="1"/>
  <c r="M68" i="77"/>
  <c r="N68" i="77" s="1"/>
  <c r="O68" i="77"/>
  <c r="P68" i="77" s="1"/>
  <c r="Q68" i="77"/>
  <c r="R68" i="77" s="1"/>
  <c r="S68" i="77"/>
  <c r="T68" i="77" s="1"/>
  <c r="U68" i="77"/>
  <c r="V68" i="77" s="1"/>
  <c r="W68" i="77"/>
  <c r="X68" i="77" s="1"/>
  <c r="Y68" i="77"/>
  <c r="Z68" i="77" s="1"/>
  <c r="M69" i="77"/>
  <c r="N69" i="77" s="1"/>
  <c r="O69" i="77"/>
  <c r="P69" i="77" s="1"/>
  <c r="Q69" i="77"/>
  <c r="R69" i="77" s="1"/>
  <c r="S69" i="77"/>
  <c r="T69" i="77" s="1"/>
  <c r="U69" i="77"/>
  <c r="V69" i="77" s="1"/>
  <c r="W69" i="77"/>
  <c r="X69" i="77" s="1"/>
  <c r="Y69" i="77"/>
  <c r="Z69" i="77" s="1"/>
  <c r="M70" i="77"/>
  <c r="N70" i="77" s="1"/>
  <c r="O70" i="77"/>
  <c r="P70" i="77" s="1"/>
  <c r="Q70" i="77"/>
  <c r="R70" i="77" s="1"/>
  <c r="S70" i="77"/>
  <c r="T70" i="77" s="1"/>
  <c r="U70" i="77"/>
  <c r="V70" i="77" s="1"/>
  <c r="W70" i="77"/>
  <c r="X70" i="77" s="1"/>
  <c r="Y70" i="77"/>
  <c r="Z70" i="77" s="1"/>
  <c r="M71" i="77"/>
  <c r="N71" i="77" s="1"/>
  <c r="O71" i="77"/>
  <c r="P71" i="77" s="1"/>
  <c r="Q71" i="77"/>
  <c r="R71" i="77" s="1"/>
  <c r="S71" i="77"/>
  <c r="T71" i="77" s="1"/>
  <c r="U71" i="77"/>
  <c r="V71" i="77" s="1"/>
  <c r="W71" i="77"/>
  <c r="X71" i="77" s="1"/>
  <c r="Y71" i="77"/>
  <c r="Z71" i="77" s="1"/>
  <c r="M72" i="77"/>
  <c r="N72" i="77" s="1"/>
  <c r="O72" i="77"/>
  <c r="P72" i="77" s="1"/>
  <c r="Q72" i="77"/>
  <c r="R72" i="77" s="1"/>
  <c r="S72" i="77"/>
  <c r="T72" i="77" s="1"/>
  <c r="U72" i="77"/>
  <c r="V72" i="77" s="1"/>
  <c r="W72" i="77"/>
  <c r="X72" i="77" s="1"/>
  <c r="Y72" i="77"/>
  <c r="Z72" i="77" s="1"/>
  <c r="M73" i="77"/>
  <c r="N73" i="77" s="1"/>
  <c r="O73" i="77"/>
  <c r="P73" i="77" s="1"/>
  <c r="Q73" i="77"/>
  <c r="R73" i="77" s="1"/>
  <c r="S73" i="77"/>
  <c r="T73" i="77" s="1"/>
  <c r="U73" i="77"/>
  <c r="V73" i="77" s="1"/>
  <c r="W73" i="77"/>
  <c r="X73" i="77" s="1"/>
  <c r="Y73" i="77"/>
  <c r="Z73" i="77" s="1"/>
  <c r="M74" i="77"/>
  <c r="N74" i="77" s="1"/>
  <c r="O74" i="77"/>
  <c r="P74" i="77" s="1"/>
  <c r="Q74" i="77"/>
  <c r="R74" i="77" s="1"/>
  <c r="S74" i="77"/>
  <c r="T74" i="77" s="1"/>
  <c r="U74" i="77"/>
  <c r="V74" i="77" s="1"/>
  <c r="W74" i="77"/>
  <c r="X74" i="77" s="1"/>
  <c r="Y74" i="77"/>
  <c r="Z74" i="77" s="1"/>
  <c r="M75" i="77"/>
  <c r="N75" i="77" s="1"/>
  <c r="O75" i="77"/>
  <c r="P75" i="77" s="1"/>
  <c r="Q75" i="77"/>
  <c r="R75" i="77" s="1"/>
  <c r="S75" i="77"/>
  <c r="T75" i="77" s="1"/>
  <c r="U75" i="77"/>
  <c r="V75" i="77" s="1"/>
  <c r="W75" i="77"/>
  <c r="X75" i="77" s="1"/>
  <c r="Y75" i="77"/>
  <c r="Z75" i="77" s="1"/>
  <c r="M76" i="77"/>
  <c r="N76" i="77" s="1"/>
  <c r="O76" i="77"/>
  <c r="P76" i="77" s="1"/>
  <c r="Q76" i="77"/>
  <c r="R76" i="77" s="1"/>
  <c r="S76" i="77"/>
  <c r="T76" i="77" s="1"/>
  <c r="U76" i="77"/>
  <c r="V76" i="77" s="1"/>
  <c r="W76" i="77"/>
  <c r="X76" i="77" s="1"/>
  <c r="Y76" i="77"/>
  <c r="Z76" i="77" s="1"/>
  <c r="M77" i="77"/>
  <c r="N77" i="77" s="1"/>
  <c r="O77" i="77"/>
  <c r="P77" i="77" s="1"/>
  <c r="Q77" i="77"/>
  <c r="R77" i="77" s="1"/>
  <c r="S77" i="77"/>
  <c r="T77" i="77" s="1"/>
  <c r="U77" i="77"/>
  <c r="V77" i="77" s="1"/>
  <c r="W77" i="77"/>
  <c r="X77" i="77" s="1"/>
  <c r="Y77" i="77"/>
  <c r="Z77" i="77" s="1"/>
  <c r="M78" i="77"/>
  <c r="N78" i="77" s="1"/>
  <c r="O78" i="77"/>
  <c r="P78" i="77" s="1"/>
  <c r="Q78" i="77"/>
  <c r="R78" i="77"/>
  <c r="S78" i="77"/>
  <c r="T78" i="77" s="1"/>
  <c r="U78" i="77"/>
  <c r="V78" i="77" s="1"/>
  <c r="W78" i="77"/>
  <c r="X78" i="77" s="1"/>
  <c r="Y78" i="77"/>
  <c r="Z78" i="77" s="1"/>
  <c r="M79" i="77"/>
  <c r="N79" i="77" s="1"/>
  <c r="O79" i="77"/>
  <c r="P79" i="77" s="1"/>
  <c r="Q79" i="77"/>
  <c r="R79" i="77" s="1"/>
  <c r="S79" i="77"/>
  <c r="T79" i="77" s="1"/>
  <c r="U79" i="77"/>
  <c r="V79" i="77" s="1"/>
  <c r="W79" i="77"/>
  <c r="X79" i="77" s="1"/>
  <c r="Y79" i="77"/>
  <c r="Z79" i="77" s="1"/>
  <c r="M80" i="77"/>
  <c r="N80" i="77" s="1"/>
  <c r="O80" i="77"/>
  <c r="P80" i="77" s="1"/>
  <c r="Q80" i="77"/>
  <c r="R80" i="77" s="1"/>
  <c r="S80" i="77"/>
  <c r="T80" i="77" s="1"/>
  <c r="U80" i="77"/>
  <c r="V80" i="77" s="1"/>
  <c r="W80" i="77"/>
  <c r="X80" i="77" s="1"/>
  <c r="Y80" i="77"/>
  <c r="Z80" i="77" s="1"/>
  <c r="M81" i="77"/>
  <c r="N81" i="77" s="1"/>
  <c r="O81" i="77"/>
  <c r="P81" i="77" s="1"/>
  <c r="Q81" i="77"/>
  <c r="R81" i="77" s="1"/>
  <c r="S81" i="77"/>
  <c r="T81" i="77" s="1"/>
  <c r="U81" i="77"/>
  <c r="V81" i="77" s="1"/>
  <c r="W81" i="77"/>
  <c r="X81" i="77" s="1"/>
  <c r="Y81" i="77"/>
  <c r="Z81" i="77" s="1"/>
  <c r="M82" i="77"/>
  <c r="N82" i="77" s="1"/>
  <c r="O82" i="77"/>
  <c r="P82" i="77" s="1"/>
  <c r="Q82" i="77"/>
  <c r="R82" i="77" s="1"/>
  <c r="S82" i="77"/>
  <c r="T82" i="77" s="1"/>
  <c r="U82" i="77"/>
  <c r="V82" i="77" s="1"/>
  <c r="W82" i="77"/>
  <c r="X82" i="77" s="1"/>
  <c r="Y82" i="77"/>
  <c r="Z82" i="77" s="1"/>
  <c r="M83" i="77"/>
  <c r="N83" i="77" s="1"/>
  <c r="O83" i="77"/>
  <c r="P83" i="77" s="1"/>
  <c r="Q83" i="77"/>
  <c r="R83" i="77" s="1"/>
  <c r="S83" i="77"/>
  <c r="T83" i="77" s="1"/>
  <c r="U83" i="77"/>
  <c r="V83" i="77" s="1"/>
  <c r="W83" i="77"/>
  <c r="X83" i="77" s="1"/>
  <c r="Y83" i="77"/>
  <c r="Z83" i="77" s="1"/>
  <c r="M84" i="77"/>
  <c r="N84" i="77" s="1"/>
  <c r="O84" i="77"/>
  <c r="P84" i="77" s="1"/>
  <c r="Q84" i="77"/>
  <c r="R84" i="77" s="1"/>
  <c r="S84" i="77"/>
  <c r="T84" i="77" s="1"/>
  <c r="U84" i="77"/>
  <c r="V84" i="77" s="1"/>
  <c r="W84" i="77"/>
  <c r="X84" i="77" s="1"/>
  <c r="Y84" i="77"/>
  <c r="Z84" i="77" s="1"/>
  <c r="M85" i="77"/>
  <c r="N85" i="77" s="1"/>
  <c r="O85" i="77"/>
  <c r="P85" i="77" s="1"/>
  <c r="Q85" i="77"/>
  <c r="R85" i="77" s="1"/>
  <c r="S85" i="77"/>
  <c r="T85" i="77" s="1"/>
  <c r="U85" i="77"/>
  <c r="V85" i="77" s="1"/>
  <c r="W85" i="77"/>
  <c r="X85" i="77" s="1"/>
  <c r="Y85" i="77"/>
  <c r="Z85" i="77" s="1"/>
  <c r="M86" i="77"/>
  <c r="N86" i="77" s="1"/>
  <c r="O86" i="77"/>
  <c r="P86" i="77" s="1"/>
  <c r="Q86" i="77"/>
  <c r="R86" i="77" s="1"/>
  <c r="S86" i="77"/>
  <c r="T86" i="77" s="1"/>
  <c r="U86" i="77"/>
  <c r="V86" i="77" s="1"/>
  <c r="W86" i="77"/>
  <c r="X86" i="77" s="1"/>
  <c r="Y86" i="77"/>
  <c r="Z86" i="77"/>
  <c r="M87" i="77"/>
  <c r="N87" i="77" s="1"/>
  <c r="O87" i="77"/>
  <c r="P87" i="77" s="1"/>
  <c r="Q87" i="77"/>
  <c r="R87" i="77" s="1"/>
  <c r="S87" i="77"/>
  <c r="T87" i="77" s="1"/>
  <c r="U87" i="77"/>
  <c r="V87" i="77" s="1"/>
  <c r="W87" i="77"/>
  <c r="X87" i="77" s="1"/>
  <c r="Y87" i="77"/>
  <c r="Z87" i="77" s="1"/>
  <c r="M88" i="77"/>
  <c r="N88" i="77" s="1"/>
  <c r="O88" i="77"/>
  <c r="P88" i="77" s="1"/>
  <c r="Q88" i="77"/>
  <c r="R88" i="77" s="1"/>
  <c r="S88" i="77"/>
  <c r="T88" i="77" s="1"/>
  <c r="U88" i="77"/>
  <c r="V88" i="77" s="1"/>
  <c r="W88" i="77"/>
  <c r="X88" i="77" s="1"/>
  <c r="Y88" i="77"/>
  <c r="Z88" i="77" s="1"/>
  <c r="M89" i="77"/>
  <c r="N89" i="77" s="1"/>
  <c r="O89" i="77"/>
  <c r="P89" i="77" s="1"/>
  <c r="Q89" i="77"/>
  <c r="R89" i="77" s="1"/>
  <c r="S89" i="77"/>
  <c r="T89" i="77" s="1"/>
  <c r="U89" i="77"/>
  <c r="V89" i="77" s="1"/>
  <c r="W89" i="77"/>
  <c r="X89" i="77" s="1"/>
  <c r="Y89" i="77"/>
  <c r="Z89" i="77" s="1"/>
  <c r="M90" i="77"/>
  <c r="N90" i="77" s="1"/>
  <c r="O90" i="77"/>
  <c r="P90" i="77" s="1"/>
  <c r="Q90" i="77"/>
  <c r="R90" i="77" s="1"/>
  <c r="S90" i="77"/>
  <c r="T90" i="77" s="1"/>
  <c r="U90" i="77"/>
  <c r="V90" i="77" s="1"/>
  <c r="W90" i="77"/>
  <c r="X90" i="77" s="1"/>
  <c r="Y90" i="77"/>
  <c r="Z90" i="77" s="1"/>
  <c r="M91" i="77"/>
  <c r="N91" i="77" s="1"/>
  <c r="O91" i="77"/>
  <c r="P91" i="77" s="1"/>
  <c r="Q91" i="77"/>
  <c r="R91" i="77" s="1"/>
  <c r="S91" i="77"/>
  <c r="T91" i="77" s="1"/>
  <c r="U91" i="77"/>
  <c r="V91" i="77" s="1"/>
  <c r="W91" i="77"/>
  <c r="X91" i="77" s="1"/>
  <c r="Y91" i="77"/>
  <c r="Z91" i="77" s="1"/>
  <c r="M92" i="77"/>
  <c r="N92" i="77" s="1"/>
  <c r="O92" i="77"/>
  <c r="P92" i="77" s="1"/>
  <c r="Q92" i="77"/>
  <c r="R92" i="77" s="1"/>
  <c r="S92" i="77"/>
  <c r="T92" i="77" s="1"/>
  <c r="U92" i="77"/>
  <c r="V92" i="77" s="1"/>
  <c r="W92" i="77"/>
  <c r="X92" i="77" s="1"/>
  <c r="Y92" i="77"/>
  <c r="Z92" i="77" s="1"/>
  <c r="M93" i="77"/>
  <c r="N93" i="77" s="1"/>
  <c r="O93" i="77"/>
  <c r="P93" i="77" s="1"/>
  <c r="Q93" i="77"/>
  <c r="R93" i="77" s="1"/>
  <c r="S93" i="77"/>
  <c r="T93" i="77" s="1"/>
  <c r="U93" i="77"/>
  <c r="V93" i="77" s="1"/>
  <c r="W93" i="77"/>
  <c r="X93" i="77" s="1"/>
  <c r="Y93" i="77"/>
  <c r="Z93" i="77" s="1"/>
  <c r="M94" i="77"/>
  <c r="N94" i="77" s="1"/>
  <c r="O94" i="77"/>
  <c r="P94" i="77" s="1"/>
  <c r="Q94" i="77"/>
  <c r="R94" i="77" s="1"/>
  <c r="S94" i="77"/>
  <c r="T94" i="77" s="1"/>
  <c r="U94" i="77"/>
  <c r="V94" i="77" s="1"/>
  <c r="W94" i="77"/>
  <c r="X94" i="77" s="1"/>
  <c r="Y94" i="77"/>
  <c r="Z94" i="77" s="1"/>
  <c r="M95" i="77"/>
  <c r="N95" i="77" s="1"/>
  <c r="O95" i="77"/>
  <c r="P95" i="77" s="1"/>
  <c r="Q95" i="77"/>
  <c r="R95" i="77" s="1"/>
  <c r="S95" i="77"/>
  <c r="T95" i="77" s="1"/>
  <c r="U95" i="77"/>
  <c r="V95" i="77" s="1"/>
  <c r="W95" i="77"/>
  <c r="X95" i="77" s="1"/>
  <c r="Y95" i="77"/>
  <c r="Z95" i="77" s="1"/>
  <c r="M96" i="77"/>
  <c r="N96" i="77" s="1"/>
  <c r="O96" i="77"/>
  <c r="P96" i="77" s="1"/>
  <c r="Q96" i="77"/>
  <c r="R96" i="77" s="1"/>
  <c r="S96" i="77"/>
  <c r="T96" i="77" s="1"/>
  <c r="U96" i="77"/>
  <c r="V96" i="77" s="1"/>
  <c r="W96" i="77"/>
  <c r="X96" i="77" s="1"/>
  <c r="Y96" i="77"/>
  <c r="Z96" i="77" s="1"/>
  <c r="M97" i="77"/>
  <c r="N97" i="77" s="1"/>
  <c r="O97" i="77"/>
  <c r="P97" i="77" s="1"/>
  <c r="Q97" i="77"/>
  <c r="R97" i="77" s="1"/>
  <c r="S97" i="77"/>
  <c r="T97" i="77" s="1"/>
  <c r="U97" i="77"/>
  <c r="V97" i="77" s="1"/>
  <c r="W97" i="77"/>
  <c r="X97" i="77" s="1"/>
  <c r="Y97" i="77"/>
  <c r="Z97" i="77" s="1"/>
  <c r="M98" i="77"/>
  <c r="N98" i="77" s="1"/>
  <c r="O98" i="77"/>
  <c r="P98" i="77" s="1"/>
  <c r="Q98" i="77"/>
  <c r="R98" i="77" s="1"/>
  <c r="S98" i="77"/>
  <c r="T98" i="77" s="1"/>
  <c r="U98" i="77"/>
  <c r="V98" i="77" s="1"/>
  <c r="W98" i="77"/>
  <c r="X98" i="77" s="1"/>
  <c r="Y98" i="77"/>
  <c r="Z98" i="77" s="1"/>
  <c r="M99" i="77"/>
  <c r="N99" i="77" s="1"/>
  <c r="O99" i="77"/>
  <c r="P99" i="77" s="1"/>
  <c r="Q99" i="77"/>
  <c r="R99" i="77" s="1"/>
  <c r="S99" i="77"/>
  <c r="T99" i="77" s="1"/>
  <c r="U99" i="77"/>
  <c r="V99" i="77" s="1"/>
  <c r="W99" i="77"/>
  <c r="X99" i="77" s="1"/>
  <c r="Y99" i="77"/>
  <c r="Z99" i="77" s="1"/>
  <c r="M100" i="77"/>
  <c r="N100" i="77" s="1"/>
  <c r="O100" i="77"/>
  <c r="P100" i="77" s="1"/>
  <c r="Q100" i="77"/>
  <c r="R100" i="77" s="1"/>
  <c r="S100" i="77"/>
  <c r="T100" i="77" s="1"/>
  <c r="U100" i="77"/>
  <c r="V100" i="77" s="1"/>
  <c r="W100" i="77"/>
  <c r="X100" i="77" s="1"/>
  <c r="Y100" i="77"/>
  <c r="Z100" i="77" s="1"/>
  <c r="M101" i="77"/>
  <c r="N101" i="77" s="1"/>
  <c r="O101" i="77"/>
  <c r="P101" i="77" s="1"/>
  <c r="Q101" i="77"/>
  <c r="R101" i="77" s="1"/>
  <c r="S101" i="77"/>
  <c r="T101" i="77" s="1"/>
  <c r="U101" i="77"/>
  <c r="V101" i="77" s="1"/>
  <c r="W101" i="77"/>
  <c r="X101" i="77" s="1"/>
  <c r="Y101" i="77"/>
  <c r="Z101" i="77" s="1"/>
  <c r="M102" i="77"/>
  <c r="N102" i="77" s="1"/>
  <c r="O102" i="77"/>
  <c r="P102" i="77" s="1"/>
  <c r="Q102" i="77"/>
  <c r="R102" i="77" s="1"/>
  <c r="S102" i="77"/>
  <c r="T102" i="77" s="1"/>
  <c r="U102" i="77"/>
  <c r="V102" i="77" s="1"/>
  <c r="W102" i="77"/>
  <c r="X102" i="77" s="1"/>
  <c r="Y102" i="77"/>
  <c r="Z102" i="77" s="1"/>
  <c r="M103" i="77"/>
  <c r="N103" i="77" s="1"/>
  <c r="O103" i="77"/>
  <c r="P103" i="77" s="1"/>
  <c r="Q103" i="77"/>
  <c r="R103" i="77" s="1"/>
  <c r="S103" i="77"/>
  <c r="T103" i="77" s="1"/>
  <c r="U103" i="77"/>
  <c r="V103" i="77" s="1"/>
  <c r="W103" i="77"/>
  <c r="X103" i="77" s="1"/>
  <c r="Y103" i="77"/>
  <c r="Z103" i="77" s="1"/>
  <c r="M104" i="77"/>
  <c r="N104" i="77" s="1"/>
  <c r="O104" i="77"/>
  <c r="P104" i="77" s="1"/>
  <c r="Q104" i="77"/>
  <c r="R104" i="77" s="1"/>
  <c r="S104" i="77"/>
  <c r="T104" i="77" s="1"/>
  <c r="U104" i="77"/>
  <c r="V104" i="77" s="1"/>
  <c r="W104" i="77"/>
  <c r="X104" i="77" s="1"/>
  <c r="Y104" i="77"/>
  <c r="Z104" i="77" s="1"/>
  <c r="M105" i="77"/>
  <c r="N105" i="77" s="1"/>
  <c r="O105" i="77"/>
  <c r="P105" i="77" s="1"/>
  <c r="Q105" i="77"/>
  <c r="R105" i="77" s="1"/>
  <c r="S105" i="77"/>
  <c r="T105" i="77" s="1"/>
  <c r="U105" i="77"/>
  <c r="V105" i="77" s="1"/>
  <c r="W105" i="77"/>
  <c r="X105" i="77" s="1"/>
  <c r="Y105" i="77"/>
  <c r="Z105" i="77" s="1"/>
  <c r="M106" i="77"/>
  <c r="N106" i="77" s="1"/>
  <c r="O106" i="77"/>
  <c r="P106" i="77" s="1"/>
  <c r="Q106" i="77"/>
  <c r="R106" i="77" s="1"/>
  <c r="S106" i="77"/>
  <c r="T106" i="77" s="1"/>
  <c r="U106" i="77"/>
  <c r="V106" i="77" s="1"/>
  <c r="W106" i="77"/>
  <c r="X106" i="77" s="1"/>
  <c r="Y106" i="77"/>
  <c r="Z106" i="77" s="1"/>
  <c r="M107" i="77"/>
  <c r="N107" i="77" s="1"/>
  <c r="O107" i="77"/>
  <c r="P107" i="77" s="1"/>
  <c r="Q107" i="77"/>
  <c r="R107" i="77" s="1"/>
  <c r="S107" i="77"/>
  <c r="T107" i="77" s="1"/>
  <c r="U107" i="77"/>
  <c r="V107" i="77" s="1"/>
  <c r="W107" i="77"/>
  <c r="X107" i="77" s="1"/>
  <c r="Y107" i="77"/>
  <c r="Z107" i="77" s="1"/>
  <c r="M108" i="77"/>
  <c r="N108" i="77" s="1"/>
  <c r="O108" i="77"/>
  <c r="P108" i="77" s="1"/>
  <c r="Q108" i="77"/>
  <c r="R108" i="77" s="1"/>
  <c r="S108" i="77"/>
  <c r="T108" i="77" s="1"/>
  <c r="U108" i="77"/>
  <c r="V108" i="77" s="1"/>
  <c r="W108" i="77"/>
  <c r="X108" i="77" s="1"/>
  <c r="Y108" i="77"/>
  <c r="Z108" i="77" s="1"/>
  <c r="M109" i="77"/>
  <c r="N109" i="77" s="1"/>
  <c r="O109" i="77"/>
  <c r="P109" i="77" s="1"/>
  <c r="Q109" i="77"/>
  <c r="R109" i="77" s="1"/>
  <c r="S109" i="77"/>
  <c r="T109" i="77" s="1"/>
  <c r="U109" i="77"/>
  <c r="V109" i="77" s="1"/>
  <c r="W109" i="77"/>
  <c r="X109" i="77" s="1"/>
  <c r="Y109" i="77"/>
  <c r="Z109" i="77" s="1"/>
  <c r="M110" i="77"/>
  <c r="N110" i="77" s="1"/>
  <c r="O110" i="77"/>
  <c r="P110" i="77" s="1"/>
  <c r="Q110" i="77"/>
  <c r="R110" i="77" s="1"/>
  <c r="S110" i="77"/>
  <c r="T110" i="77" s="1"/>
  <c r="U110" i="77"/>
  <c r="V110" i="77" s="1"/>
  <c r="W110" i="77"/>
  <c r="X110" i="77" s="1"/>
  <c r="Y110" i="77"/>
  <c r="Z110" i="77" s="1"/>
  <c r="M111" i="77"/>
  <c r="N111" i="77" s="1"/>
  <c r="O111" i="77"/>
  <c r="P111" i="77" s="1"/>
  <c r="Q111" i="77"/>
  <c r="R111" i="77" s="1"/>
  <c r="S111" i="77"/>
  <c r="T111" i="77" s="1"/>
  <c r="U111" i="77"/>
  <c r="V111" i="77" s="1"/>
  <c r="W111" i="77"/>
  <c r="X111" i="77" s="1"/>
  <c r="Y111" i="77"/>
  <c r="Z111" i="77" s="1"/>
  <c r="M112" i="77"/>
  <c r="N112" i="77" s="1"/>
  <c r="O112" i="77"/>
  <c r="P112" i="77" s="1"/>
  <c r="Q112" i="77"/>
  <c r="R112" i="77" s="1"/>
  <c r="S112" i="77"/>
  <c r="T112" i="77" s="1"/>
  <c r="U112" i="77"/>
  <c r="V112" i="77" s="1"/>
  <c r="W112" i="77"/>
  <c r="X112" i="77" s="1"/>
  <c r="Y112" i="77"/>
  <c r="Z112" i="77" s="1"/>
  <c r="M113" i="77"/>
  <c r="N113" i="77" s="1"/>
  <c r="O113" i="77"/>
  <c r="P113" i="77" s="1"/>
  <c r="Q113" i="77"/>
  <c r="R113" i="77" s="1"/>
  <c r="S113" i="77"/>
  <c r="T113" i="77" s="1"/>
  <c r="U113" i="77"/>
  <c r="V113" i="77" s="1"/>
  <c r="W113" i="77"/>
  <c r="X113" i="77" s="1"/>
  <c r="Y113" i="77"/>
  <c r="Z113" i="77" s="1"/>
  <c r="M114" i="77"/>
  <c r="N114" i="77" s="1"/>
  <c r="O114" i="77"/>
  <c r="P114" i="77" s="1"/>
  <c r="Q114" i="77"/>
  <c r="R114" i="77" s="1"/>
  <c r="S114" i="77"/>
  <c r="T114" i="77" s="1"/>
  <c r="U114" i="77"/>
  <c r="V114" i="77" s="1"/>
  <c r="W114" i="77"/>
  <c r="X114" i="77" s="1"/>
  <c r="Y114" i="77"/>
  <c r="Z114" i="77" s="1"/>
  <c r="M115" i="77"/>
  <c r="N115" i="77" s="1"/>
  <c r="O115" i="77"/>
  <c r="P115" i="77" s="1"/>
  <c r="Q115" i="77"/>
  <c r="R115" i="77" s="1"/>
  <c r="S115" i="77"/>
  <c r="T115" i="77" s="1"/>
  <c r="U115" i="77"/>
  <c r="V115" i="77" s="1"/>
  <c r="W115" i="77"/>
  <c r="X115" i="77" s="1"/>
  <c r="Y115" i="77"/>
  <c r="Z115" i="77" s="1"/>
  <c r="M116" i="77"/>
  <c r="N116" i="77" s="1"/>
  <c r="O116" i="77"/>
  <c r="P116" i="77" s="1"/>
  <c r="Q116" i="77"/>
  <c r="R116" i="77" s="1"/>
  <c r="S116" i="77"/>
  <c r="T116" i="77" s="1"/>
  <c r="U116" i="77"/>
  <c r="V116" i="77" s="1"/>
  <c r="W116" i="77"/>
  <c r="X116" i="77" s="1"/>
  <c r="Y116" i="77"/>
  <c r="Z116" i="77" s="1"/>
  <c r="M117" i="77"/>
  <c r="N117" i="77" s="1"/>
  <c r="O117" i="77"/>
  <c r="P117" i="77" s="1"/>
  <c r="Q117" i="77"/>
  <c r="R117" i="77" s="1"/>
  <c r="S117" i="77"/>
  <c r="T117" i="77" s="1"/>
  <c r="U117" i="77"/>
  <c r="V117" i="77" s="1"/>
  <c r="W117" i="77"/>
  <c r="X117" i="77" s="1"/>
  <c r="Y117" i="77"/>
  <c r="Z117" i="77" s="1"/>
  <c r="M118" i="77"/>
  <c r="N118" i="77" s="1"/>
  <c r="O118" i="77"/>
  <c r="P118" i="77" s="1"/>
  <c r="Q118" i="77"/>
  <c r="R118" i="77" s="1"/>
  <c r="S118" i="77"/>
  <c r="T118" i="77" s="1"/>
  <c r="U118" i="77"/>
  <c r="V118" i="77" s="1"/>
  <c r="W118" i="77"/>
  <c r="X118" i="77" s="1"/>
  <c r="Y118" i="77"/>
  <c r="Z118" i="77" s="1"/>
  <c r="M119" i="77"/>
  <c r="N119" i="77" s="1"/>
  <c r="O119" i="77"/>
  <c r="P119" i="77" s="1"/>
  <c r="Q119" i="77"/>
  <c r="R119" i="77" s="1"/>
  <c r="S119" i="77"/>
  <c r="T119" i="77" s="1"/>
  <c r="U119" i="77"/>
  <c r="V119" i="77" s="1"/>
  <c r="W119" i="77"/>
  <c r="X119" i="77" s="1"/>
  <c r="Y119" i="77"/>
  <c r="Z119" i="77" s="1"/>
  <c r="M120" i="77"/>
  <c r="N120" i="77" s="1"/>
  <c r="O120" i="77"/>
  <c r="P120" i="77" s="1"/>
  <c r="Q120" i="77"/>
  <c r="R120" i="77" s="1"/>
  <c r="S120" i="77"/>
  <c r="T120" i="77" s="1"/>
  <c r="U120" i="77"/>
  <c r="V120" i="77" s="1"/>
  <c r="W120" i="77"/>
  <c r="X120" i="77" s="1"/>
  <c r="Y120" i="77"/>
  <c r="Z120" i="77" s="1"/>
  <c r="M121" i="77"/>
  <c r="N121" i="77" s="1"/>
  <c r="O121" i="77"/>
  <c r="P121" i="77" s="1"/>
  <c r="Q121" i="77"/>
  <c r="R121" i="77" s="1"/>
  <c r="S121" i="77"/>
  <c r="T121" i="77" s="1"/>
  <c r="U121" i="77"/>
  <c r="V121" i="77" s="1"/>
  <c r="W121" i="77"/>
  <c r="X121" i="77" s="1"/>
  <c r="Y121" i="77"/>
  <c r="Z121" i="77" s="1"/>
  <c r="M122" i="77"/>
  <c r="N122" i="77" s="1"/>
  <c r="O122" i="77"/>
  <c r="P122" i="77" s="1"/>
  <c r="Q122" i="77"/>
  <c r="R122" i="77" s="1"/>
  <c r="S122" i="77"/>
  <c r="T122" i="77" s="1"/>
  <c r="U122" i="77"/>
  <c r="V122" i="77" s="1"/>
  <c r="W122" i="77"/>
  <c r="X122" i="77" s="1"/>
  <c r="Y122" i="77"/>
  <c r="Z122" i="77" s="1"/>
  <c r="M123" i="77"/>
  <c r="N123" i="77" s="1"/>
  <c r="O123" i="77"/>
  <c r="P123" i="77"/>
  <c r="Q123" i="77"/>
  <c r="R123" i="77" s="1"/>
  <c r="S123" i="77"/>
  <c r="T123" i="77" s="1"/>
  <c r="U123" i="77"/>
  <c r="V123" i="77" s="1"/>
  <c r="W123" i="77"/>
  <c r="X123" i="77" s="1"/>
  <c r="Y123" i="77"/>
  <c r="Z123" i="77" s="1"/>
  <c r="M124" i="77"/>
  <c r="N124" i="77" s="1"/>
  <c r="O124" i="77"/>
  <c r="P124" i="77"/>
  <c r="Q124" i="77"/>
  <c r="R124" i="77" s="1"/>
  <c r="S124" i="77"/>
  <c r="T124" i="77" s="1"/>
  <c r="U124" i="77"/>
  <c r="V124" i="77" s="1"/>
  <c r="W124" i="77"/>
  <c r="X124" i="77" s="1"/>
  <c r="Y124" i="77"/>
  <c r="Z124" i="77" s="1"/>
  <c r="M125" i="77"/>
  <c r="N125" i="77" s="1"/>
  <c r="O125" i="77"/>
  <c r="P125" i="77"/>
  <c r="Q125" i="77"/>
  <c r="R125" i="77" s="1"/>
  <c r="S125" i="77"/>
  <c r="T125" i="77" s="1"/>
  <c r="U125" i="77"/>
  <c r="V125" i="77" s="1"/>
  <c r="W125" i="77"/>
  <c r="X125" i="77" s="1"/>
  <c r="Y125" i="77"/>
  <c r="Z125" i="77" s="1"/>
  <c r="M126" i="77"/>
  <c r="N126" i="77" s="1"/>
  <c r="O126" i="77"/>
  <c r="P126" i="77"/>
  <c r="Q126" i="77"/>
  <c r="R126" i="77" s="1"/>
  <c r="S126" i="77"/>
  <c r="T126" i="77" s="1"/>
  <c r="U126" i="77"/>
  <c r="V126" i="77" s="1"/>
  <c r="W126" i="77"/>
  <c r="X126" i="77" s="1"/>
  <c r="Y126" i="77"/>
  <c r="Z126" i="77" s="1"/>
  <c r="M127" i="77"/>
  <c r="N127" i="77" s="1"/>
  <c r="O127" i="77"/>
  <c r="P127" i="77" s="1"/>
  <c r="Q127" i="77"/>
  <c r="R127" i="77" s="1"/>
  <c r="S127" i="77"/>
  <c r="T127" i="77" s="1"/>
  <c r="U127" i="77"/>
  <c r="V127" i="77" s="1"/>
  <c r="W127" i="77"/>
  <c r="X127" i="77" s="1"/>
  <c r="Y127" i="77"/>
  <c r="Z127" i="77" s="1"/>
  <c r="M128" i="77"/>
  <c r="N128" i="77" s="1"/>
  <c r="O128" i="77"/>
  <c r="P128" i="77" s="1"/>
  <c r="Q128" i="77"/>
  <c r="R128" i="77" s="1"/>
  <c r="S128" i="77"/>
  <c r="T128" i="77" s="1"/>
  <c r="U128" i="77"/>
  <c r="V128" i="77" s="1"/>
  <c r="W128" i="77"/>
  <c r="X128" i="77" s="1"/>
  <c r="Y128" i="77"/>
  <c r="Z128" i="77" s="1"/>
  <c r="M129" i="77"/>
  <c r="N129" i="77" s="1"/>
  <c r="O129" i="77"/>
  <c r="P129" i="77" s="1"/>
  <c r="Q129" i="77"/>
  <c r="R129" i="77" s="1"/>
  <c r="S129" i="77"/>
  <c r="T129" i="77" s="1"/>
  <c r="U129" i="77"/>
  <c r="V129" i="77" s="1"/>
  <c r="W129" i="77"/>
  <c r="X129" i="77" s="1"/>
  <c r="Y129" i="77"/>
  <c r="Z129" i="77" s="1"/>
  <c r="M130" i="77"/>
  <c r="N130" i="77" s="1"/>
  <c r="O130" i="77"/>
  <c r="P130" i="77" s="1"/>
  <c r="Q130" i="77"/>
  <c r="R130" i="77" s="1"/>
  <c r="S130" i="77"/>
  <c r="T130" i="77" s="1"/>
  <c r="U130" i="77"/>
  <c r="V130" i="77" s="1"/>
  <c r="W130" i="77"/>
  <c r="X130" i="77" s="1"/>
  <c r="Y130" i="77"/>
  <c r="Z130" i="77" s="1"/>
  <c r="M131" i="77"/>
  <c r="N131" i="77" s="1"/>
  <c r="O131" i="77"/>
  <c r="P131" i="77" s="1"/>
  <c r="Q131" i="77"/>
  <c r="R131" i="77" s="1"/>
  <c r="S131" i="77"/>
  <c r="T131" i="77" s="1"/>
  <c r="U131" i="77"/>
  <c r="V131" i="77" s="1"/>
  <c r="W131" i="77"/>
  <c r="X131" i="77" s="1"/>
  <c r="Y131" i="77"/>
  <c r="Z131" i="77" s="1"/>
  <c r="M132" i="77"/>
  <c r="N132" i="77" s="1"/>
  <c r="O132" i="77"/>
  <c r="P132" i="77" s="1"/>
  <c r="Q132" i="77"/>
  <c r="R132" i="77" s="1"/>
  <c r="S132" i="77"/>
  <c r="T132" i="77" s="1"/>
  <c r="U132" i="77"/>
  <c r="V132" i="77" s="1"/>
  <c r="W132" i="77"/>
  <c r="X132" i="77" s="1"/>
  <c r="Y132" i="77"/>
  <c r="Z132" i="77" s="1"/>
  <c r="M133" i="77"/>
  <c r="N133" i="77" s="1"/>
  <c r="O133" i="77"/>
  <c r="P133" i="77" s="1"/>
  <c r="Q133" i="77"/>
  <c r="R133" i="77" s="1"/>
  <c r="S133" i="77"/>
  <c r="T133" i="77" s="1"/>
  <c r="U133" i="77"/>
  <c r="V133" i="77" s="1"/>
  <c r="W133" i="77"/>
  <c r="X133" i="77" s="1"/>
  <c r="Y133" i="77"/>
  <c r="Z133" i="77" s="1"/>
  <c r="M134" i="77"/>
  <c r="N134" i="77" s="1"/>
  <c r="O134" i="77"/>
  <c r="P134" i="77" s="1"/>
  <c r="Q134" i="77"/>
  <c r="R134" i="77" s="1"/>
  <c r="S134" i="77"/>
  <c r="T134" i="77" s="1"/>
  <c r="U134" i="77"/>
  <c r="V134" i="77" s="1"/>
  <c r="W134" i="77"/>
  <c r="X134" i="77" s="1"/>
  <c r="Y134" i="77"/>
  <c r="Z134" i="77" s="1"/>
  <c r="M135" i="77"/>
  <c r="N135" i="77" s="1"/>
  <c r="O135" i="77"/>
  <c r="P135" i="77" s="1"/>
  <c r="Q135" i="77"/>
  <c r="R135" i="77" s="1"/>
  <c r="S135" i="77"/>
  <c r="T135" i="77" s="1"/>
  <c r="U135" i="77"/>
  <c r="V135" i="77" s="1"/>
  <c r="W135" i="77"/>
  <c r="X135" i="77" s="1"/>
  <c r="Y135" i="77"/>
  <c r="Z135" i="77" s="1"/>
  <c r="M136" i="77"/>
  <c r="N136" i="77" s="1"/>
  <c r="O136" i="77"/>
  <c r="P136" i="77" s="1"/>
  <c r="Q136" i="77"/>
  <c r="R136" i="77" s="1"/>
  <c r="S136" i="77"/>
  <c r="T136" i="77" s="1"/>
  <c r="U136" i="77"/>
  <c r="V136" i="77" s="1"/>
  <c r="W136" i="77"/>
  <c r="X136" i="77" s="1"/>
  <c r="Y136" i="77"/>
  <c r="Z136" i="77" s="1"/>
  <c r="M137" i="77"/>
  <c r="N137" i="77"/>
  <c r="O137" i="77"/>
  <c r="P137" i="77" s="1"/>
  <c r="Q137" i="77"/>
  <c r="R137" i="77" s="1"/>
  <c r="S137" i="77"/>
  <c r="T137" i="77" s="1"/>
  <c r="U137" i="77"/>
  <c r="V137" i="77" s="1"/>
  <c r="W137" i="77"/>
  <c r="X137" i="77" s="1"/>
  <c r="Y137" i="77"/>
  <c r="Z137" i="77" s="1"/>
  <c r="M138" i="77"/>
  <c r="N138" i="77" s="1"/>
  <c r="O138" i="77"/>
  <c r="P138" i="77" s="1"/>
  <c r="Q138" i="77"/>
  <c r="R138" i="77" s="1"/>
  <c r="S138" i="77"/>
  <c r="T138" i="77" s="1"/>
  <c r="U138" i="77"/>
  <c r="V138" i="77" s="1"/>
  <c r="W138" i="77"/>
  <c r="X138" i="77" s="1"/>
  <c r="Y138" i="77"/>
  <c r="Z138" i="77" s="1"/>
  <c r="M139" i="77"/>
  <c r="N139" i="77" s="1"/>
  <c r="O139" i="77"/>
  <c r="P139" i="77" s="1"/>
  <c r="Q139" i="77"/>
  <c r="R139" i="77" s="1"/>
  <c r="S139" i="77"/>
  <c r="T139" i="77" s="1"/>
  <c r="U139" i="77"/>
  <c r="V139" i="77" s="1"/>
  <c r="W139" i="77"/>
  <c r="X139" i="77" s="1"/>
  <c r="Y139" i="77"/>
  <c r="Z139" i="77" s="1"/>
  <c r="M140" i="77"/>
  <c r="N140" i="77" s="1"/>
  <c r="O140" i="77"/>
  <c r="P140" i="77" s="1"/>
  <c r="Q140" i="77"/>
  <c r="R140" i="77" s="1"/>
  <c r="S140" i="77"/>
  <c r="T140" i="77" s="1"/>
  <c r="U140" i="77"/>
  <c r="V140" i="77" s="1"/>
  <c r="W140" i="77"/>
  <c r="X140" i="77" s="1"/>
  <c r="Y140" i="77"/>
  <c r="Z140" i="77" s="1"/>
  <c r="M141" i="77"/>
  <c r="N141" i="77" s="1"/>
  <c r="O141" i="77"/>
  <c r="P141" i="77" s="1"/>
  <c r="Q141" i="77"/>
  <c r="R141" i="77" s="1"/>
  <c r="S141" i="77"/>
  <c r="T141" i="77" s="1"/>
  <c r="U141" i="77"/>
  <c r="V141" i="77" s="1"/>
  <c r="W141" i="77"/>
  <c r="X141" i="77" s="1"/>
  <c r="Y141" i="77"/>
  <c r="Z141" i="77" s="1"/>
  <c r="M142" i="77"/>
  <c r="N142" i="77" s="1"/>
  <c r="O142" i="77"/>
  <c r="P142" i="77" s="1"/>
  <c r="Q142" i="77"/>
  <c r="R142" i="77" s="1"/>
  <c r="S142" i="77"/>
  <c r="T142" i="77" s="1"/>
  <c r="U142" i="77"/>
  <c r="V142" i="77" s="1"/>
  <c r="W142" i="77"/>
  <c r="X142" i="77" s="1"/>
  <c r="Y142" i="77"/>
  <c r="Z142" i="77" s="1"/>
  <c r="M143" i="77"/>
  <c r="N143" i="77" s="1"/>
  <c r="O143" i="77"/>
  <c r="P143" i="77" s="1"/>
  <c r="Q143" i="77"/>
  <c r="R143" i="77" s="1"/>
  <c r="S143" i="77"/>
  <c r="T143" i="77" s="1"/>
  <c r="U143" i="77"/>
  <c r="V143" i="77" s="1"/>
  <c r="W143" i="77"/>
  <c r="X143" i="77" s="1"/>
  <c r="Y143" i="77"/>
  <c r="Z143" i="77" s="1"/>
  <c r="M144" i="77"/>
  <c r="N144" i="77" s="1"/>
  <c r="O144" i="77"/>
  <c r="P144" i="77" s="1"/>
  <c r="Q144" i="77"/>
  <c r="R144" i="77" s="1"/>
  <c r="S144" i="77"/>
  <c r="T144" i="77" s="1"/>
  <c r="U144" i="77"/>
  <c r="V144" i="77" s="1"/>
  <c r="W144" i="77"/>
  <c r="X144" i="77" s="1"/>
  <c r="Y144" i="77"/>
  <c r="Z144" i="77" s="1"/>
  <c r="M145" i="77"/>
  <c r="N145" i="77" s="1"/>
  <c r="O145" i="77"/>
  <c r="P145" i="77" s="1"/>
  <c r="Q145" i="77"/>
  <c r="R145" i="77" s="1"/>
  <c r="S145" i="77"/>
  <c r="T145" i="77" s="1"/>
  <c r="U145" i="77"/>
  <c r="V145" i="77" s="1"/>
  <c r="W145" i="77"/>
  <c r="X145" i="77" s="1"/>
  <c r="Y145" i="77"/>
  <c r="Z145" i="77" s="1"/>
  <c r="M146" i="77"/>
  <c r="N146" i="77" s="1"/>
  <c r="O146" i="77"/>
  <c r="P146" i="77" s="1"/>
  <c r="Q146" i="77"/>
  <c r="R146" i="77" s="1"/>
  <c r="S146" i="77"/>
  <c r="T146" i="77" s="1"/>
  <c r="U146" i="77"/>
  <c r="V146" i="77" s="1"/>
  <c r="W146" i="77"/>
  <c r="X146" i="77" s="1"/>
  <c r="Y146" i="77"/>
  <c r="Z146" i="77" s="1"/>
  <c r="M147" i="77"/>
  <c r="N147" i="77" s="1"/>
  <c r="O147" i="77"/>
  <c r="P147" i="77" s="1"/>
  <c r="Q147" i="77"/>
  <c r="R147" i="77" s="1"/>
  <c r="S147" i="77"/>
  <c r="T147" i="77" s="1"/>
  <c r="U147" i="77"/>
  <c r="V147" i="77" s="1"/>
  <c r="W147" i="77"/>
  <c r="X147" i="77" s="1"/>
  <c r="Y147" i="77"/>
  <c r="Z147" i="77" s="1"/>
  <c r="M148" i="77"/>
  <c r="N148" i="77" s="1"/>
  <c r="O148" i="77"/>
  <c r="P148" i="77" s="1"/>
  <c r="Q148" i="77"/>
  <c r="R148" i="77" s="1"/>
  <c r="S148" i="77"/>
  <c r="T148" i="77" s="1"/>
  <c r="U148" i="77"/>
  <c r="V148" i="77" s="1"/>
  <c r="W148" i="77"/>
  <c r="X148" i="77" s="1"/>
  <c r="Y148" i="77"/>
  <c r="Z148" i="77" s="1"/>
  <c r="M149" i="77"/>
  <c r="N149" i="77" s="1"/>
  <c r="O149" i="77"/>
  <c r="P149" i="77" s="1"/>
  <c r="Q149" i="77"/>
  <c r="R149" i="77" s="1"/>
  <c r="S149" i="77"/>
  <c r="T149" i="77" s="1"/>
  <c r="U149" i="77"/>
  <c r="V149" i="77" s="1"/>
  <c r="W149" i="77"/>
  <c r="X149" i="77" s="1"/>
  <c r="Y149" i="77"/>
  <c r="Z149" i="77" s="1"/>
  <c r="M150" i="77"/>
  <c r="N150" i="77" s="1"/>
  <c r="O150" i="77"/>
  <c r="P150" i="77" s="1"/>
  <c r="Q150" i="77"/>
  <c r="R150" i="77" s="1"/>
  <c r="S150" i="77"/>
  <c r="T150" i="77" s="1"/>
  <c r="U150" i="77"/>
  <c r="V150" i="77" s="1"/>
  <c r="W150" i="77"/>
  <c r="X150" i="77" s="1"/>
  <c r="Y150" i="77"/>
  <c r="Z150" i="77" s="1"/>
  <c r="M151" i="77"/>
  <c r="N151" i="77" s="1"/>
  <c r="O151" i="77"/>
  <c r="P151" i="77" s="1"/>
  <c r="Q151" i="77"/>
  <c r="R151" i="77" s="1"/>
  <c r="S151" i="77"/>
  <c r="T151" i="77" s="1"/>
  <c r="U151" i="77"/>
  <c r="V151" i="77" s="1"/>
  <c r="W151" i="77"/>
  <c r="X151" i="77" s="1"/>
  <c r="Y151" i="77"/>
  <c r="Z151" i="77" s="1"/>
  <c r="M152" i="77"/>
  <c r="N152" i="77" s="1"/>
  <c r="O152" i="77"/>
  <c r="P152" i="77" s="1"/>
  <c r="Q152" i="77"/>
  <c r="R152" i="77" s="1"/>
  <c r="S152" i="77"/>
  <c r="T152" i="77" s="1"/>
  <c r="U152" i="77"/>
  <c r="V152" i="77" s="1"/>
  <c r="W152" i="77"/>
  <c r="X152" i="77" s="1"/>
  <c r="Y152" i="77"/>
  <c r="Z152" i="77" s="1"/>
  <c r="M153" i="77"/>
  <c r="N153" i="77" s="1"/>
  <c r="O153" i="77"/>
  <c r="P153" i="77" s="1"/>
  <c r="Q153" i="77"/>
  <c r="R153" i="77" s="1"/>
  <c r="S153" i="77"/>
  <c r="T153" i="77" s="1"/>
  <c r="U153" i="77"/>
  <c r="V153" i="77" s="1"/>
  <c r="W153" i="77"/>
  <c r="X153" i="77" s="1"/>
  <c r="Y153" i="77"/>
  <c r="Z153" i="77" s="1"/>
  <c r="M154" i="77"/>
  <c r="N154" i="77" s="1"/>
  <c r="O154" i="77"/>
  <c r="P154" i="77" s="1"/>
  <c r="Q154" i="77"/>
  <c r="R154" i="77" s="1"/>
  <c r="S154" i="77"/>
  <c r="T154" i="77" s="1"/>
  <c r="U154" i="77"/>
  <c r="V154" i="77" s="1"/>
  <c r="W154" i="77"/>
  <c r="X154" i="77" s="1"/>
  <c r="Y154" i="77"/>
  <c r="Z154" i="77" s="1"/>
  <c r="M155" i="77"/>
  <c r="N155" i="77" s="1"/>
  <c r="O155" i="77"/>
  <c r="P155" i="77" s="1"/>
  <c r="Q155" i="77"/>
  <c r="R155" i="77" s="1"/>
  <c r="S155" i="77"/>
  <c r="T155" i="77" s="1"/>
  <c r="U155" i="77"/>
  <c r="V155" i="77" s="1"/>
  <c r="W155" i="77"/>
  <c r="X155" i="77" s="1"/>
  <c r="Y155" i="77"/>
  <c r="Z155" i="77" s="1"/>
  <c r="M156" i="77"/>
  <c r="N156" i="77" s="1"/>
  <c r="O156" i="77"/>
  <c r="P156" i="77" s="1"/>
  <c r="Q156" i="77"/>
  <c r="R156" i="77" s="1"/>
  <c r="S156" i="77"/>
  <c r="T156" i="77" s="1"/>
  <c r="U156" i="77"/>
  <c r="V156" i="77" s="1"/>
  <c r="W156" i="77"/>
  <c r="X156" i="77" s="1"/>
  <c r="Y156" i="77"/>
  <c r="Z156" i="77" s="1"/>
  <c r="M157" i="77"/>
  <c r="N157" i="77" s="1"/>
  <c r="O157" i="77"/>
  <c r="P157" i="77" s="1"/>
  <c r="Q157" i="77"/>
  <c r="R157" i="77" s="1"/>
  <c r="S157" i="77"/>
  <c r="T157" i="77" s="1"/>
  <c r="U157" i="77"/>
  <c r="V157" i="77" s="1"/>
  <c r="W157" i="77"/>
  <c r="X157" i="77" s="1"/>
  <c r="Y157" i="77"/>
  <c r="Z157" i="77" s="1"/>
  <c r="M158" i="77"/>
  <c r="N158" i="77" s="1"/>
  <c r="O158" i="77"/>
  <c r="P158" i="77" s="1"/>
  <c r="Q158" i="77"/>
  <c r="R158" i="77" s="1"/>
  <c r="S158" i="77"/>
  <c r="T158" i="77" s="1"/>
  <c r="U158" i="77"/>
  <c r="V158" i="77" s="1"/>
  <c r="W158" i="77"/>
  <c r="X158" i="77" s="1"/>
  <c r="Y158" i="77"/>
  <c r="Z158" i="77" s="1"/>
  <c r="M159" i="77"/>
  <c r="N159" i="77" s="1"/>
  <c r="O159" i="77"/>
  <c r="P159" i="77" s="1"/>
  <c r="Q159" i="77"/>
  <c r="R159" i="77" s="1"/>
  <c r="S159" i="77"/>
  <c r="T159" i="77" s="1"/>
  <c r="U159" i="77"/>
  <c r="V159" i="77" s="1"/>
  <c r="W159" i="77"/>
  <c r="X159" i="77" s="1"/>
  <c r="Y159" i="77"/>
  <c r="Z159" i="77" s="1"/>
  <c r="M160" i="77"/>
  <c r="N160" i="77" s="1"/>
  <c r="O160" i="77"/>
  <c r="P160" i="77" s="1"/>
  <c r="Q160" i="77"/>
  <c r="R160" i="77" s="1"/>
  <c r="S160" i="77"/>
  <c r="T160" i="77" s="1"/>
  <c r="U160" i="77"/>
  <c r="V160" i="77" s="1"/>
  <c r="W160" i="77"/>
  <c r="X160" i="77" s="1"/>
  <c r="Y160" i="77"/>
  <c r="Z160" i="77" s="1"/>
  <c r="M161" i="77"/>
  <c r="N161" i="77" s="1"/>
  <c r="O161" i="77"/>
  <c r="P161" i="77" s="1"/>
  <c r="Q161" i="77"/>
  <c r="R161" i="77" s="1"/>
  <c r="S161" i="77"/>
  <c r="T161" i="77" s="1"/>
  <c r="U161" i="77"/>
  <c r="V161" i="77" s="1"/>
  <c r="W161" i="77"/>
  <c r="X161" i="77" s="1"/>
  <c r="Y161" i="77"/>
  <c r="Z161" i="77" s="1"/>
  <c r="M162" i="77"/>
  <c r="N162" i="77" s="1"/>
  <c r="O162" i="77"/>
  <c r="P162" i="77" s="1"/>
  <c r="Q162" i="77"/>
  <c r="R162" i="77" s="1"/>
  <c r="S162" i="77"/>
  <c r="T162" i="77" s="1"/>
  <c r="U162" i="77"/>
  <c r="V162" i="77" s="1"/>
  <c r="W162" i="77"/>
  <c r="X162" i="77" s="1"/>
  <c r="Y162" i="77"/>
  <c r="Z162" i="77" s="1"/>
  <c r="M163" i="77"/>
  <c r="N163" i="77" s="1"/>
  <c r="O163" i="77"/>
  <c r="P163" i="77" s="1"/>
  <c r="Q163" i="77"/>
  <c r="R163" i="77" s="1"/>
  <c r="S163" i="77"/>
  <c r="T163" i="77" s="1"/>
  <c r="U163" i="77"/>
  <c r="V163" i="77" s="1"/>
  <c r="W163" i="77"/>
  <c r="X163" i="77" s="1"/>
  <c r="Y163" i="77"/>
  <c r="Z163" i="77" s="1"/>
  <c r="M164" i="77"/>
  <c r="N164" i="77" s="1"/>
  <c r="O164" i="77"/>
  <c r="P164" i="77" s="1"/>
  <c r="Q164" i="77"/>
  <c r="R164" i="77" s="1"/>
  <c r="S164" i="77"/>
  <c r="T164" i="77" s="1"/>
  <c r="U164" i="77"/>
  <c r="V164" i="77" s="1"/>
  <c r="W164" i="77"/>
  <c r="X164" i="77" s="1"/>
  <c r="Y164" i="77"/>
  <c r="Z164" i="77" s="1"/>
  <c r="M165" i="77"/>
  <c r="N165" i="77" s="1"/>
  <c r="O165" i="77"/>
  <c r="P165" i="77" s="1"/>
  <c r="Q165" i="77"/>
  <c r="R165" i="77" s="1"/>
  <c r="S165" i="77"/>
  <c r="T165" i="77" s="1"/>
  <c r="U165" i="77"/>
  <c r="V165" i="77" s="1"/>
  <c r="W165" i="77"/>
  <c r="X165" i="77" s="1"/>
  <c r="Y165" i="77"/>
  <c r="Z165" i="77" s="1"/>
  <c r="M166" i="77"/>
  <c r="N166" i="77" s="1"/>
  <c r="O166" i="77"/>
  <c r="P166" i="77" s="1"/>
  <c r="Q166" i="77"/>
  <c r="R166" i="77" s="1"/>
  <c r="S166" i="77"/>
  <c r="T166" i="77" s="1"/>
  <c r="U166" i="77"/>
  <c r="V166" i="77" s="1"/>
  <c r="W166" i="77"/>
  <c r="X166" i="77" s="1"/>
  <c r="Y166" i="77"/>
  <c r="Z166" i="77" s="1"/>
  <c r="M167" i="77"/>
  <c r="N167" i="77" s="1"/>
  <c r="O167" i="77"/>
  <c r="P167" i="77" s="1"/>
  <c r="Q167" i="77"/>
  <c r="R167" i="77" s="1"/>
  <c r="S167" i="77"/>
  <c r="T167" i="77" s="1"/>
  <c r="U167" i="77"/>
  <c r="V167" i="77" s="1"/>
  <c r="W167" i="77"/>
  <c r="X167" i="77" s="1"/>
  <c r="Y167" i="77"/>
  <c r="Z167" i="77" s="1"/>
  <c r="M168" i="77"/>
  <c r="N168" i="77" s="1"/>
  <c r="O168" i="77"/>
  <c r="P168" i="77" s="1"/>
  <c r="Q168" i="77"/>
  <c r="R168" i="77" s="1"/>
  <c r="S168" i="77"/>
  <c r="T168" i="77" s="1"/>
  <c r="U168" i="77"/>
  <c r="V168" i="77" s="1"/>
  <c r="W168" i="77"/>
  <c r="X168" i="77" s="1"/>
  <c r="Y168" i="77"/>
  <c r="Z168" i="77" s="1"/>
  <c r="M169" i="77"/>
  <c r="N169" i="77" s="1"/>
  <c r="O169" i="77"/>
  <c r="P169" i="77" s="1"/>
  <c r="Q169" i="77"/>
  <c r="R169" i="77" s="1"/>
  <c r="S169" i="77"/>
  <c r="T169" i="77" s="1"/>
  <c r="U169" i="77"/>
  <c r="V169" i="77" s="1"/>
  <c r="W169" i="77"/>
  <c r="X169" i="77" s="1"/>
  <c r="Y169" i="77"/>
  <c r="Z169" i="77" s="1"/>
  <c r="M170" i="77"/>
  <c r="N170" i="77" s="1"/>
  <c r="O170" i="77"/>
  <c r="P170" i="77" s="1"/>
  <c r="Q170" i="77"/>
  <c r="R170" i="77" s="1"/>
  <c r="S170" i="77"/>
  <c r="T170" i="77" s="1"/>
  <c r="U170" i="77"/>
  <c r="V170" i="77" s="1"/>
  <c r="W170" i="77"/>
  <c r="X170" i="77" s="1"/>
  <c r="Y170" i="77"/>
  <c r="Z170" i="77" s="1"/>
  <c r="M171" i="77"/>
  <c r="N171" i="77" s="1"/>
  <c r="O171" i="77"/>
  <c r="P171" i="77" s="1"/>
  <c r="Q171" i="77"/>
  <c r="R171" i="77" s="1"/>
  <c r="S171" i="77"/>
  <c r="T171" i="77" s="1"/>
  <c r="U171" i="77"/>
  <c r="V171" i="77" s="1"/>
  <c r="W171" i="77"/>
  <c r="X171" i="77" s="1"/>
  <c r="Y171" i="77"/>
  <c r="Z171" i="77" s="1"/>
  <c r="M172" i="77"/>
  <c r="N172" i="77" s="1"/>
  <c r="O172" i="77"/>
  <c r="P172" i="77"/>
  <c r="Q172" i="77"/>
  <c r="R172" i="77" s="1"/>
  <c r="S172" i="77"/>
  <c r="T172" i="77" s="1"/>
  <c r="U172" i="77"/>
  <c r="V172" i="77" s="1"/>
  <c r="W172" i="77"/>
  <c r="X172" i="77" s="1"/>
  <c r="Y172" i="77"/>
  <c r="Z172" i="77" s="1"/>
  <c r="M173" i="77"/>
  <c r="N173" i="77" s="1"/>
  <c r="O173" i="77"/>
  <c r="P173" i="77" s="1"/>
  <c r="Q173" i="77"/>
  <c r="R173" i="77" s="1"/>
  <c r="S173" i="77"/>
  <c r="T173" i="77" s="1"/>
  <c r="U173" i="77"/>
  <c r="V173" i="77" s="1"/>
  <c r="W173" i="77"/>
  <c r="X173" i="77" s="1"/>
  <c r="Y173" i="77"/>
  <c r="Z173" i="77" s="1"/>
  <c r="M174" i="77"/>
  <c r="N174" i="77" s="1"/>
  <c r="O174" i="77"/>
  <c r="P174" i="77" s="1"/>
  <c r="Q174" i="77"/>
  <c r="R174" i="77" s="1"/>
  <c r="S174" i="77"/>
  <c r="T174" i="77" s="1"/>
  <c r="U174" i="77"/>
  <c r="V174" i="77" s="1"/>
  <c r="W174" i="77"/>
  <c r="X174" i="77" s="1"/>
  <c r="Y174" i="77"/>
  <c r="Z174" i="77" s="1"/>
  <c r="M175" i="77"/>
  <c r="N175" i="77"/>
  <c r="O175" i="77"/>
  <c r="P175" i="77" s="1"/>
  <c r="Q175" i="77"/>
  <c r="R175" i="77" s="1"/>
  <c r="S175" i="77"/>
  <c r="T175" i="77" s="1"/>
  <c r="U175" i="77"/>
  <c r="V175" i="77" s="1"/>
  <c r="W175" i="77"/>
  <c r="X175" i="77" s="1"/>
  <c r="Y175" i="77"/>
  <c r="Z175" i="77" s="1"/>
  <c r="M176" i="77"/>
  <c r="N176" i="77" s="1"/>
  <c r="O176" i="77"/>
  <c r="P176" i="77" s="1"/>
  <c r="Q176" i="77"/>
  <c r="R176" i="77" s="1"/>
  <c r="S176" i="77"/>
  <c r="T176" i="77" s="1"/>
  <c r="U176" i="77"/>
  <c r="V176" i="77" s="1"/>
  <c r="W176" i="77"/>
  <c r="X176" i="77" s="1"/>
  <c r="Y176" i="77"/>
  <c r="Z176" i="77" s="1"/>
  <c r="M177" i="77"/>
  <c r="N177" i="77" s="1"/>
  <c r="O177" i="77"/>
  <c r="P177" i="77"/>
  <c r="Q177" i="77"/>
  <c r="R177" i="77" s="1"/>
  <c r="S177" i="77"/>
  <c r="T177" i="77" s="1"/>
  <c r="U177" i="77"/>
  <c r="V177" i="77" s="1"/>
  <c r="W177" i="77"/>
  <c r="X177" i="77" s="1"/>
  <c r="Y177" i="77"/>
  <c r="Z177" i="77" s="1"/>
  <c r="M178" i="77"/>
  <c r="N178" i="77" s="1"/>
  <c r="O178" i="77"/>
  <c r="P178" i="77" s="1"/>
  <c r="Q178" i="77"/>
  <c r="R178" i="77" s="1"/>
  <c r="S178" i="77"/>
  <c r="T178" i="77" s="1"/>
  <c r="U178" i="77"/>
  <c r="V178" i="77" s="1"/>
  <c r="W178" i="77"/>
  <c r="X178" i="77" s="1"/>
  <c r="Y178" i="77"/>
  <c r="Z178" i="77" s="1"/>
  <c r="M179" i="77"/>
  <c r="N179" i="77" s="1"/>
  <c r="O179" i="77"/>
  <c r="P179" i="77" s="1"/>
  <c r="Q179" i="77"/>
  <c r="R179" i="77" s="1"/>
  <c r="S179" i="77"/>
  <c r="T179" i="77" s="1"/>
  <c r="U179" i="77"/>
  <c r="V179" i="77" s="1"/>
  <c r="W179" i="77"/>
  <c r="X179" i="77" s="1"/>
  <c r="Y179" i="77"/>
  <c r="Z179" i="77" s="1"/>
  <c r="M180" i="77"/>
  <c r="N180" i="77" s="1"/>
  <c r="O180" i="77"/>
  <c r="P180" i="77" s="1"/>
  <c r="Q180" i="77"/>
  <c r="R180" i="77" s="1"/>
  <c r="S180" i="77"/>
  <c r="T180" i="77" s="1"/>
  <c r="U180" i="77"/>
  <c r="V180" i="77" s="1"/>
  <c r="W180" i="77"/>
  <c r="X180" i="77" s="1"/>
  <c r="Y180" i="77"/>
  <c r="Z180" i="77" s="1"/>
  <c r="M181" i="77"/>
  <c r="N181" i="77" s="1"/>
  <c r="O181" i="77"/>
  <c r="P181" i="77" s="1"/>
  <c r="Q181" i="77"/>
  <c r="R181" i="77" s="1"/>
  <c r="S181" i="77"/>
  <c r="T181" i="77" s="1"/>
  <c r="U181" i="77"/>
  <c r="V181" i="77" s="1"/>
  <c r="W181" i="77"/>
  <c r="X181" i="77" s="1"/>
  <c r="Y181" i="77"/>
  <c r="Z181" i="77" s="1"/>
  <c r="M182" i="77"/>
  <c r="N182" i="77" s="1"/>
  <c r="O182" i="77"/>
  <c r="P182" i="77" s="1"/>
  <c r="Q182" i="77"/>
  <c r="R182" i="77" s="1"/>
  <c r="S182" i="77"/>
  <c r="T182" i="77"/>
  <c r="U182" i="77"/>
  <c r="V182" i="77" s="1"/>
  <c r="W182" i="77"/>
  <c r="X182" i="77" s="1"/>
  <c r="Y182" i="77"/>
  <c r="Z182" i="77" s="1"/>
  <c r="M183" i="77"/>
  <c r="N183" i="77" s="1"/>
  <c r="O183" i="77"/>
  <c r="P183" i="77" s="1"/>
  <c r="Q183" i="77"/>
  <c r="R183" i="77" s="1"/>
  <c r="S183" i="77"/>
  <c r="T183" i="77" s="1"/>
  <c r="U183" i="77"/>
  <c r="V183" i="77" s="1"/>
  <c r="W183" i="77"/>
  <c r="X183" i="77" s="1"/>
  <c r="Y183" i="77"/>
  <c r="Z183" i="77" s="1"/>
  <c r="M184" i="77"/>
  <c r="N184" i="77" s="1"/>
  <c r="O184" i="77"/>
  <c r="P184" i="77" s="1"/>
  <c r="Q184" i="77"/>
  <c r="R184" i="77" s="1"/>
  <c r="S184" i="77"/>
  <c r="T184" i="77" s="1"/>
  <c r="U184" i="77"/>
  <c r="V184" i="77" s="1"/>
  <c r="W184" i="77"/>
  <c r="X184" i="77" s="1"/>
  <c r="Y184" i="77"/>
  <c r="Z184" i="77" s="1"/>
  <c r="M185" i="77"/>
  <c r="N185" i="77" s="1"/>
  <c r="O185" i="77"/>
  <c r="P185" i="77" s="1"/>
  <c r="Q185" i="77"/>
  <c r="R185" i="77" s="1"/>
  <c r="S185" i="77"/>
  <c r="T185" i="77" s="1"/>
  <c r="U185" i="77"/>
  <c r="V185" i="77" s="1"/>
  <c r="W185" i="77"/>
  <c r="X185" i="77" s="1"/>
  <c r="Y185" i="77"/>
  <c r="Z185" i="77" s="1"/>
  <c r="M186" i="77"/>
  <c r="N186" i="77" s="1"/>
  <c r="O186" i="77"/>
  <c r="P186" i="77" s="1"/>
  <c r="Q186" i="77"/>
  <c r="R186" i="77" s="1"/>
  <c r="S186" i="77"/>
  <c r="T186" i="77" s="1"/>
  <c r="U186" i="77"/>
  <c r="V186" i="77" s="1"/>
  <c r="W186" i="77"/>
  <c r="X186" i="77" s="1"/>
  <c r="Y186" i="77"/>
  <c r="Z186" i="77" s="1"/>
  <c r="M187" i="77"/>
  <c r="N187" i="77" s="1"/>
  <c r="O187" i="77"/>
  <c r="P187" i="77" s="1"/>
  <c r="Q187" i="77"/>
  <c r="R187" i="77" s="1"/>
  <c r="S187" i="77"/>
  <c r="T187" i="77" s="1"/>
  <c r="U187" i="77"/>
  <c r="V187" i="77" s="1"/>
  <c r="W187" i="77"/>
  <c r="X187" i="77" s="1"/>
  <c r="Y187" i="77"/>
  <c r="Z187" i="77" s="1"/>
  <c r="M188" i="77"/>
  <c r="N188" i="77" s="1"/>
  <c r="O188" i="77"/>
  <c r="P188" i="77" s="1"/>
  <c r="Q188" i="77"/>
  <c r="R188" i="77" s="1"/>
  <c r="S188" i="77"/>
  <c r="T188" i="77" s="1"/>
  <c r="U188" i="77"/>
  <c r="V188" i="77" s="1"/>
  <c r="W188" i="77"/>
  <c r="X188" i="77" s="1"/>
  <c r="Y188" i="77"/>
  <c r="Z188" i="77" s="1"/>
  <c r="M189" i="77"/>
  <c r="N189" i="77" s="1"/>
  <c r="O189" i="77"/>
  <c r="P189" i="77" s="1"/>
  <c r="Q189" i="77"/>
  <c r="R189" i="77" s="1"/>
  <c r="S189" i="77"/>
  <c r="T189" i="77" s="1"/>
  <c r="U189" i="77"/>
  <c r="V189" i="77" s="1"/>
  <c r="W189" i="77"/>
  <c r="X189" i="77" s="1"/>
  <c r="Y189" i="77"/>
  <c r="Z189" i="77" s="1"/>
  <c r="M190" i="77"/>
  <c r="N190" i="77" s="1"/>
  <c r="O190" i="77"/>
  <c r="P190" i="77"/>
  <c r="Q190" i="77"/>
  <c r="R190" i="77" s="1"/>
  <c r="S190" i="77"/>
  <c r="T190" i="77" s="1"/>
  <c r="U190" i="77"/>
  <c r="V190" i="77" s="1"/>
  <c r="W190" i="77"/>
  <c r="X190" i="77" s="1"/>
  <c r="Y190" i="77"/>
  <c r="Z190" i="77" s="1"/>
  <c r="M191" i="77"/>
  <c r="N191" i="77" s="1"/>
  <c r="O191" i="77"/>
  <c r="P191" i="77" s="1"/>
  <c r="Q191" i="77"/>
  <c r="R191" i="77" s="1"/>
  <c r="S191" i="77"/>
  <c r="T191" i="77" s="1"/>
  <c r="U191" i="77"/>
  <c r="V191" i="77" s="1"/>
  <c r="W191" i="77"/>
  <c r="X191" i="77" s="1"/>
  <c r="Y191" i="77"/>
  <c r="Z191" i="77" s="1"/>
  <c r="M192" i="77"/>
  <c r="N192" i="77" s="1"/>
  <c r="O192" i="77"/>
  <c r="P192" i="77" s="1"/>
  <c r="Q192" i="77"/>
  <c r="R192" i="77" s="1"/>
  <c r="S192" i="77"/>
  <c r="T192" i="77" s="1"/>
  <c r="U192" i="77"/>
  <c r="V192" i="77" s="1"/>
  <c r="W192" i="77"/>
  <c r="X192" i="77" s="1"/>
  <c r="Y192" i="77"/>
  <c r="Z192" i="77" s="1"/>
  <c r="M193" i="77"/>
  <c r="N193" i="77" s="1"/>
  <c r="O193" i="77"/>
  <c r="P193" i="77" s="1"/>
  <c r="Q193" i="77"/>
  <c r="R193" i="77" s="1"/>
  <c r="S193" i="77"/>
  <c r="T193" i="77" s="1"/>
  <c r="U193" i="77"/>
  <c r="V193" i="77" s="1"/>
  <c r="W193" i="77"/>
  <c r="X193" i="77" s="1"/>
  <c r="Y193" i="77"/>
  <c r="Z193" i="77" s="1"/>
  <c r="M194" i="77"/>
  <c r="N194" i="77" s="1"/>
  <c r="O194" i="77"/>
  <c r="P194" i="77" s="1"/>
  <c r="Q194" i="77"/>
  <c r="R194" i="77" s="1"/>
  <c r="S194" i="77"/>
  <c r="T194" i="77" s="1"/>
  <c r="U194" i="77"/>
  <c r="V194" i="77" s="1"/>
  <c r="W194" i="77"/>
  <c r="X194" i="77" s="1"/>
  <c r="Y194" i="77"/>
  <c r="Z194" i="77" s="1"/>
  <c r="M195" i="77"/>
  <c r="N195" i="77" s="1"/>
  <c r="O195" i="77"/>
  <c r="P195" i="77" s="1"/>
  <c r="Q195" i="77"/>
  <c r="R195" i="77" s="1"/>
  <c r="S195" i="77"/>
  <c r="T195" i="77" s="1"/>
  <c r="U195" i="77"/>
  <c r="V195" i="77" s="1"/>
  <c r="W195" i="77"/>
  <c r="X195" i="77" s="1"/>
  <c r="Y195" i="77"/>
  <c r="Z195" i="77" s="1"/>
  <c r="M196" i="77"/>
  <c r="N196" i="77" s="1"/>
  <c r="O196" i="77"/>
  <c r="P196" i="77" s="1"/>
  <c r="Q196" i="77"/>
  <c r="R196" i="77" s="1"/>
  <c r="S196" i="77"/>
  <c r="T196" i="77" s="1"/>
  <c r="U196" i="77"/>
  <c r="V196" i="77" s="1"/>
  <c r="W196" i="77"/>
  <c r="X196" i="77" s="1"/>
  <c r="Y196" i="77"/>
  <c r="Z196" i="77" s="1"/>
  <c r="M197" i="77"/>
  <c r="N197" i="77" s="1"/>
  <c r="O197" i="77"/>
  <c r="P197" i="77" s="1"/>
  <c r="Q197" i="77"/>
  <c r="R197" i="77" s="1"/>
  <c r="S197" i="77"/>
  <c r="T197" i="77" s="1"/>
  <c r="U197" i="77"/>
  <c r="V197" i="77" s="1"/>
  <c r="W197" i="77"/>
  <c r="X197" i="77" s="1"/>
  <c r="Y197" i="77"/>
  <c r="Z197" i="77" s="1"/>
  <c r="M198" i="77"/>
  <c r="N198" i="77" s="1"/>
  <c r="O198" i="77"/>
  <c r="P198" i="77" s="1"/>
  <c r="Q198" i="77"/>
  <c r="R198" i="77" s="1"/>
  <c r="S198" i="77"/>
  <c r="T198" i="77" s="1"/>
  <c r="U198" i="77"/>
  <c r="V198" i="77" s="1"/>
  <c r="W198" i="77"/>
  <c r="X198" i="77"/>
  <c r="Y198" i="77"/>
  <c r="Z198" i="77" s="1"/>
  <c r="M199" i="77"/>
  <c r="N199" i="77"/>
  <c r="O199" i="77"/>
  <c r="P199" i="77" s="1"/>
  <c r="Q199" i="77"/>
  <c r="R199" i="77" s="1"/>
  <c r="S199" i="77"/>
  <c r="T199" i="77" s="1"/>
  <c r="U199" i="77"/>
  <c r="V199" i="77" s="1"/>
  <c r="W199" i="77"/>
  <c r="X199" i="77" s="1"/>
  <c r="Y199" i="77"/>
  <c r="Z199" i="77" s="1"/>
  <c r="M200" i="77"/>
  <c r="N200" i="77" s="1"/>
  <c r="O200" i="77"/>
  <c r="P200" i="77" s="1"/>
  <c r="Q200" i="77"/>
  <c r="R200" i="77" s="1"/>
  <c r="S200" i="77"/>
  <c r="T200" i="77" s="1"/>
  <c r="U200" i="77"/>
  <c r="V200" i="77" s="1"/>
  <c r="W200" i="77"/>
  <c r="X200" i="77" s="1"/>
  <c r="Y200" i="77"/>
  <c r="Z200" i="77" s="1"/>
  <c r="M201" i="77"/>
  <c r="N201" i="77" s="1"/>
  <c r="O201" i="77"/>
  <c r="P201" i="77" s="1"/>
  <c r="Q201" i="77"/>
  <c r="R201" i="77" s="1"/>
  <c r="S201" i="77"/>
  <c r="T201" i="77" s="1"/>
  <c r="U201" i="77"/>
  <c r="V201" i="77" s="1"/>
  <c r="W201" i="77"/>
  <c r="X201" i="77" s="1"/>
  <c r="Y201" i="77"/>
  <c r="Z201" i="77" s="1"/>
  <c r="M202" i="77"/>
  <c r="N202" i="77" s="1"/>
  <c r="O202" i="77"/>
  <c r="P202" i="77" s="1"/>
  <c r="Q202" i="77"/>
  <c r="R202" i="77" s="1"/>
  <c r="S202" i="77"/>
  <c r="T202" i="77" s="1"/>
  <c r="U202" i="77"/>
  <c r="V202" i="77" s="1"/>
  <c r="W202" i="77"/>
  <c r="X202" i="77" s="1"/>
  <c r="Y202" i="77"/>
  <c r="Z202" i="77" s="1"/>
  <c r="M203" i="77"/>
  <c r="N203" i="77" s="1"/>
  <c r="O203" i="77"/>
  <c r="P203" i="77" s="1"/>
  <c r="Q203" i="77"/>
  <c r="R203" i="77" s="1"/>
  <c r="S203" i="77"/>
  <c r="T203" i="77" s="1"/>
  <c r="U203" i="77"/>
  <c r="V203" i="77" s="1"/>
  <c r="W203" i="77"/>
  <c r="X203" i="77" s="1"/>
  <c r="Y203" i="77"/>
  <c r="Z203" i="77" s="1"/>
  <c r="M204" i="77"/>
  <c r="N204" i="77" s="1"/>
  <c r="O204" i="77"/>
  <c r="P204" i="77" s="1"/>
  <c r="Q204" i="77"/>
  <c r="R204" i="77" s="1"/>
  <c r="S204" i="77"/>
  <c r="T204" i="77" s="1"/>
  <c r="U204" i="77"/>
  <c r="V204" i="77" s="1"/>
  <c r="W204" i="77"/>
  <c r="X204" i="77" s="1"/>
  <c r="Y204" i="77"/>
  <c r="Z204" i="77" s="1"/>
  <c r="M205" i="77"/>
  <c r="N205" i="77" s="1"/>
  <c r="O205" i="77"/>
  <c r="P205" i="77" s="1"/>
  <c r="Q205" i="77"/>
  <c r="R205" i="77" s="1"/>
  <c r="S205" i="77"/>
  <c r="T205" i="77" s="1"/>
  <c r="U205" i="77"/>
  <c r="V205" i="77" s="1"/>
  <c r="W205" i="77"/>
  <c r="X205" i="77" s="1"/>
  <c r="Y205" i="77"/>
  <c r="Z205" i="77" s="1"/>
  <c r="M206" i="77"/>
  <c r="N206" i="77" s="1"/>
  <c r="O206" i="77"/>
  <c r="P206" i="77" s="1"/>
  <c r="Q206" i="77"/>
  <c r="R206" i="77" s="1"/>
  <c r="S206" i="77"/>
  <c r="T206" i="77" s="1"/>
  <c r="U206" i="77"/>
  <c r="V206" i="77" s="1"/>
  <c r="W206" i="77"/>
  <c r="X206" i="77" s="1"/>
  <c r="Y206" i="77"/>
  <c r="Z206" i="77" s="1"/>
  <c r="M207" i="77"/>
  <c r="N207" i="77" s="1"/>
  <c r="O207" i="77"/>
  <c r="P207" i="77" s="1"/>
  <c r="Q207" i="77"/>
  <c r="R207" i="77" s="1"/>
  <c r="S207" i="77"/>
  <c r="T207" i="77" s="1"/>
  <c r="U207" i="77"/>
  <c r="V207" i="77" s="1"/>
  <c r="W207" i="77"/>
  <c r="X207" i="77" s="1"/>
  <c r="Y207" i="77"/>
  <c r="Z207" i="77" s="1"/>
  <c r="M208" i="77"/>
  <c r="N208" i="77" s="1"/>
  <c r="O208" i="77"/>
  <c r="P208" i="77" s="1"/>
  <c r="Q208" i="77"/>
  <c r="R208" i="77" s="1"/>
  <c r="S208" i="77"/>
  <c r="T208" i="77" s="1"/>
  <c r="U208" i="77"/>
  <c r="V208" i="77" s="1"/>
  <c r="W208" i="77"/>
  <c r="X208" i="77" s="1"/>
  <c r="Y208" i="77"/>
  <c r="Z208" i="77" s="1"/>
  <c r="M209" i="77"/>
  <c r="N209" i="77" s="1"/>
  <c r="O209" i="77"/>
  <c r="P209" i="77" s="1"/>
  <c r="Q209" i="77"/>
  <c r="R209" i="77" s="1"/>
  <c r="S209" i="77"/>
  <c r="T209" i="77" s="1"/>
  <c r="U209" i="77"/>
  <c r="V209" i="77" s="1"/>
  <c r="W209" i="77"/>
  <c r="X209" i="77" s="1"/>
  <c r="Y209" i="77"/>
  <c r="Z209" i="77" s="1"/>
  <c r="M210" i="77"/>
  <c r="N210" i="77" s="1"/>
  <c r="O210" i="77"/>
  <c r="P210" i="77" s="1"/>
  <c r="Q210" i="77"/>
  <c r="R210" i="77" s="1"/>
  <c r="S210" i="77"/>
  <c r="T210" i="77" s="1"/>
  <c r="U210" i="77"/>
  <c r="V210" i="77" s="1"/>
  <c r="W210" i="77"/>
  <c r="X210" i="77" s="1"/>
  <c r="Y210" i="77"/>
  <c r="Z210" i="77" s="1"/>
  <c r="M211" i="77"/>
  <c r="N211" i="77" s="1"/>
  <c r="O211" i="77"/>
  <c r="P211" i="77" s="1"/>
  <c r="Q211" i="77"/>
  <c r="R211" i="77" s="1"/>
  <c r="S211" i="77"/>
  <c r="T211" i="77" s="1"/>
  <c r="U211" i="77"/>
  <c r="V211" i="77" s="1"/>
  <c r="W211" i="77"/>
  <c r="X211" i="77" s="1"/>
  <c r="Y211" i="77"/>
  <c r="Z211" i="77" s="1"/>
  <c r="M212" i="77"/>
  <c r="N212" i="77" s="1"/>
  <c r="O212" i="77"/>
  <c r="P212" i="77" s="1"/>
  <c r="Q212" i="77"/>
  <c r="R212" i="77" s="1"/>
  <c r="S212" i="77"/>
  <c r="T212" i="77" s="1"/>
  <c r="U212" i="77"/>
  <c r="V212" i="77" s="1"/>
  <c r="W212" i="77"/>
  <c r="X212" i="77" s="1"/>
  <c r="Y212" i="77"/>
  <c r="Z212" i="77" s="1"/>
  <c r="M213" i="77"/>
  <c r="N213" i="77" s="1"/>
  <c r="O213" i="77"/>
  <c r="P213" i="77" s="1"/>
  <c r="Q213" i="77"/>
  <c r="R213" i="77" s="1"/>
  <c r="S213" i="77"/>
  <c r="T213" i="77" s="1"/>
  <c r="U213" i="77"/>
  <c r="V213" i="77" s="1"/>
  <c r="W213" i="77"/>
  <c r="X213" i="77" s="1"/>
  <c r="Y213" i="77"/>
  <c r="Z213" i="77" s="1"/>
  <c r="M214" i="77"/>
  <c r="N214" i="77" s="1"/>
  <c r="O214" i="77"/>
  <c r="P214" i="77" s="1"/>
  <c r="Q214" i="77"/>
  <c r="R214" i="77" s="1"/>
  <c r="S214" i="77"/>
  <c r="T214" i="77" s="1"/>
  <c r="U214" i="77"/>
  <c r="V214" i="77" s="1"/>
  <c r="W214" i="77"/>
  <c r="X214" i="77" s="1"/>
  <c r="Y214" i="77"/>
  <c r="Z214" i="77" s="1"/>
  <c r="M215" i="77"/>
  <c r="N215" i="77" s="1"/>
  <c r="O215" i="77"/>
  <c r="P215" i="77" s="1"/>
  <c r="Q215" i="77"/>
  <c r="R215" i="77" s="1"/>
  <c r="S215" i="77"/>
  <c r="T215" i="77" s="1"/>
  <c r="U215" i="77"/>
  <c r="V215" i="77" s="1"/>
  <c r="W215" i="77"/>
  <c r="X215" i="77" s="1"/>
  <c r="Y215" i="77"/>
  <c r="Z215" i="77" s="1"/>
  <c r="M216" i="77"/>
  <c r="N216" i="77" s="1"/>
  <c r="O216" i="77"/>
  <c r="P216" i="77" s="1"/>
  <c r="Q216" i="77"/>
  <c r="R216" i="77" s="1"/>
  <c r="S216" i="77"/>
  <c r="T216" i="77" s="1"/>
  <c r="U216" i="77"/>
  <c r="V216" i="77" s="1"/>
  <c r="W216" i="77"/>
  <c r="X216" i="77" s="1"/>
  <c r="Y216" i="77"/>
  <c r="Z216" i="77" s="1"/>
  <c r="M217" i="77"/>
  <c r="N217" i="77" s="1"/>
  <c r="O217" i="77"/>
  <c r="P217" i="77" s="1"/>
  <c r="Q217" i="77"/>
  <c r="R217" i="77" s="1"/>
  <c r="S217" i="77"/>
  <c r="T217" i="77" s="1"/>
  <c r="U217" i="77"/>
  <c r="V217" i="77" s="1"/>
  <c r="W217" i="77"/>
  <c r="X217" i="77" s="1"/>
  <c r="Y217" i="77"/>
  <c r="Z217" i="77" s="1"/>
  <c r="M218" i="77"/>
  <c r="N218" i="77" s="1"/>
  <c r="O218" i="77"/>
  <c r="P218" i="77" s="1"/>
  <c r="Q218" i="77"/>
  <c r="R218" i="77" s="1"/>
  <c r="S218" i="77"/>
  <c r="T218" i="77" s="1"/>
  <c r="U218" i="77"/>
  <c r="V218" i="77" s="1"/>
  <c r="W218" i="77"/>
  <c r="X218" i="77" s="1"/>
  <c r="Y218" i="77"/>
  <c r="Z218" i="77" s="1"/>
  <c r="M219" i="77"/>
  <c r="N219" i="77" s="1"/>
  <c r="O219" i="77"/>
  <c r="P219" i="77" s="1"/>
  <c r="Q219" i="77"/>
  <c r="R219" i="77" s="1"/>
  <c r="S219" i="77"/>
  <c r="T219" i="77" s="1"/>
  <c r="U219" i="77"/>
  <c r="V219" i="77" s="1"/>
  <c r="W219" i="77"/>
  <c r="X219" i="77" s="1"/>
  <c r="Y219" i="77"/>
  <c r="Z219" i="77" s="1"/>
  <c r="M220" i="77"/>
  <c r="N220" i="77" s="1"/>
  <c r="O220" i="77"/>
  <c r="P220" i="77" s="1"/>
  <c r="Q220" i="77"/>
  <c r="R220" i="77" s="1"/>
  <c r="S220" i="77"/>
  <c r="T220" i="77" s="1"/>
  <c r="U220" i="77"/>
  <c r="V220" i="77" s="1"/>
  <c r="W220" i="77"/>
  <c r="X220" i="77" s="1"/>
  <c r="Y220" i="77"/>
  <c r="Z220" i="77" s="1"/>
  <c r="M221" i="77"/>
  <c r="N221" i="77" s="1"/>
  <c r="O221" i="77"/>
  <c r="P221" i="77" s="1"/>
  <c r="Q221" i="77"/>
  <c r="R221" i="77" s="1"/>
  <c r="S221" i="77"/>
  <c r="T221" i="77" s="1"/>
  <c r="U221" i="77"/>
  <c r="V221" i="77" s="1"/>
  <c r="W221" i="77"/>
  <c r="X221" i="77" s="1"/>
  <c r="Y221" i="77"/>
  <c r="Z221" i="77" s="1"/>
  <c r="M222" i="77"/>
  <c r="N222" i="77" s="1"/>
  <c r="O222" i="77"/>
  <c r="P222" i="77" s="1"/>
  <c r="Q222" i="77"/>
  <c r="R222" i="77" s="1"/>
  <c r="S222" i="77"/>
  <c r="T222" i="77" s="1"/>
  <c r="U222" i="77"/>
  <c r="V222" i="77" s="1"/>
  <c r="W222" i="77"/>
  <c r="X222" i="77" s="1"/>
  <c r="Y222" i="77"/>
  <c r="Z222" i="77" s="1"/>
  <c r="M223" i="77"/>
  <c r="N223" i="77" s="1"/>
  <c r="O223" i="77"/>
  <c r="P223" i="77" s="1"/>
  <c r="Q223" i="77"/>
  <c r="R223" i="77" s="1"/>
  <c r="S223" i="77"/>
  <c r="T223" i="77" s="1"/>
  <c r="U223" i="77"/>
  <c r="V223" i="77" s="1"/>
  <c r="W223" i="77"/>
  <c r="X223" i="77" s="1"/>
  <c r="Y223" i="77"/>
  <c r="Z223" i="77" s="1"/>
  <c r="M224" i="77"/>
  <c r="N224" i="77" s="1"/>
  <c r="O224" i="77"/>
  <c r="P224" i="77" s="1"/>
  <c r="Q224" i="77"/>
  <c r="R224" i="77" s="1"/>
  <c r="S224" i="77"/>
  <c r="T224" i="77" s="1"/>
  <c r="U224" i="77"/>
  <c r="V224" i="77" s="1"/>
  <c r="W224" i="77"/>
  <c r="X224" i="77" s="1"/>
  <c r="Y224" i="77"/>
  <c r="Z224" i="77" s="1"/>
  <c r="M225" i="77"/>
  <c r="N225" i="77" s="1"/>
  <c r="O225" i="77"/>
  <c r="P225" i="77" s="1"/>
  <c r="Q225" i="77"/>
  <c r="R225" i="77" s="1"/>
  <c r="S225" i="77"/>
  <c r="T225" i="77" s="1"/>
  <c r="U225" i="77"/>
  <c r="V225" i="77" s="1"/>
  <c r="W225" i="77"/>
  <c r="X225" i="77" s="1"/>
  <c r="Y225" i="77"/>
  <c r="Z225" i="77" s="1"/>
  <c r="M226" i="77"/>
  <c r="N226" i="77" s="1"/>
  <c r="O226" i="77"/>
  <c r="P226" i="77" s="1"/>
  <c r="Q226" i="77"/>
  <c r="R226" i="77" s="1"/>
  <c r="S226" i="77"/>
  <c r="T226" i="77" s="1"/>
  <c r="U226" i="77"/>
  <c r="V226" i="77" s="1"/>
  <c r="W226" i="77"/>
  <c r="X226" i="77" s="1"/>
  <c r="Y226" i="77"/>
  <c r="Z226" i="77" s="1"/>
  <c r="M227" i="77"/>
  <c r="N227" i="77" s="1"/>
  <c r="O227" i="77"/>
  <c r="P227" i="77" s="1"/>
  <c r="Q227" i="77"/>
  <c r="R227" i="77" s="1"/>
  <c r="S227" i="77"/>
  <c r="T227" i="77" s="1"/>
  <c r="U227" i="77"/>
  <c r="V227" i="77" s="1"/>
  <c r="W227" i="77"/>
  <c r="X227" i="77" s="1"/>
  <c r="Y227" i="77"/>
  <c r="Z227" i="77" s="1"/>
  <c r="M228" i="77"/>
  <c r="N228" i="77" s="1"/>
  <c r="O228" i="77"/>
  <c r="P228" i="77" s="1"/>
  <c r="Q228" i="77"/>
  <c r="R228" i="77" s="1"/>
  <c r="S228" i="77"/>
  <c r="T228" i="77" s="1"/>
  <c r="U228" i="77"/>
  <c r="V228" i="77" s="1"/>
  <c r="W228" i="77"/>
  <c r="X228" i="77" s="1"/>
  <c r="Y228" i="77"/>
  <c r="Z228" i="77" s="1"/>
  <c r="M229" i="77"/>
  <c r="N229" i="77" s="1"/>
  <c r="O229" i="77"/>
  <c r="P229" i="77" s="1"/>
  <c r="Q229" i="77"/>
  <c r="R229" i="77" s="1"/>
  <c r="S229" i="77"/>
  <c r="T229" i="77" s="1"/>
  <c r="U229" i="77"/>
  <c r="V229" i="77" s="1"/>
  <c r="W229" i="77"/>
  <c r="X229" i="77" s="1"/>
  <c r="Y229" i="77"/>
  <c r="Z229" i="77" s="1"/>
  <c r="M230" i="77"/>
  <c r="N230" i="77" s="1"/>
  <c r="O230" i="77"/>
  <c r="P230" i="77" s="1"/>
  <c r="Q230" i="77"/>
  <c r="R230" i="77" s="1"/>
  <c r="S230" i="77"/>
  <c r="T230" i="77" s="1"/>
  <c r="U230" i="77"/>
  <c r="V230" i="77" s="1"/>
  <c r="W230" i="77"/>
  <c r="X230" i="77" s="1"/>
  <c r="Y230" i="77"/>
  <c r="Z230" i="77" s="1"/>
  <c r="M231" i="77"/>
  <c r="N231" i="77" s="1"/>
  <c r="O231" i="77"/>
  <c r="P231" i="77" s="1"/>
  <c r="Q231" i="77"/>
  <c r="R231" i="77" s="1"/>
  <c r="S231" i="77"/>
  <c r="T231" i="77" s="1"/>
  <c r="U231" i="77"/>
  <c r="V231" i="77" s="1"/>
  <c r="W231" i="77"/>
  <c r="X231" i="77" s="1"/>
  <c r="Y231" i="77"/>
  <c r="Z231" i="77" s="1"/>
  <c r="M232" i="77"/>
  <c r="N232" i="77" s="1"/>
  <c r="O232" i="77"/>
  <c r="P232" i="77" s="1"/>
  <c r="Q232" i="77"/>
  <c r="R232" i="77" s="1"/>
  <c r="S232" i="77"/>
  <c r="T232" i="77" s="1"/>
  <c r="U232" i="77"/>
  <c r="V232" i="77" s="1"/>
  <c r="W232" i="77"/>
  <c r="X232" i="77" s="1"/>
  <c r="Y232" i="77"/>
  <c r="Z232" i="77" s="1"/>
  <c r="M233" i="77"/>
  <c r="N233" i="77" s="1"/>
  <c r="O233" i="77"/>
  <c r="P233" i="77" s="1"/>
  <c r="Q233" i="77"/>
  <c r="R233" i="77" s="1"/>
  <c r="S233" i="77"/>
  <c r="T233" i="77" s="1"/>
  <c r="U233" i="77"/>
  <c r="V233" i="77" s="1"/>
  <c r="W233" i="77"/>
  <c r="X233" i="77" s="1"/>
  <c r="Y233" i="77"/>
  <c r="Z233" i="77" s="1"/>
  <c r="M234" i="77"/>
  <c r="N234" i="77" s="1"/>
  <c r="O234" i="77"/>
  <c r="P234" i="77" s="1"/>
  <c r="Q234" i="77"/>
  <c r="R234" i="77" s="1"/>
  <c r="S234" i="77"/>
  <c r="T234" i="77" s="1"/>
  <c r="U234" i="77"/>
  <c r="V234" i="77" s="1"/>
  <c r="W234" i="77"/>
  <c r="X234" i="77" s="1"/>
  <c r="Y234" i="77"/>
  <c r="Z234" i="77" s="1"/>
  <c r="M235" i="77"/>
  <c r="N235" i="77" s="1"/>
  <c r="O235" i="77"/>
  <c r="P235" i="77" s="1"/>
  <c r="Q235" i="77"/>
  <c r="R235" i="77" s="1"/>
  <c r="S235" i="77"/>
  <c r="T235" i="77" s="1"/>
  <c r="U235" i="77"/>
  <c r="V235" i="77" s="1"/>
  <c r="W235" i="77"/>
  <c r="X235" i="77" s="1"/>
  <c r="Y235" i="77"/>
  <c r="Z235" i="77" s="1"/>
  <c r="M236" i="77"/>
  <c r="N236" i="77" s="1"/>
  <c r="O236" i="77"/>
  <c r="P236" i="77" s="1"/>
  <c r="Q236" i="77"/>
  <c r="R236" i="77" s="1"/>
  <c r="S236" i="77"/>
  <c r="T236" i="77" s="1"/>
  <c r="U236" i="77"/>
  <c r="V236" i="77" s="1"/>
  <c r="W236" i="77"/>
  <c r="X236" i="77" s="1"/>
  <c r="Y236" i="77"/>
  <c r="Z236" i="77" s="1"/>
  <c r="M237" i="77"/>
  <c r="N237" i="77" s="1"/>
  <c r="O237" i="77"/>
  <c r="P237" i="77" s="1"/>
  <c r="Q237" i="77"/>
  <c r="R237" i="77" s="1"/>
  <c r="S237" i="77"/>
  <c r="T237" i="77" s="1"/>
  <c r="U237" i="77"/>
  <c r="V237" i="77" s="1"/>
  <c r="W237" i="77"/>
  <c r="X237" i="77" s="1"/>
  <c r="Y237" i="77"/>
  <c r="Z237" i="77" s="1"/>
  <c r="M238" i="77"/>
  <c r="N238" i="77" s="1"/>
  <c r="O238" i="77"/>
  <c r="P238" i="77" s="1"/>
  <c r="Q238" i="77"/>
  <c r="R238" i="77" s="1"/>
  <c r="S238" i="77"/>
  <c r="T238" i="77" s="1"/>
  <c r="U238" i="77"/>
  <c r="V238" i="77" s="1"/>
  <c r="W238" i="77"/>
  <c r="X238" i="77" s="1"/>
  <c r="Y238" i="77"/>
  <c r="Z238" i="77" s="1"/>
  <c r="M239" i="77"/>
  <c r="N239" i="77" s="1"/>
  <c r="O239" i="77"/>
  <c r="P239" i="77" s="1"/>
  <c r="Q239" i="77"/>
  <c r="R239" i="77" s="1"/>
  <c r="S239" i="77"/>
  <c r="T239" i="77" s="1"/>
  <c r="U239" i="77"/>
  <c r="V239" i="77" s="1"/>
  <c r="W239" i="77"/>
  <c r="X239" i="77" s="1"/>
  <c r="Y239" i="77"/>
  <c r="Z239" i="77" s="1"/>
  <c r="M240" i="77"/>
  <c r="N240" i="77" s="1"/>
  <c r="O240" i="77"/>
  <c r="P240" i="77" s="1"/>
  <c r="Q240" i="77"/>
  <c r="R240" i="77" s="1"/>
  <c r="S240" i="77"/>
  <c r="T240" i="77" s="1"/>
  <c r="U240" i="77"/>
  <c r="V240" i="77" s="1"/>
  <c r="W240" i="77"/>
  <c r="X240" i="77" s="1"/>
  <c r="Y240" i="77"/>
  <c r="Z240" i="77" s="1"/>
  <c r="M241" i="77"/>
  <c r="N241" i="77" s="1"/>
  <c r="O241" i="77"/>
  <c r="P241" i="77" s="1"/>
  <c r="Q241" i="77"/>
  <c r="R241" i="77" s="1"/>
  <c r="S241" i="77"/>
  <c r="T241" i="77" s="1"/>
  <c r="U241" i="77"/>
  <c r="V241" i="77" s="1"/>
  <c r="W241" i="77"/>
  <c r="X241" i="77" s="1"/>
  <c r="Y241" i="77"/>
  <c r="Z241" i="77" s="1"/>
  <c r="M242" i="77"/>
  <c r="N242" i="77" s="1"/>
  <c r="O242" i="77"/>
  <c r="P242" i="77" s="1"/>
  <c r="Q242" i="77"/>
  <c r="R242" i="77" s="1"/>
  <c r="S242" i="77"/>
  <c r="T242" i="77" s="1"/>
  <c r="U242" i="77"/>
  <c r="V242" i="77" s="1"/>
  <c r="W242" i="77"/>
  <c r="X242" i="77" s="1"/>
  <c r="Y242" i="77"/>
  <c r="Z242" i="77" s="1"/>
  <c r="M243" i="77"/>
  <c r="N243" i="77" s="1"/>
  <c r="O243" i="77"/>
  <c r="P243" i="77" s="1"/>
  <c r="Q243" i="77"/>
  <c r="R243" i="77" s="1"/>
  <c r="S243" i="77"/>
  <c r="T243" i="77" s="1"/>
  <c r="U243" i="77"/>
  <c r="V243" i="77" s="1"/>
  <c r="W243" i="77"/>
  <c r="X243" i="77" s="1"/>
  <c r="Y243" i="77"/>
  <c r="Z243" i="77" s="1"/>
  <c r="M244" i="77"/>
  <c r="N244" i="77" s="1"/>
  <c r="O244" i="77"/>
  <c r="P244" i="77" s="1"/>
  <c r="Q244" i="77"/>
  <c r="R244" i="77" s="1"/>
  <c r="S244" i="77"/>
  <c r="T244" i="77" s="1"/>
  <c r="U244" i="77"/>
  <c r="V244" i="77" s="1"/>
  <c r="W244" i="77"/>
  <c r="X244" i="77" s="1"/>
  <c r="Y244" i="77"/>
  <c r="Z244" i="77" s="1"/>
  <c r="M245" i="77"/>
  <c r="N245" i="77" s="1"/>
  <c r="O245" i="77"/>
  <c r="P245" i="77" s="1"/>
  <c r="Q245" i="77"/>
  <c r="R245" i="77" s="1"/>
  <c r="S245" i="77"/>
  <c r="T245" i="77" s="1"/>
  <c r="U245" i="77"/>
  <c r="V245" i="77" s="1"/>
  <c r="W245" i="77"/>
  <c r="X245" i="77" s="1"/>
  <c r="Y245" i="77"/>
  <c r="Z245" i="77" s="1"/>
  <c r="M246" i="77"/>
  <c r="N246" i="77" s="1"/>
  <c r="O246" i="77"/>
  <c r="P246" i="77" s="1"/>
  <c r="Q246" i="77"/>
  <c r="R246" i="77" s="1"/>
  <c r="S246" i="77"/>
  <c r="T246" i="77" s="1"/>
  <c r="U246" i="77"/>
  <c r="V246" i="77" s="1"/>
  <c r="W246" i="77"/>
  <c r="X246" i="77" s="1"/>
  <c r="Y246" i="77"/>
  <c r="Z246" i="77" s="1"/>
  <c r="M247" i="77"/>
  <c r="N247" i="77" s="1"/>
  <c r="O247" i="77"/>
  <c r="P247" i="77" s="1"/>
  <c r="Q247" i="77"/>
  <c r="R247" i="77" s="1"/>
  <c r="S247" i="77"/>
  <c r="T247" i="77" s="1"/>
  <c r="U247" i="77"/>
  <c r="V247" i="77" s="1"/>
  <c r="W247" i="77"/>
  <c r="X247" i="77" s="1"/>
  <c r="Y247" i="77"/>
  <c r="Z247" i="77" s="1"/>
  <c r="M248" i="77"/>
  <c r="N248" i="77" s="1"/>
  <c r="O248" i="77"/>
  <c r="P248" i="77" s="1"/>
  <c r="Q248" i="77"/>
  <c r="R248" i="77" s="1"/>
  <c r="S248" i="77"/>
  <c r="T248" i="77" s="1"/>
  <c r="U248" i="77"/>
  <c r="V248" i="77" s="1"/>
  <c r="W248" i="77"/>
  <c r="X248" i="77" s="1"/>
  <c r="Y248" i="77"/>
  <c r="Z248" i="77" s="1"/>
  <c r="M249" i="77"/>
  <c r="N249" i="77" s="1"/>
  <c r="O249" i="77"/>
  <c r="P249" i="77" s="1"/>
  <c r="Q249" i="77"/>
  <c r="R249" i="77" s="1"/>
  <c r="S249" i="77"/>
  <c r="T249" i="77" s="1"/>
  <c r="U249" i="77"/>
  <c r="V249" i="77" s="1"/>
  <c r="W249" i="77"/>
  <c r="X249" i="77" s="1"/>
  <c r="Y249" i="77"/>
  <c r="Z249" i="77" s="1"/>
  <c r="M250" i="77"/>
  <c r="N250" i="77" s="1"/>
  <c r="O250" i="77"/>
  <c r="P250" i="77" s="1"/>
  <c r="Q250" i="77"/>
  <c r="R250" i="77" s="1"/>
  <c r="S250" i="77"/>
  <c r="T250" i="77" s="1"/>
  <c r="U250" i="77"/>
  <c r="V250" i="77" s="1"/>
  <c r="W250" i="77"/>
  <c r="X250" i="77" s="1"/>
  <c r="Y250" i="77"/>
  <c r="Z250" i="77" s="1"/>
  <c r="M251" i="77"/>
  <c r="N251" i="77" s="1"/>
  <c r="O251" i="77"/>
  <c r="P251" i="77" s="1"/>
  <c r="Q251" i="77"/>
  <c r="R251" i="77" s="1"/>
  <c r="S251" i="77"/>
  <c r="T251" i="77" s="1"/>
  <c r="U251" i="77"/>
  <c r="V251" i="77" s="1"/>
  <c r="W251" i="77"/>
  <c r="X251" i="77" s="1"/>
  <c r="Y251" i="77"/>
  <c r="Z251" i="77" s="1"/>
  <c r="M252" i="77"/>
  <c r="N252" i="77" s="1"/>
  <c r="O252" i="77"/>
  <c r="P252" i="77" s="1"/>
  <c r="Q252" i="77"/>
  <c r="R252" i="77" s="1"/>
  <c r="S252" i="77"/>
  <c r="T252" i="77" s="1"/>
  <c r="U252" i="77"/>
  <c r="V252" i="77" s="1"/>
  <c r="W252" i="77"/>
  <c r="X252" i="77" s="1"/>
  <c r="Y252" i="77"/>
  <c r="Z252" i="77" s="1"/>
  <c r="M253" i="77"/>
  <c r="N253" i="77" s="1"/>
  <c r="O253" i="77"/>
  <c r="P253" i="77" s="1"/>
  <c r="Q253" i="77"/>
  <c r="R253" i="77" s="1"/>
  <c r="S253" i="77"/>
  <c r="T253" i="77" s="1"/>
  <c r="U253" i="77"/>
  <c r="V253" i="77" s="1"/>
  <c r="W253" i="77"/>
  <c r="X253" i="77" s="1"/>
  <c r="Y253" i="77"/>
  <c r="Z253" i="77" s="1"/>
  <c r="M254" i="77"/>
  <c r="N254" i="77" s="1"/>
  <c r="O254" i="77"/>
  <c r="P254" i="77" s="1"/>
  <c r="Q254" i="77"/>
  <c r="R254" i="77" s="1"/>
  <c r="S254" i="77"/>
  <c r="T254" i="77" s="1"/>
  <c r="U254" i="77"/>
  <c r="V254" i="77" s="1"/>
  <c r="W254" i="77"/>
  <c r="X254" i="77" s="1"/>
  <c r="Y254" i="77"/>
  <c r="Z254" i="77" s="1"/>
  <c r="M255" i="77"/>
  <c r="N255" i="77" s="1"/>
  <c r="O255" i="77"/>
  <c r="P255" i="77" s="1"/>
  <c r="Q255" i="77"/>
  <c r="R255" i="77" s="1"/>
  <c r="S255" i="77"/>
  <c r="T255" i="77" s="1"/>
  <c r="U255" i="77"/>
  <c r="V255" i="77" s="1"/>
  <c r="W255" i="77"/>
  <c r="X255" i="77" s="1"/>
  <c r="Y255" i="77"/>
  <c r="Z255" i="77" s="1"/>
  <c r="M256" i="77"/>
  <c r="N256" i="77" s="1"/>
  <c r="O256" i="77"/>
  <c r="P256" i="77" s="1"/>
  <c r="Q256" i="77"/>
  <c r="R256" i="77" s="1"/>
  <c r="S256" i="77"/>
  <c r="T256" i="77" s="1"/>
  <c r="U256" i="77"/>
  <c r="V256" i="77" s="1"/>
  <c r="W256" i="77"/>
  <c r="X256" i="77" s="1"/>
  <c r="Y256" i="77"/>
  <c r="Z256" i="77" s="1"/>
  <c r="M257" i="77"/>
  <c r="N257" i="77" s="1"/>
  <c r="O257" i="77"/>
  <c r="P257" i="77" s="1"/>
  <c r="Q257" i="77"/>
  <c r="R257" i="77" s="1"/>
  <c r="S257" i="77"/>
  <c r="T257" i="77" s="1"/>
  <c r="U257" i="77"/>
  <c r="V257" i="77" s="1"/>
  <c r="W257" i="77"/>
  <c r="X257" i="77" s="1"/>
  <c r="Y257" i="77"/>
  <c r="Z257" i="77" s="1"/>
  <c r="M258" i="77"/>
  <c r="N258" i="77" s="1"/>
  <c r="O258" i="77"/>
  <c r="P258" i="77" s="1"/>
  <c r="Q258" i="77"/>
  <c r="R258" i="77" s="1"/>
  <c r="S258" i="77"/>
  <c r="T258" i="77" s="1"/>
  <c r="U258" i="77"/>
  <c r="V258" i="77" s="1"/>
  <c r="W258" i="77"/>
  <c r="X258" i="77" s="1"/>
  <c r="Y258" i="77"/>
  <c r="Z258" i="77" s="1"/>
  <c r="M259" i="77"/>
  <c r="N259" i="77" s="1"/>
  <c r="O259" i="77"/>
  <c r="P259" i="77" s="1"/>
  <c r="Q259" i="77"/>
  <c r="R259" i="77" s="1"/>
  <c r="S259" i="77"/>
  <c r="T259" i="77" s="1"/>
  <c r="U259" i="77"/>
  <c r="V259" i="77" s="1"/>
  <c r="W259" i="77"/>
  <c r="X259" i="77" s="1"/>
  <c r="Y259" i="77"/>
  <c r="Z259" i="77" s="1"/>
  <c r="M260" i="77"/>
  <c r="N260" i="77" s="1"/>
  <c r="O260" i="77"/>
  <c r="P260" i="77" s="1"/>
  <c r="Q260" i="77"/>
  <c r="R260" i="77" s="1"/>
  <c r="S260" i="77"/>
  <c r="T260" i="77" s="1"/>
  <c r="U260" i="77"/>
  <c r="V260" i="77" s="1"/>
  <c r="W260" i="77"/>
  <c r="X260" i="77" s="1"/>
  <c r="Y260" i="77"/>
  <c r="Z260" i="77" s="1"/>
  <c r="M261" i="77"/>
  <c r="N261" i="77" s="1"/>
  <c r="O261" i="77"/>
  <c r="P261" i="77" s="1"/>
  <c r="Q261" i="77"/>
  <c r="R261" i="77" s="1"/>
  <c r="S261" i="77"/>
  <c r="T261" i="77" s="1"/>
  <c r="U261" i="77"/>
  <c r="V261" i="77" s="1"/>
  <c r="W261" i="77"/>
  <c r="X261" i="77" s="1"/>
  <c r="Y261" i="77"/>
  <c r="Z261" i="77" s="1"/>
  <c r="M262" i="77"/>
  <c r="N262" i="77" s="1"/>
  <c r="O262" i="77"/>
  <c r="P262" i="77" s="1"/>
  <c r="Q262" i="77"/>
  <c r="R262" i="77" s="1"/>
  <c r="S262" i="77"/>
  <c r="T262" i="77" s="1"/>
  <c r="U262" i="77"/>
  <c r="V262" i="77" s="1"/>
  <c r="W262" i="77"/>
  <c r="X262" i="77" s="1"/>
  <c r="Y262" i="77"/>
  <c r="Z262" i="77" s="1"/>
  <c r="M263" i="77"/>
  <c r="N263" i="77" s="1"/>
  <c r="O263" i="77"/>
  <c r="P263" i="77" s="1"/>
  <c r="Q263" i="77"/>
  <c r="R263" i="77" s="1"/>
  <c r="S263" i="77"/>
  <c r="T263" i="77" s="1"/>
  <c r="U263" i="77"/>
  <c r="V263" i="77" s="1"/>
  <c r="W263" i="77"/>
  <c r="X263" i="77" s="1"/>
  <c r="Y263" i="77"/>
  <c r="Z263" i="77" s="1"/>
  <c r="M264" i="77"/>
  <c r="N264" i="77" s="1"/>
  <c r="O264" i="77"/>
  <c r="P264" i="77" s="1"/>
  <c r="Q264" i="77"/>
  <c r="R264" i="77" s="1"/>
  <c r="S264" i="77"/>
  <c r="T264" i="77" s="1"/>
  <c r="U264" i="77"/>
  <c r="V264" i="77" s="1"/>
  <c r="W264" i="77"/>
  <c r="X264" i="77" s="1"/>
  <c r="Y264" i="77"/>
  <c r="Z264" i="77" s="1"/>
  <c r="M265" i="77"/>
  <c r="N265" i="77" s="1"/>
  <c r="O265" i="77"/>
  <c r="P265" i="77" s="1"/>
  <c r="Q265" i="77"/>
  <c r="R265" i="77" s="1"/>
  <c r="S265" i="77"/>
  <c r="T265" i="77" s="1"/>
  <c r="U265" i="77"/>
  <c r="V265" i="77" s="1"/>
  <c r="W265" i="77"/>
  <c r="X265" i="77" s="1"/>
  <c r="Y265" i="77"/>
  <c r="Z265" i="77" s="1"/>
  <c r="M266" i="77"/>
  <c r="N266" i="77" s="1"/>
  <c r="O266" i="77"/>
  <c r="P266" i="77" s="1"/>
  <c r="Q266" i="77"/>
  <c r="R266" i="77" s="1"/>
  <c r="S266" i="77"/>
  <c r="T266" i="77" s="1"/>
  <c r="U266" i="77"/>
  <c r="V266" i="77" s="1"/>
  <c r="W266" i="77"/>
  <c r="X266" i="77" s="1"/>
  <c r="Y266" i="77"/>
  <c r="Z266" i="77" s="1"/>
  <c r="M267" i="77"/>
  <c r="N267" i="77" s="1"/>
  <c r="O267" i="77"/>
  <c r="P267" i="77" s="1"/>
  <c r="Q267" i="77"/>
  <c r="R267" i="77" s="1"/>
  <c r="S267" i="77"/>
  <c r="T267" i="77" s="1"/>
  <c r="U267" i="77"/>
  <c r="V267" i="77" s="1"/>
  <c r="W267" i="77"/>
  <c r="X267" i="77" s="1"/>
  <c r="Y267" i="77"/>
  <c r="Z267" i="77" s="1"/>
  <c r="M268" i="77"/>
  <c r="N268" i="77" s="1"/>
  <c r="O268" i="77"/>
  <c r="P268" i="77" s="1"/>
  <c r="Q268" i="77"/>
  <c r="R268" i="77" s="1"/>
  <c r="S268" i="77"/>
  <c r="T268" i="77" s="1"/>
  <c r="U268" i="77"/>
  <c r="V268" i="77" s="1"/>
  <c r="W268" i="77"/>
  <c r="X268" i="77" s="1"/>
  <c r="Y268" i="77"/>
  <c r="Z268" i="77" s="1"/>
  <c r="M269" i="77"/>
  <c r="N269" i="77" s="1"/>
  <c r="O269" i="77"/>
  <c r="P269" i="77" s="1"/>
  <c r="Q269" i="77"/>
  <c r="R269" i="77" s="1"/>
  <c r="S269" i="77"/>
  <c r="T269" i="77" s="1"/>
  <c r="U269" i="77"/>
  <c r="V269" i="77" s="1"/>
  <c r="W269" i="77"/>
  <c r="X269" i="77" s="1"/>
  <c r="Y269" i="77"/>
  <c r="Z269" i="77" s="1"/>
  <c r="M270" i="77"/>
  <c r="N270" i="77" s="1"/>
  <c r="O270" i="77"/>
  <c r="P270" i="77" s="1"/>
  <c r="Q270" i="77"/>
  <c r="R270" i="77" s="1"/>
  <c r="S270" i="77"/>
  <c r="T270" i="77" s="1"/>
  <c r="U270" i="77"/>
  <c r="V270" i="77" s="1"/>
  <c r="W270" i="77"/>
  <c r="X270" i="77" s="1"/>
  <c r="Y270" i="77"/>
  <c r="Z270" i="77" s="1"/>
  <c r="M271" i="77"/>
  <c r="N271" i="77" s="1"/>
  <c r="O271" i="77"/>
  <c r="P271" i="77" s="1"/>
  <c r="Q271" i="77"/>
  <c r="R271" i="77" s="1"/>
  <c r="S271" i="77"/>
  <c r="T271" i="77" s="1"/>
  <c r="U271" i="77"/>
  <c r="V271" i="77" s="1"/>
  <c r="W271" i="77"/>
  <c r="X271" i="77" s="1"/>
  <c r="Y271" i="77"/>
  <c r="Z271" i="77" s="1"/>
  <c r="M272" i="77"/>
  <c r="N272" i="77" s="1"/>
  <c r="O272" i="77"/>
  <c r="P272" i="77" s="1"/>
  <c r="Q272" i="77"/>
  <c r="R272" i="77" s="1"/>
  <c r="S272" i="77"/>
  <c r="T272" i="77" s="1"/>
  <c r="U272" i="77"/>
  <c r="V272" i="77" s="1"/>
  <c r="W272" i="77"/>
  <c r="X272" i="77" s="1"/>
  <c r="Y272" i="77"/>
  <c r="Z272" i="77" s="1"/>
  <c r="M273" i="77"/>
  <c r="N273" i="77" s="1"/>
  <c r="O273" i="77"/>
  <c r="P273" i="77" s="1"/>
  <c r="Q273" i="77"/>
  <c r="R273" i="77" s="1"/>
  <c r="S273" i="77"/>
  <c r="T273" i="77" s="1"/>
  <c r="U273" i="77"/>
  <c r="V273" i="77" s="1"/>
  <c r="W273" i="77"/>
  <c r="X273" i="77" s="1"/>
  <c r="Y273" i="77"/>
  <c r="Z273" i="77" s="1"/>
  <c r="M274" i="77"/>
  <c r="N274" i="77" s="1"/>
  <c r="O274" i="77"/>
  <c r="P274" i="77" s="1"/>
  <c r="Q274" i="77"/>
  <c r="R274" i="77" s="1"/>
  <c r="S274" i="77"/>
  <c r="T274" i="77" s="1"/>
  <c r="U274" i="77"/>
  <c r="V274" i="77" s="1"/>
  <c r="W274" i="77"/>
  <c r="X274" i="77" s="1"/>
  <c r="Y274" i="77"/>
  <c r="Z274" i="77" s="1"/>
  <c r="M275" i="77"/>
  <c r="N275" i="77" s="1"/>
  <c r="O275" i="77"/>
  <c r="P275" i="77" s="1"/>
  <c r="Q275" i="77"/>
  <c r="R275" i="77" s="1"/>
  <c r="S275" i="77"/>
  <c r="T275" i="77" s="1"/>
  <c r="U275" i="77"/>
  <c r="V275" i="77" s="1"/>
  <c r="W275" i="77"/>
  <c r="X275" i="77" s="1"/>
  <c r="Y275" i="77"/>
  <c r="Z275" i="77" s="1"/>
  <c r="M276" i="77"/>
  <c r="N276" i="77" s="1"/>
  <c r="O276" i="77"/>
  <c r="P276" i="77" s="1"/>
  <c r="Q276" i="77"/>
  <c r="R276" i="77" s="1"/>
  <c r="S276" i="77"/>
  <c r="T276" i="77" s="1"/>
  <c r="U276" i="77"/>
  <c r="V276" i="77" s="1"/>
  <c r="W276" i="77"/>
  <c r="X276" i="77" s="1"/>
  <c r="Y276" i="77"/>
  <c r="Z276" i="77" s="1"/>
  <c r="M277" i="77"/>
  <c r="N277" i="77" s="1"/>
  <c r="O277" i="77"/>
  <c r="P277" i="77" s="1"/>
  <c r="Q277" i="77"/>
  <c r="R277" i="77" s="1"/>
  <c r="S277" i="77"/>
  <c r="T277" i="77" s="1"/>
  <c r="U277" i="77"/>
  <c r="V277" i="77" s="1"/>
  <c r="W277" i="77"/>
  <c r="X277" i="77" s="1"/>
  <c r="Y277" i="77"/>
  <c r="Z277" i="77" s="1"/>
  <c r="M278" i="77"/>
  <c r="N278" i="77" s="1"/>
  <c r="O278" i="77"/>
  <c r="P278" i="77" s="1"/>
  <c r="Q278" i="77"/>
  <c r="R278" i="77" s="1"/>
  <c r="S278" i="77"/>
  <c r="T278" i="77" s="1"/>
  <c r="U278" i="77"/>
  <c r="V278" i="77" s="1"/>
  <c r="W278" i="77"/>
  <c r="X278" i="77" s="1"/>
  <c r="Y278" i="77"/>
  <c r="Z278" i="77" s="1"/>
  <c r="M279" i="77"/>
  <c r="N279" i="77" s="1"/>
  <c r="O279" i="77"/>
  <c r="P279" i="77" s="1"/>
  <c r="Q279" i="77"/>
  <c r="R279" i="77" s="1"/>
  <c r="S279" i="77"/>
  <c r="T279" i="77" s="1"/>
  <c r="U279" i="77"/>
  <c r="V279" i="77" s="1"/>
  <c r="W279" i="77"/>
  <c r="X279" i="77" s="1"/>
  <c r="Y279" i="77"/>
  <c r="Z279" i="77" s="1"/>
  <c r="M280" i="77"/>
  <c r="N280" i="77" s="1"/>
  <c r="O280" i="77"/>
  <c r="P280" i="77" s="1"/>
  <c r="Q280" i="77"/>
  <c r="R280" i="77" s="1"/>
  <c r="S280" i="77"/>
  <c r="T280" i="77" s="1"/>
  <c r="U280" i="77"/>
  <c r="V280" i="77" s="1"/>
  <c r="W280" i="77"/>
  <c r="X280" i="77" s="1"/>
  <c r="Y280" i="77"/>
  <c r="Z280" i="77" s="1"/>
  <c r="M281" i="77"/>
  <c r="N281" i="77" s="1"/>
  <c r="O281" i="77"/>
  <c r="P281" i="77" s="1"/>
  <c r="Q281" i="77"/>
  <c r="R281" i="77" s="1"/>
  <c r="S281" i="77"/>
  <c r="T281" i="77" s="1"/>
  <c r="U281" i="77"/>
  <c r="V281" i="77" s="1"/>
  <c r="W281" i="77"/>
  <c r="X281" i="77" s="1"/>
  <c r="Y281" i="77"/>
  <c r="Z281" i="77" s="1"/>
  <c r="M282" i="77"/>
  <c r="N282" i="77" s="1"/>
  <c r="O282" i="77"/>
  <c r="P282" i="77" s="1"/>
  <c r="Q282" i="77"/>
  <c r="R282" i="77" s="1"/>
  <c r="S282" i="77"/>
  <c r="T282" i="77" s="1"/>
  <c r="U282" i="77"/>
  <c r="V282" i="77" s="1"/>
  <c r="W282" i="77"/>
  <c r="X282" i="77" s="1"/>
  <c r="Y282" i="77"/>
  <c r="Z282" i="77" s="1"/>
  <c r="M283" i="77"/>
  <c r="N283" i="77" s="1"/>
  <c r="O283" i="77"/>
  <c r="P283" i="77" s="1"/>
  <c r="Q283" i="77"/>
  <c r="R283" i="77" s="1"/>
  <c r="S283" i="77"/>
  <c r="T283" i="77" s="1"/>
  <c r="U283" i="77"/>
  <c r="V283" i="77" s="1"/>
  <c r="W283" i="77"/>
  <c r="X283" i="77" s="1"/>
  <c r="Y283" i="77"/>
  <c r="Z283" i="77" s="1"/>
  <c r="M284" i="77"/>
  <c r="N284" i="77" s="1"/>
  <c r="O284" i="77"/>
  <c r="P284" i="77" s="1"/>
  <c r="Q284" i="77"/>
  <c r="R284" i="77" s="1"/>
  <c r="S284" i="77"/>
  <c r="T284" i="77" s="1"/>
  <c r="U284" i="77"/>
  <c r="V284" i="77" s="1"/>
  <c r="W284" i="77"/>
  <c r="X284" i="77" s="1"/>
  <c r="Y284" i="77"/>
  <c r="Z284" i="77" s="1"/>
  <c r="M285" i="77"/>
  <c r="N285" i="77" s="1"/>
  <c r="O285" i="77"/>
  <c r="P285" i="77" s="1"/>
  <c r="Q285" i="77"/>
  <c r="R285" i="77" s="1"/>
  <c r="S285" i="77"/>
  <c r="T285" i="77" s="1"/>
  <c r="U285" i="77"/>
  <c r="V285" i="77" s="1"/>
  <c r="W285" i="77"/>
  <c r="X285" i="77" s="1"/>
  <c r="Y285" i="77"/>
  <c r="Z285" i="77" s="1"/>
  <c r="M286" i="77"/>
  <c r="N286" i="77" s="1"/>
  <c r="O286" i="77"/>
  <c r="P286" i="77" s="1"/>
  <c r="Q286" i="77"/>
  <c r="R286" i="77" s="1"/>
  <c r="S286" i="77"/>
  <c r="T286" i="77" s="1"/>
  <c r="U286" i="77"/>
  <c r="V286" i="77" s="1"/>
  <c r="W286" i="77"/>
  <c r="X286" i="77" s="1"/>
  <c r="Y286" i="77"/>
  <c r="Z286" i="77" s="1"/>
  <c r="M287" i="77"/>
  <c r="N287" i="77" s="1"/>
  <c r="O287" i="77"/>
  <c r="P287" i="77" s="1"/>
  <c r="Q287" i="77"/>
  <c r="R287" i="77" s="1"/>
  <c r="S287" i="77"/>
  <c r="T287" i="77" s="1"/>
  <c r="U287" i="77"/>
  <c r="V287" i="77" s="1"/>
  <c r="W287" i="77"/>
  <c r="X287" i="77" s="1"/>
  <c r="Y287" i="77"/>
  <c r="Z287" i="77" s="1"/>
  <c r="M288" i="77"/>
  <c r="N288" i="77" s="1"/>
  <c r="O288" i="77"/>
  <c r="P288" i="77" s="1"/>
  <c r="Q288" i="77"/>
  <c r="R288" i="77" s="1"/>
  <c r="S288" i="77"/>
  <c r="T288" i="77" s="1"/>
  <c r="U288" i="77"/>
  <c r="V288" i="77" s="1"/>
  <c r="W288" i="77"/>
  <c r="X288" i="77" s="1"/>
  <c r="Y288" i="77"/>
  <c r="Z288" i="77" s="1"/>
  <c r="M289" i="77"/>
  <c r="N289" i="77" s="1"/>
  <c r="O289" i="77"/>
  <c r="P289" i="77" s="1"/>
  <c r="Q289" i="77"/>
  <c r="R289" i="77" s="1"/>
  <c r="S289" i="77"/>
  <c r="T289" i="77" s="1"/>
  <c r="U289" i="77"/>
  <c r="V289" i="77" s="1"/>
  <c r="W289" i="77"/>
  <c r="X289" i="77" s="1"/>
  <c r="Y289" i="77"/>
  <c r="Z289" i="77" s="1"/>
  <c r="M290" i="77"/>
  <c r="N290" i="77" s="1"/>
  <c r="O290" i="77"/>
  <c r="P290" i="77" s="1"/>
  <c r="Q290" i="77"/>
  <c r="R290" i="77" s="1"/>
  <c r="S290" i="77"/>
  <c r="T290" i="77" s="1"/>
  <c r="U290" i="77"/>
  <c r="V290" i="77" s="1"/>
  <c r="W290" i="77"/>
  <c r="X290" i="77" s="1"/>
  <c r="Y290" i="77"/>
  <c r="Z290" i="77" s="1"/>
  <c r="M291" i="77"/>
  <c r="N291" i="77" s="1"/>
  <c r="O291" i="77"/>
  <c r="P291" i="77" s="1"/>
  <c r="Q291" i="77"/>
  <c r="R291" i="77" s="1"/>
  <c r="S291" i="77"/>
  <c r="T291" i="77" s="1"/>
  <c r="U291" i="77"/>
  <c r="V291" i="77" s="1"/>
  <c r="W291" i="77"/>
  <c r="X291" i="77" s="1"/>
  <c r="Y291" i="77"/>
  <c r="Z291" i="77" s="1"/>
  <c r="M292" i="77"/>
  <c r="N292" i="77" s="1"/>
  <c r="O292" i="77"/>
  <c r="P292" i="77" s="1"/>
  <c r="Q292" i="77"/>
  <c r="R292" i="77" s="1"/>
  <c r="S292" i="77"/>
  <c r="T292" i="77" s="1"/>
  <c r="U292" i="77"/>
  <c r="V292" i="77" s="1"/>
  <c r="W292" i="77"/>
  <c r="X292" i="77" s="1"/>
  <c r="Y292" i="77"/>
  <c r="Z292" i="77" s="1"/>
  <c r="M293" i="77"/>
  <c r="N293" i="77" s="1"/>
  <c r="O293" i="77"/>
  <c r="P293" i="77" s="1"/>
  <c r="Q293" i="77"/>
  <c r="R293" i="77" s="1"/>
  <c r="S293" i="77"/>
  <c r="T293" i="77" s="1"/>
  <c r="U293" i="77"/>
  <c r="V293" i="77" s="1"/>
  <c r="W293" i="77"/>
  <c r="X293" i="77" s="1"/>
  <c r="Y293" i="77"/>
  <c r="Z293" i="77" s="1"/>
  <c r="M294" i="77"/>
  <c r="N294" i="77" s="1"/>
  <c r="O294" i="77"/>
  <c r="P294" i="77" s="1"/>
  <c r="Q294" i="77"/>
  <c r="R294" i="77" s="1"/>
  <c r="S294" i="77"/>
  <c r="T294" i="77" s="1"/>
  <c r="U294" i="77"/>
  <c r="V294" i="77" s="1"/>
  <c r="W294" i="77"/>
  <c r="X294" i="77" s="1"/>
  <c r="Y294" i="77"/>
  <c r="Z294" i="77" s="1"/>
  <c r="M295" i="77"/>
  <c r="N295" i="77" s="1"/>
  <c r="O295" i="77"/>
  <c r="P295" i="77" s="1"/>
  <c r="Q295" i="77"/>
  <c r="R295" i="77" s="1"/>
  <c r="S295" i="77"/>
  <c r="T295" i="77" s="1"/>
  <c r="U295" i="77"/>
  <c r="V295" i="77" s="1"/>
  <c r="W295" i="77"/>
  <c r="X295" i="77" s="1"/>
  <c r="Y295" i="77"/>
  <c r="Z295" i="77" s="1"/>
  <c r="M296" i="77"/>
  <c r="N296" i="77" s="1"/>
  <c r="O296" i="77"/>
  <c r="P296" i="77" s="1"/>
  <c r="Q296" i="77"/>
  <c r="R296" i="77" s="1"/>
  <c r="S296" i="77"/>
  <c r="T296" i="77" s="1"/>
  <c r="U296" i="77"/>
  <c r="V296" i="77" s="1"/>
  <c r="W296" i="77"/>
  <c r="X296" i="77" s="1"/>
  <c r="Y296" i="77"/>
  <c r="Z296" i="77" s="1"/>
  <c r="M297" i="77"/>
  <c r="N297" i="77" s="1"/>
  <c r="O297" i="77"/>
  <c r="P297" i="77" s="1"/>
  <c r="Q297" i="77"/>
  <c r="R297" i="77" s="1"/>
  <c r="S297" i="77"/>
  <c r="T297" i="77" s="1"/>
  <c r="U297" i="77"/>
  <c r="V297" i="77" s="1"/>
  <c r="W297" i="77"/>
  <c r="X297" i="77" s="1"/>
  <c r="Y297" i="77"/>
  <c r="Z297" i="77" s="1"/>
  <c r="M298" i="77"/>
  <c r="N298" i="77" s="1"/>
  <c r="O298" i="77"/>
  <c r="P298" i="77" s="1"/>
  <c r="Q298" i="77"/>
  <c r="R298" i="77" s="1"/>
  <c r="S298" i="77"/>
  <c r="T298" i="77" s="1"/>
  <c r="U298" i="77"/>
  <c r="V298" i="77" s="1"/>
  <c r="W298" i="77"/>
  <c r="X298" i="77" s="1"/>
  <c r="Y298" i="77"/>
  <c r="Z298" i="77" s="1"/>
  <c r="M299" i="77"/>
  <c r="N299" i="77" s="1"/>
  <c r="O299" i="77"/>
  <c r="P299" i="77" s="1"/>
  <c r="Q299" i="77"/>
  <c r="R299" i="77" s="1"/>
  <c r="S299" i="77"/>
  <c r="T299" i="77" s="1"/>
  <c r="U299" i="77"/>
  <c r="V299" i="77" s="1"/>
  <c r="W299" i="77"/>
  <c r="X299" i="77" s="1"/>
  <c r="Y299" i="77"/>
  <c r="Z299" i="77" s="1"/>
  <c r="M300" i="77"/>
  <c r="N300" i="77" s="1"/>
  <c r="O300" i="77"/>
  <c r="P300" i="77" s="1"/>
  <c r="Q300" i="77"/>
  <c r="R300" i="77" s="1"/>
  <c r="S300" i="77"/>
  <c r="T300" i="77" s="1"/>
  <c r="U300" i="77"/>
  <c r="V300" i="77" s="1"/>
  <c r="W300" i="77"/>
  <c r="X300" i="77" s="1"/>
  <c r="Y300" i="77"/>
  <c r="Z300" i="77" s="1"/>
  <c r="M301" i="77"/>
  <c r="N301" i="77" s="1"/>
  <c r="O301" i="77"/>
  <c r="P301" i="77" s="1"/>
  <c r="Q301" i="77"/>
  <c r="R301" i="77" s="1"/>
  <c r="S301" i="77"/>
  <c r="T301" i="77" s="1"/>
  <c r="U301" i="77"/>
  <c r="V301" i="77" s="1"/>
  <c r="W301" i="77"/>
  <c r="X301" i="77" s="1"/>
  <c r="Y301" i="77"/>
  <c r="Z301" i="77" s="1"/>
  <c r="M302" i="77"/>
  <c r="N302" i="77" s="1"/>
  <c r="O302" i="77"/>
  <c r="P302" i="77" s="1"/>
  <c r="Q302" i="77"/>
  <c r="R302" i="77" s="1"/>
  <c r="S302" i="77"/>
  <c r="T302" i="77" s="1"/>
  <c r="U302" i="77"/>
  <c r="V302" i="77" s="1"/>
  <c r="W302" i="77"/>
  <c r="X302" i="77" s="1"/>
  <c r="Y302" i="77"/>
  <c r="Z302" i="77" s="1"/>
  <c r="M303" i="77"/>
  <c r="N303" i="77" s="1"/>
  <c r="O303" i="77"/>
  <c r="P303" i="77" s="1"/>
  <c r="Q303" i="77"/>
  <c r="R303" i="77" s="1"/>
  <c r="S303" i="77"/>
  <c r="T303" i="77" s="1"/>
  <c r="U303" i="77"/>
  <c r="V303" i="77" s="1"/>
  <c r="W303" i="77"/>
  <c r="X303" i="77" s="1"/>
  <c r="Y303" i="77"/>
  <c r="Z303" i="77" s="1"/>
  <c r="M304" i="77"/>
  <c r="N304" i="77" s="1"/>
  <c r="O304" i="77"/>
  <c r="P304" i="77" s="1"/>
  <c r="Q304" i="77"/>
  <c r="R304" i="77" s="1"/>
  <c r="S304" i="77"/>
  <c r="T304" i="77" s="1"/>
  <c r="U304" i="77"/>
  <c r="V304" i="77" s="1"/>
  <c r="W304" i="77"/>
  <c r="X304" i="77" s="1"/>
  <c r="Y304" i="77"/>
  <c r="Z304" i="77" s="1"/>
  <c r="M305" i="77"/>
  <c r="N305" i="77" s="1"/>
  <c r="O305" i="77"/>
  <c r="P305" i="77" s="1"/>
  <c r="Q305" i="77"/>
  <c r="R305" i="77" s="1"/>
  <c r="S305" i="77"/>
  <c r="T305" i="77" s="1"/>
  <c r="U305" i="77"/>
  <c r="V305" i="77" s="1"/>
  <c r="W305" i="77"/>
  <c r="X305" i="77" s="1"/>
  <c r="Y305" i="77"/>
  <c r="Z305" i="77" s="1"/>
  <c r="M306" i="77"/>
  <c r="N306" i="77" s="1"/>
  <c r="O306" i="77"/>
  <c r="P306" i="77" s="1"/>
  <c r="Q306" i="77"/>
  <c r="R306" i="77" s="1"/>
  <c r="S306" i="77"/>
  <c r="T306" i="77" s="1"/>
  <c r="U306" i="77"/>
  <c r="V306" i="77" s="1"/>
  <c r="W306" i="77"/>
  <c r="X306" i="77" s="1"/>
  <c r="Y306" i="77"/>
  <c r="Z306" i="77" s="1"/>
  <c r="M307" i="77"/>
  <c r="N307" i="77" s="1"/>
  <c r="O307" i="77"/>
  <c r="P307" i="77" s="1"/>
  <c r="Q307" i="77"/>
  <c r="R307" i="77" s="1"/>
  <c r="S307" i="77"/>
  <c r="T307" i="77" s="1"/>
  <c r="U307" i="77"/>
  <c r="V307" i="77" s="1"/>
  <c r="W307" i="77"/>
  <c r="X307" i="77" s="1"/>
  <c r="Y307" i="77"/>
  <c r="Z307" i="77" s="1"/>
  <c r="M308" i="77"/>
  <c r="N308" i="77" s="1"/>
  <c r="O308" i="77"/>
  <c r="P308" i="77" s="1"/>
  <c r="Q308" i="77"/>
  <c r="R308" i="77" s="1"/>
  <c r="S308" i="77"/>
  <c r="T308" i="77" s="1"/>
  <c r="U308" i="77"/>
  <c r="V308" i="77" s="1"/>
  <c r="W308" i="77"/>
  <c r="X308" i="77" s="1"/>
  <c r="Y308" i="77"/>
  <c r="Z308" i="77" s="1"/>
  <c r="N4" i="80"/>
  <c r="N5" i="80"/>
  <c r="N6" i="80"/>
  <c r="N7" i="80"/>
  <c r="N8" i="80"/>
  <c r="N9" i="80"/>
  <c r="N10" i="80"/>
  <c r="N11" i="80"/>
  <c r="N12" i="80"/>
  <c r="N13" i="80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N64" i="80"/>
  <c r="N65" i="80"/>
  <c r="N66" i="80"/>
  <c r="N67" i="80"/>
  <c r="N68" i="80"/>
  <c r="N69" i="80"/>
  <c r="N70" i="80"/>
  <c r="N71" i="80"/>
  <c r="N72" i="80"/>
  <c r="N73" i="80"/>
  <c r="N74" i="80"/>
  <c r="N75" i="80"/>
  <c r="N76" i="80"/>
  <c r="N77" i="80"/>
  <c r="N78" i="80"/>
  <c r="N79" i="80"/>
  <c r="N80" i="80"/>
  <c r="N81" i="80"/>
  <c r="N82" i="80"/>
  <c r="N83" i="80"/>
  <c r="N84" i="80"/>
  <c r="N85" i="80"/>
  <c r="N86" i="80"/>
  <c r="N87" i="80"/>
  <c r="N88" i="80"/>
  <c r="N89" i="80"/>
  <c r="N90" i="80"/>
  <c r="N91" i="80"/>
  <c r="N92" i="80"/>
  <c r="N93" i="80"/>
  <c r="N94" i="80"/>
  <c r="N95" i="80"/>
  <c r="N96" i="80"/>
  <c r="N97" i="80"/>
  <c r="N98" i="80"/>
  <c r="N99" i="80"/>
  <c r="N100" i="80"/>
  <c r="N101" i="80"/>
  <c r="N102" i="80"/>
  <c r="N103" i="80"/>
  <c r="N104" i="80"/>
  <c r="N105" i="80"/>
  <c r="N106" i="80"/>
  <c r="N107" i="80"/>
  <c r="N108" i="80"/>
  <c r="N109" i="80"/>
  <c r="N110" i="80"/>
  <c r="N111" i="80"/>
  <c r="N112" i="80"/>
  <c r="N113" i="80"/>
  <c r="N3" i="80"/>
  <c r="Q8" i="77"/>
  <c r="R8" i="77" s="1"/>
  <c r="AG8" i="77"/>
  <c r="AH8" i="77" s="1"/>
  <c r="AC8" i="77"/>
  <c r="Y8" i="77"/>
  <c r="Z8" i="77" s="1"/>
  <c r="W8" i="77"/>
  <c r="X8" i="77" s="1"/>
  <c r="U8" i="77"/>
  <c r="V8" i="77" s="1"/>
  <c r="S8" i="77"/>
  <c r="T8" i="77" s="1"/>
  <c r="O8" i="77"/>
  <c r="P8" i="77" s="1"/>
  <c r="M8" i="77"/>
  <c r="N8" i="77" s="1"/>
  <c r="AD8" i="77"/>
  <c r="CE5" i="80"/>
  <c r="CE6" i="80"/>
  <c r="CE7" i="80"/>
  <c r="CE8" i="80"/>
  <c r="CE9" i="80"/>
  <c r="CE10" i="80"/>
  <c r="CE11" i="80"/>
  <c r="CE12" i="80"/>
  <c r="CE13" i="80"/>
  <c r="CE14" i="80"/>
  <c r="CE15" i="80"/>
  <c r="CE16" i="80"/>
  <c r="CE17" i="80"/>
  <c r="CE18" i="80"/>
  <c r="CE19" i="80"/>
  <c r="CE4" i="80"/>
  <c r="CC5" i="80"/>
  <c r="CC21" i="80"/>
  <c r="CC22" i="80"/>
  <c r="CC23" i="80"/>
  <c r="CC24" i="80"/>
  <c r="CC25" i="80"/>
  <c r="CC26" i="80"/>
  <c r="CC27" i="80"/>
  <c r="CC28" i="80"/>
  <c r="CC29" i="80"/>
  <c r="CC30" i="80"/>
  <c r="CC31" i="80"/>
  <c r="CC32" i="80"/>
  <c r="CC33" i="80"/>
  <c r="CC34" i="80"/>
  <c r="CC35" i="80"/>
  <c r="CC36" i="80"/>
  <c r="CC37" i="80"/>
  <c r="CC38" i="80"/>
  <c r="CC39" i="80"/>
  <c r="CC40" i="80"/>
  <c r="CC41" i="80"/>
  <c r="CC42" i="80"/>
  <c r="CC43" i="80"/>
  <c r="CC44" i="80"/>
  <c r="CC45" i="80"/>
  <c r="CC46" i="80"/>
  <c r="CC47" i="80"/>
  <c r="CC48" i="80"/>
  <c r="CC49" i="80"/>
  <c r="CC50" i="80"/>
  <c r="CC51" i="80"/>
  <c r="CC52" i="80"/>
  <c r="CC53" i="80"/>
  <c r="CC54" i="80"/>
  <c r="CC55" i="80"/>
  <c r="CC56" i="80"/>
  <c r="CC57" i="80"/>
  <c r="CC58" i="80"/>
  <c r="CC59" i="80"/>
  <c r="CC60" i="80"/>
  <c r="CC61" i="80"/>
  <c r="CC62" i="80"/>
  <c r="CC63" i="80"/>
  <c r="CC64" i="80"/>
  <c r="CC65" i="80"/>
  <c r="CC66" i="80"/>
  <c r="CC67" i="80"/>
  <c r="CC68" i="80"/>
  <c r="CC69" i="80"/>
  <c r="CC70" i="80"/>
  <c r="CC71" i="80"/>
  <c r="CC72" i="80"/>
  <c r="CC73" i="80"/>
  <c r="CC74" i="80"/>
  <c r="CC75" i="80"/>
  <c r="CC76" i="80"/>
  <c r="CC77" i="80"/>
  <c r="CC78" i="80"/>
  <c r="CC79" i="80"/>
  <c r="CC80" i="80"/>
  <c r="CC81" i="80"/>
  <c r="CC82" i="80"/>
  <c r="CC83" i="80"/>
  <c r="CC84" i="80"/>
  <c r="CC85" i="80"/>
  <c r="CC86" i="80"/>
  <c r="CC87" i="80"/>
  <c r="CC88" i="80"/>
  <c r="CC89" i="80"/>
  <c r="CC90" i="80"/>
  <c r="CC91" i="80"/>
  <c r="CC92" i="80"/>
  <c r="CC93" i="80"/>
  <c r="CC94" i="80"/>
  <c r="CC95" i="80"/>
  <c r="CC96" i="80"/>
  <c r="CC97" i="80"/>
  <c r="CC98" i="80"/>
  <c r="CC99" i="80"/>
  <c r="CC100" i="80"/>
  <c r="CC101" i="80"/>
  <c r="CC102" i="80"/>
  <c r="CC103" i="80"/>
  <c r="CC4" i="80"/>
  <c r="BW5" i="80"/>
  <c r="BX5" i="80"/>
  <c r="BY5" i="80"/>
  <c r="BZ5" i="80"/>
  <c r="CA5" i="80"/>
  <c r="CB5" i="80"/>
  <c r="BW6" i="80"/>
  <c r="BX6" i="80"/>
  <c r="BW7" i="80"/>
  <c r="BX7" i="80"/>
  <c r="BW8" i="80"/>
  <c r="BX8" i="80"/>
  <c r="BW9" i="80"/>
  <c r="BX9" i="80"/>
  <c r="BW10" i="80"/>
  <c r="BX10" i="80"/>
  <c r="BW11" i="80"/>
  <c r="BX11" i="80"/>
  <c r="BW12" i="80"/>
  <c r="BX12" i="80"/>
  <c r="BW13" i="80"/>
  <c r="BX13" i="80"/>
  <c r="BW14" i="80"/>
  <c r="BX14" i="80"/>
  <c r="BW15" i="80"/>
  <c r="BX15" i="80"/>
  <c r="BW16" i="80"/>
  <c r="BX16" i="80"/>
  <c r="BW17" i="80"/>
  <c r="BX17" i="80"/>
  <c r="BW18" i="80"/>
  <c r="BX18" i="80"/>
  <c r="BW19" i="80"/>
  <c r="BX19" i="80"/>
  <c r="BW20" i="80"/>
  <c r="BX20" i="80"/>
  <c r="BW21" i="80"/>
  <c r="BX21" i="80"/>
  <c r="BY21" i="80"/>
  <c r="BZ21" i="80"/>
  <c r="CA21" i="80"/>
  <c r="CB21" i="80"/>
  <c r="BW22" i="80"/>
  <c r="BX22" i="80"/>
  <c r="BY22" i="80"/>
  <c r="BZ22" i="80"/>
  <c r="CA22" i="80"/>
  <c r="CB22" i="80"/>
  <c r="BW23" i="80"/>
  <c r="BX23" i="80"/>
  <c r="BY23" i="80"/>
  <c r="BZ23" i="80"/>
  <c r="CA23" i="80"/>
  <c r="CB23" i="80"/>
  <c r="BW24" i="80"/>
  <c r="BX24" i="80"/>
  <c r="BY24" i="80"/>
  <c r="BZ24" i="80"/>
  <c r="CA24" i="80"/>
  <c r="CB24" i="80"/>
  <c r="BW25" i="80"/>
  <c r="BX25" i="80"/>
  <c r="BY25" i="80"/>
  <c r="BZ25" i="80"/>
  <c r="CA25" i="80"/>
  <c r="CB25" i="80"/>
  <c r="BW26" i="80"/>
  <c r="BX26" i="80"/>
  <c r="BY26" i="80"/>
  <c r="BZ26" i="80"/>
  <c r="CA26" i="80"/>
  <c r="CB26" i="80"/>
  <c r="BW27" i="80"/>
  <c r="BX27" i="80"/>
  <c r="BY27" i="80"/>
  <c r="BZ27" i="80"/>
  <c r="CA27" i="80"/>
  <c r="CB27" i="80"/>
  <c r="BW28" i="80"/>
  <c r="BX28" i="80"/>
  <c r="BY28" i="80"/>
  <c r="BZ28" i="80"/>
  <c r="CA28" i="80"/>
  <c r="CB28" i="80"/>
  <c r="BW29" i="80"/>
  <c r="BX29" i="80"/>
  <c r="BY29" i="80"/>
  <c r="BZ29" i="80"/>
  <c r="CA29" i="80"/>
  <c r="CB29" i="80"/>
  <c r="BW30" i="80"/>
  <c r="BX30" i="80"/>
  <c r="BY30" i="80"/>
  <c r="BZ30" i="80"/>
  <c r="CA30" i="80"/>
  <c r="CB30" i="80"/>
  <c r="BW31" i="80"/>
  <c r="BX31" i="80"/>
  <c r="BY31" i="80"/>
  <c r="BZ31" i="80"/>
  <c r="CA31" i="80"/>
  <c r="CB31" i="80"/>
  <c r="BW32" i="80"/>
  <c r="BX32" i="80"/>
  <c r="BY32" i="80"/>
  <c r="BZ32" i="80"/>
  <c r="CA32" i="80"/>
  <c r="CB32" i="80"/>
  <c r="BW33" i="80"/>
  <c r="BX33" i="80"/>
  <c r="BY33" i="80"/>
  <c r="BZ33" i="80"/>
  <c r="CA33" i="80"/>
  <c r="CB33" i="80"/>
  <c r="BW34" i="80"/>
  <c r="BX34" i="80"/>
  <c r="BY34" i="80"/>
  <c r="BZ34" i="80"/>
  <c r="CA34" i="80"/>
  <c r="CB34" i="80"/>
  <c r="BW35" i="80"/>
  <c r="BX35" i="80"/>
  <c r="BY35" i="80"/>
  <c r="BZ35" i="80"/>
  <c r="CA35" i="80"/>
  <c r="CB35" i="80"/>
  <c r="BW36" i="80"/>
  <c r="BX36" i="80"/>
  <c r="BY36" i="80"/>
  <c r="BZ36" i="80"/>
  <c r="CA36" i="80"/>
  <c r="CB36" i="80"/>
  <c r="BW37" i="80"/>
  <c r="BX37" i="80"/>
  <c r="BY37" i="80"/>
  <c r="BZ37" i="80"/>
  <c r="CA37" i="80"/>
  <c r="CB37" i="80"/>
  <c r="BW38" i="80"/>
  <c r="BX38" i="80"/>
  <c r="BY38" i="80"/>
  <c r="BZ38" i="80"/>
  <c r="CA38" i="80"/>
  <c r="CB38" i="80"/>
  <c r="BW39" i="80"/>
  <c r="BX39" i="80"/>
  <c r="BY39" i="80"/>
  <c r="BZ39" i="80"/>
  <c r="CA39" i="80"/>
  <c r="CB39" i="80"/>
  <c r="BW40" i="80"/>
  <c r="BX40" i="80"/>
  <c r="BY40" i="80"/>
  <c r="BZ40" i="80"/>
  <c r="CA40" i="80"/>
  <c r="CB40" i="80"/>
  <c r="BW41" i="80"/>
  <c r="BX41" i="80"/>
  <c r="BY41" i="80"/>
  <c r="BZ41" i="80"/>
  <c r="CA41" i="80"/>
  <c r="CB41" i="80"/>
  <c r="BW42" i="80"/>
  <c r="BX42" i="80"/>
  <c r="BY42" i="80"/>
  <c r="BZ42" i="80"/>
  <c r="CA42" i="80"/>
  <c r="CB42" i="80"/>
  <c r="BW43" i="80"/>
  <c r="BX43" i="80"/>
  <c r="BY43" i="80"/>
  <c r="BZ43" i="80"/>
  <c r="CA43" i="80"/>
  <c r="CB43" i="80"/>
  <c r="BW44" i="80"/>
  <c r="BX44" i="80"/>
  <c r="BY44" i="80"/>
  <c r="BZ44" i="80"/>
  <c r="CA44" i="80"/>
  <c r="CB44" i="80"/>
  <c r="BW45" i="80"/>
  <c r="BX45" i="80"/>
  <c r="BY45" i="80"/>
  <c r="BZ45" i="80"/>
  <c r="CA45" i="80"/>
  <c r="CB45" i="80"/>
  <c r="BW46" i="80"/>
  <c r="BX46" i="80"/>
  <c r="BY46" i="80"/>
  <c r="BZ46" i="80"/>
  <c r="CA46" i="80"/>
  <c r="CB46" i="80"/>
  <c r="BW47" i="80"/>
  <c r="BX47" i="80"/>
  <c r="BY47" i="80"/>
  <c r="BZ47" i="80"/>
  <c r="CA47" i="80"/>
  <c r="CB47" i="80"/>
  <c r="BW48" i="80"/>
  <c r="BX48" i="80"/>
  <c r="BY48" i="80"/>
  <c r="BZ48" i="80"/>
  <c r="CA48" i="80"/>
  <c r="CB48" i="80"/>
  <c r="BW49" i="80"/>
  <c r="BX49" i="80"/>
  <c r="BY49" i="80"/>
  <c r="BZ49" i="80"/>
  <c r="CA49" i="80"/>
  <c r="CB49" i="80"/>
  <c r="BW50" i="80"/>
  <c r="BX50" i="80"/>
  <c r="BY50" i="80"/>
  <c r="BZ50" i="80"/>
  <c r="CA50" i="80"/>
  <c r="CB50" i="80"/>
  <c r="BW51" i="80"/>
  <c r="BX51" i="80"/>
  <c r="BY51" i="80"/>
  <c r="BZ51" i="80"/>
  <c r="CA51" i="80"/>
  <c r="CB51" i="80"/>
  <c r="BW52" i="80"/>
  <c r="BX52" i="80"/>
  <c r="BY52" i="80"/>
  <c r="BZ52" i="80"/>
  <c r="CA52" i="80"/>
  <c r="CB52" i="80"/>
  <c r="BW53" i="80"/>
  <c r="BX53" i="80"/>
  <c r="BY53" i="80"/>
  <c r="BZ53" i="80"/>
  <c r="CA53" i="80"/>
  <c r="CB53" i="80"/>
  <c r="BW54" i="80"/>
  <c r="BX54" i="80"/>
  <c r="BY54" i="80"/>
  <c r="BZ54" i="80"/>
  <c r="CA54" i="80"/>
  <c r="CB54" i="80"/>
  <c r="BW55" i="80"/>
  <c r="BX55" i="80"/>
  <c r="BY55" i="80"/>
  <c r="BZ55" i="80"/>
  <c r="CA55" i="80"/>
  <c r="CB55" i="80"/>
  <c r="BW56" i="80"/>
  <c r="BX56" i="80"/>
  <c r="BY56" i="80"/>
  <c r="BZ56" i="80"/>
  <c r="CA56" i="80"/>
  <c r="CB56" i="80"/>
  <c r="BW57" i="80"/>
  <c r="BX57" i="80"/>
  <c r="BY57" i="80"/>
  <c r="BZ57" i="80"/>
  <c r="CA57" i="80"/>
  <c r="CB57" i="80"/>
  <c r="BW58" i="80"/>
  <c r="BX58" i="80"/>
  <c r="BY58" i="80"/>
  <c r="BZ58" i="80"/>
  <c r="CA58" i="80"/>
  <c r="CB58" i="80"/>
  <c r="BW59" i="80"/>
  <c r="BX59" i="80"/>
  <c r="BY59" i="80"/>
  <c r="BZ59" i="80"/>
  <c r="CA59" i="80"/>
  <c r="CB59" i="80"/>
  <c r="BW60" i="80"/>
  <c r="BX60" i="80"/>
  <c r="BY60" i="80"/>
  <c r="BZ60" i="80"/>
  <c r="CA60" i="80"/>
  <c r="CB60" i="80"/>
  <c r="BW61" i="80"/>
  <c r="BX61" i="80"/>
  <c r="BY61" i="80"/>
  <c r="BZ61" i="80"/>
  <c r="CA61" i="80"/>
  <c r="CB61" i="80"/>
  <c r="BW62" i="80"/>
  <c r="BX62" i="80"/>
  <c r="BY62" i="80"/>
  <c r="BZ62" i="80"/>
  <c r="CA62" i="80"/>
  <c r="CB62" i="80"/>
  <c r="BW63" i="80"/>
  <c r="BX63" i="80"/>
  <c r="BY63" i="80"/>
  <c r="BZ63" i="80"/>
  <c r="CA63" i="80"/>
  <c r="CB63" i="80"/>
  <c r="BW64" i="80"/>
  <c r="BX64" i="80"/>
  <c r="BY64" i="80"/>
  <c r="BZ64" i="80"/>
  <c r="CA64" i="80"/>
  <c r="CB64" i="80"/>
  <c r="BW65" i="80"/>
  <c r="BX65" i="80"/>
  <c r="BY65" i="80"/>
  <c r="BZ65" i="80"/>
  <c r="CA65" i="80"/>
  <c r="CB65" i="80"/>
  <c r="BW66" i="80"/>
  <c r="BX66" i="80"/>
  <c r="BY66" i="80"/>
  <c r="BZ66" i="80"/>
  <c r="CA66" i="80"/>
  <c r="CB66" i="80"/>
  <c r="BW67" i="80"/>
  <c r="BX67" i="80"/>
  <c r="BY67" i="80"/>
  <c r="BZ67" i="80"/>
  <c r="CA67" i="80"/>
  <c r="CB67" i="80"/>
  <c r="BW68" i="80"/>
  <c r="BX68" i="80"/>
  <c r="BY68" i="80"/>
  <c r="BZ68" i="80"/>
  <c r="CA68" i="80"/>
  <c r="CB68" i="80"/>
  <c r="BW69" i="80"/>
  <c r="BX69" i="80"/>
  <c r="BY69" i="80"/>
  <c r="BZ69" i="80"/>
  <c r="CA69" i="80"/>
  <c r="CB69" i="80"/>
  <c r="BW70" i="80"/>
  <c r="BX70" i="80"/>
  <c r="BY70" i="80"/>
  <c r="BZ70" i="80"/>
  <c r="CA70" i="80"/>
  <c r="CB70" i="80"/>
  <c r="BW71" i="80"/>
  <c r="BX71" i="80"/>
  <c r="BY71" i="80"/>
  <c r="BZ71" i="80"/>
  <c r="CA71" i="80"/>
  <c r="CB71" i="80"/>
  <c r="BW72" i="80"/>
  <c r="BX72" i="80"/>
  <c r="BY72" i="80"/>
  <c r="BZ72" i="80"/>
  <c r="CA72" i="80"/>
  <c r="CB72" i="80"/>
  <c r="BW73" i="80"/>
  <c r="BX73" i="80"/>
  <c r="BY73" i="80"/>
  <c r="BZ73" i="80"/>
  <c r="CA73" i="80"/>
  <c r="CB73" i="80"/>
  <c r="BW74" i="80"/>
  <c r="BX74" i="80"/>
  <c r="BY74" i="80"/>
  <c r="BZ74" i="80"/>
  <c r="CA74" i="80"/>
  <c r="CB74" i="80"/>
  <c r="BW75" i="80"/>
  <c r="BX75" i="80"/>
  <c r="BY75" i="80"/>
  <c r="BZ75" i="80"/>
  <c r="CA75" i="80"/>
  <c r="CB75" i="80"/>
  <c r="BW76" i="80"/>
  <c r="BX76" i="80"/>
  <c r="BY76" i="80"/>
  <c r="BZ76" i="80"/>
  <c r="CA76" i="80"/>
  <c r="CB76" i="80"/>
  <c r="BW77" i="80"/>
  <c r="BX77" i="80"/>
  <c r="BY77" i="80"/>
  <c r="BZ77" i="80"/>
  <c r="CA77" i="80"/>
  <c r="CB77" i="80"/>
  <c r="BW78" i="80"/>
  <c r="BX78" i="80"/>
  <c r="BY78" i="80"/>
  <c r="BZ78" i="80"/>
  <c r="CA78" i="80"/>
  <c r="CB78" i="80"/>
  <c r="BW79" i="80"/>
  <c r="BX79" i="80"/>
  <c r="BY79" i="80"/>
  <c r="BZ79" i="80"/>
  <c r="CA79" i="80"/>
  <c r="CB79" i="80"/>
  <c r="BW80" i="80"/>
  <c r="BX80" i="80"/>
  <c r="BY80" i="80"/>
  <c r="BZ80" i="80"/>
  <c r="CA80" i="80"/>
  <c r="CB80" i="80"/>
  <c r="BW81" i="80"/>
  <c r="BX81" i="80"/>
  <c r="BY81" i="80"/>
  <c r="BZ81" i="80"/>
  <c r="CA81" i="80"/>
  <c r="CB81" i="80"/>
  <c r="BW82" i="80"/>
  <c r="BX82" i="80"/>
  <c r="BY82" i="80"/>
  <c r="BZ82" i="80"/>
  <c r="CA82" i="80"/>
  <c r="CB82" i="80"/>
  <c r="BW83" i="80"/>
  <c r="BX83" i="80"/>
  <c r="BY83" i="80"/>
  <c r="BZ83" i="80"/>
  <c r="CA83" i="80"/>
  <c r="CB83" i="80"/>
  <c r="BW84" i="80"/>
  <c r="BX84" i="80"/>
  <c r="BY84" i="80"/>
  <c r="BZ84" i="80"/>
  <c r="CA84" i="80"/>
  <c r="CB84" i="80"/>
  <c r="BW85" i="80"/>
  <c r="BX85" i="80"/>
  <c r="BY85" i="80"/>
  <c r="BZ85" i="80"/>
  <c r="CA85" i="80"/>
  <c r="CB85" i="80"/>
  <c r="BW86" i="80"/>
  <c r="BX86" i="80"/>
  <c r="BY86" i="80"/>
  <c r="BZ86" i="80"/>
  <c r="CA86" i="80"/>
  <c r="CB86" i="80"/>
  <c r="BW87" i="80"/>
  <c r="BX87" i="80"/>
  <c r="BY87" i="80"/>
  <c r="BZ87" i="80"/>
  <c r="CA87" i="80"/>
  <c r="CB87" i="80"/>
  <c r="BW88" i="80"/>
  <c r="BX88" i="80"/>
  <c r="BY88" i="80"/>
  <c r="BZ88" i="80"/>
  <c r="CA88" i="80"/>
  <c r="CB88" i="80"/>
  <c r="BW89" i="80"/>
  <c r="BX89" i="80"/>
  <c r="BY89" i="80"/>
  <c r="BZ89" i="80"/>
  <c r="CA89" i="80"/>
  <c r="CB89" i="80"/>
  <c r="BW90" i="80"/>
  <c r="BX90" i="80"/>
  <c r="BY90" i="80"/>
  <c r="BZ90" i="80"/>
  <c r="CA90" i="80"/>
  <c r="CB90" i="80"/>
  <c r="BW91" i="80"/>
  <c r="BX91" i="80"/>
  <c r="BY91" i="80"/>
  <c r="BZ91" i="80"/>
  <c r="CA91" i="80"/>
  <c r="CB91" i="80"/>
  <c r="BW92" i="80"/>
  <c r="BX92" i="80"/>
  <c r="BY92" i="80"/>
  <c r="BZ92" i="80"/>
  <c r="CA92" i="80"/>
  <c r="CB92" i="80"/>
  <c r="BW93" i="80"/>
  <c r="BX93" i="80"/>
  <c r="BY93" i="80"/>
  <c r="BZ93" i="80"/>
  <c r="CA93" i="80"/>
  <c r="CB93" i="80"/>
  <c r="BW94" i="80"/>
  <c r="BX94" i="80"/>
  <c r="BY94" i="80"/>
  <c r="BZ94" i="80"/>
  <c r="CA94" i="80"/>
  <c r="CB94" i="80"/>
  <c r="BW95" i="80"/>
  <c r="BX95" i="80"/>
  <c r="BY95" i="80"/>
  <c r="BZ95" i="80"/>
  <c r="CA95" i="80"/>
  <c r="CB95" i="80"/>
  <c r="BW96" i="80"/>
  <c r="BX96" i="80"/>
  <c r="BY96" i="80"/>
  <c r="BZ96" i="80"/>
  <c r="CA96" i="80"/>
  <c r="CB96" i="80"/>
  <c r="BW97" i="80"/>
  <c r="BX97" i="80"/>
  <c r="BY97" i="80"/>
  <c r="BZ97" i="80"/>
  <c r="CA97" i="80"/>
  <c r="CB97" i="80"/>
  <c r="BW98" i="80"/>
  <c r="BX98" i="80"/>
  <c r="BY98" i="80"/>
  <c r="BZ98" i="80"/>
  <c r="CA98" i="80"/>
  <c r="CB98" i="80"/>
  <c r="BW99" i="80"/>
  <c r="BX99" i="80"/>
  <c r="BY99" i="80"/>
  <c r="BZ99" i="80"/>
  <c r="CA99" i="80"/>
  <c r="CB99" i="80"/>
  <c r="BW100" i="80"/>
  <c r="BX100" i="80"/>
  <c r="BY100" i="80"/>
  <c r="BZ100" i="80"/>
  <c r="CA100" i="80"/>
  <c r="CB100" i="80"/>
  <c r="BW101" i="80"/>
  <c r="BX101" i="80"/>
  <c r="BY101" i="80"/>
  <c r="BZ101" i="80"/>
  <c r="CA101" i="80"/>
  <c r="CB101" i="80"/>
  <c r="BW102" i="80"/>
  <c r="BX102" i="80"/>
  <c r="BY102" i="80"/>
  <c r="BZ102" i="80"/>
  <c r="CA102" i="80"/>
  <c r="CB102" i="80"/>
  <c r="BW103" i="80"/>
  <c r="BX103" i="80"/>
  <c r="BY103" i="80"/>
  <c r="BZ103" i="80"/>
  <c r="CA103" i="80"/>
  <c r="CB103" i="80"/>
  <c r="CB4" i="80"/>
  <c r="CA4" i="80"/>
  <c r="BZ4" i="80"/>
  <c r="BY4" i="80"/>
  <c r="BX4" i="80"/>
  <c r="BW4" i="80"/>
  <c r="BP5" i="80"/>
  <c r="BQ5" i="80"/>
  <c r="BP6" i="80"/>
  <c r="BQ6" i="80"/>
  <c r="BP7" i="80"/>
  <c r="BQ7" i="80"/>
  <c r="BP8" i="80"/>
  <c r="BQ8" i="80"/>
  <c r="BP9" i="80"/>
  <c r="BQ9" i="80"/>
  <c r="BP10" i="80"/>
  <c r="BQ10" i="80"/>
  <c r="BP11" i="80"/>
  <c r="BQ11" i="80"/>
  <c r="BP12" i="80"/>
  <c r="BQ12" i="80"/>
  <c r="BP13" i="80"/>
  <c r="BQ13" i="80"/>
  <c r="BP14" i="80"/>
  <c r="BQ14" i="80"/>
  <c r="BP15" i="80"/>
  <c r="BQ15" i="80"/>
  <c r="BP16" i="80"/>
  <c r="BQ16" i="80"/>
  <c r="BP17" i="80"/>
  <c r="BQ17" i="80"/>
  <c r="BP18" i="80"/>
  <c r="BQ18" i="80"/>
  <c r="BP19" i="80"/>
  <c r="BQ19" i="80"/>
  <c r="BP20" i="80"/>
  <c r="BQ20" i="80"/>
  <c r="BP21" i="80"/>
  <c r="BQ21" i="80"/>
  <c r="BP22" i="80"/>
  <c r="BQ22" i="80"/>
  <c r="BP23" i="80"/>
  <c r="BQ23" i="80"/>
  <c r="BP24" i="80"/>
  <c r="BQ24" i="80"/>
  <c r="BP25" i="80"/>
  <c r="BQ25" i="80"/>
  <c r="BP26" i="80"/>
  <c r="BQ26" i="80"/>
  <c r="BP27" i="80"/>
  <c r="BQ27" i="80"/>
  <c r="BP28" i="80"/>
  <c r="BQ28" i="80"/>
  <c r="BP29" i="80"/>
  <c r="BQ29" i="80"/>
  <c r="BP30" i="80"/>
  <c r="BQ30" i="80"/>
  <c r="BP31" i="80"/>
  <c r="BQ31" i="80"/>
  <c r="BP32" i="80"/>
  <c r="BQ32" i="80"/>
  <c r="BP33" i="80"/>
  <c r="BQ33" i="80"/>
  <c r="BP34" i="80"/>
  <c r="BQ34" i="80"/>
  <c r="BP35" i="80"/>
  <c r="BQ35" i="80"/>
  <c r="BP36" i="80"/>
  <c r="BQ36" i="80"/>
  <c r="BP37" i="80"/>
  <c r="BQ37" i="80"/>
  <c r="BP38" i="80"/>
  <c r="BQ38" i="80"/>
  <c r="BP39" i="80"/>
  <c r="BQ39" i="80"/>
  <c r="BP40" i="80"/>
  <c r="BQ40" i="80"/>
  <c r="BP41" i="80"/>
  <c r="BQ41" i="80"/>
  <c r="BP42" i="80"/>
  <c r="BQ42" i="80"/>
  <c r="BP43" i="80"/>
  <c r="BQ43" i="80"/>
  <c r="BP44" i="80"/>
  <c r="BQ44" i="80"/>
  <c r="BP45" i="80"/>
  <c r="BQ45" i="80"/>
  <c r="BP46" i="80"/>
  <c r="BQ46" i="80"/>
  <c r="BP47" i="80"/>
  <c r="BQ47" i="80"/>
  <c r="BP48" i="80"/>
  <c r="BQ48" i="80"/>
  <c r="BP49" i="80"/>
  <c r="BQ49" i="80"/>
  <c r="BP50" i="80"/>
  <c r="BQ50" i="80"/>
  <c r="BP51" i="80"/>
  <c r="BQ51" i="80"/>
  <c r="BP52" i="80"/>
  <c r="BQ52" i="80"/>
  <c r="BP53" i="80"/>
  <c r="BQ53" i="80"/>
  <c r="BQ4" i="80"/>
  <c r="BP4" i="80"/>
  <c r="BI5" i="80"/>
  <c r="BJ5" i="80"/>
  <c r="BK5" i="80"/>
  <c r="BL5" i="80"/>
  <c r="BM5" i="80"/>
  <c r="BN5" i="80"/>
  <c r="BI6" i="80"/>
  <c r="BJ6" i="80"/>
  <c r="BK6" i="80"/>
  <c r="BL6" i="80"/>
  <c r="BM6" i="80"/>
  <c r="BN6" i="80"/>
  <c r="BI7" i="80"/>
  <c r="BJ7" i="80"/>
  <c r="BK7" i="80"/>
  <c r="BL7" i="80"/>
  <c r="BM7" i="80"/>
  <c r="BN7" i="80"/>
  <c r="BI8" i="80"/>
  <c r="BJ8" i="80"/>
  <c r="BK8" i="80"/>
  <c r="BL8" i="80"/>
  <c r="BM8" i="80"/>
  <c r="BN8" i="80"/>
  <c r="BI9" i="80"/>
  <c r="BJ9" i="80"/>
  <c r="BK9" i="80"/>
  <c r="BL9" i="80"/>
  <c r="BM9" i="80"/>
  <c r="BN9" i="80"/>
  <c r="BI10" i="80"/>
  <c r="BJ10" i="80"/>
  <c r="BK10" i="80"/>
  <c r="BL10" i="80"/>
  <c r="BM10" i="80"/>
  <c r="BN10" i="80"/>
  <c r="BI11" i="80"/>
  <c r="BJ11" i="80"/>
  <c r="BK11" i="80"/>
  <c r="BL11" i="80"/>
  <c r="BM11" i="80"/>
  <c r="BN11" i="80"/>
  <c r="BI12" i="80"/>
  <c r="BJ12" i="80"/>
  <c r="BK12" i="80"/>
  <c r="BL12" i="80"/>
  <c r="BM12" i="80"/>
  <c r="BN12" i="80"/>
  <c r="BI13" i="80"/>
  <c r="BJ13" i="80"/>
  <c r="BK13" i="80"/>
  <c r="BL13" i="80"/>
  <c r="BM13" i="80"/>
  <c r="BN13" i="80"/>
  <c r="BI14" i="80"/>
  <c r="BJ14" i="80"/>
  <c r="BK14" i="80"/>
  <c r="BL14" i="80"/>
  <c r="BM14" i="80"/>
  <c r="BN14" i="80"/>
  <c r="BI15" i="80"/>
  <c r="BJ15" i="80"/>
  <c r="BK15" i="80"/>
  <c r="BL15" i="80"/>
  <c r="BM15" i="80"/>
  <c r="BN15" i="80"/>
  <c r="BI16" i="80"/>
  <c r="BJ16" i="80"/>
  <c r="BK16" i="80"/>
  <c r="BL16" i="80"/>
  <c r="BM16" i="80"/>
  <c r="BN16" i="80"/>
  <c r="BI17" i="80"/>
  <c r="BJ17" i="80"/>
  <c r="BK17" i="80"/>
  <c r="BL17" i="80"/>
  <c r="BM17" i="80"/>
  <c r="BN17" i="80"/>
  <c r="BI18" i="80"/>
  <c r="BJ18" i="80"/>
  <c r="BK18" i="80"/>
  <c r="BL18" i="80"/>
  <c r="BM18" i="80"/>
  <c r="BN18" i="80"/>
  <c r="BI19" i="80"/>
  <c r="BJ19" i="80"/>
  <c r="BK19" i="80"/>
  <c r="BL19" i="80"/>
  <c r="BM19" i="80"/>
  <c r="BN19" i="80"/>
  <c r="BI20" i="80"/>
  <c r="BJ20" i="80"/>
  <c r="BK20" i="80"/>
  <c r="BL20" i="80"/>
  <c r="BM20" i="80"/>
  <c r="BN20" i="80"/>
  <c r="BI21" i="80"/>
  <c r="BJ21" i="80"/>
  <c r="BK21" i="80"/>
  <c r="BL21" i="80"/>
  <c r="BM21" i="80"/>
  <c r="BN21" i="80"/>
  <c r="BI22" i="80"/>
  <c r="BJ22" i="80"/>
  <c r="BK22" i="80"/>
  <c r="BL22" i="80"/>
  <c r="BM22" i="80"/>
  <c r="BN22" i="80"/>
  <c r="BI23" i="80"/>
  <c r="BJ23" i="80"/>
  <c r="BK23" i="80"/>
  <c r="BL23" i="80"/>
  <c r="BM23" i="80"/>
  <c r="BN23" i="80"/>
  <c r="BI24" i="80"/>
  <c r="BJ24" i="80"/>
  <c r="BK24" i="80"/>
  <c r="BL24" i="80"/>
  <c r="BM24" i="80"/>
  <c r="BN24" i="80"/>
  <c r="BI25" i="80"/>
  <c r="BJ25" i="80"/>
  <c r="BK25" i="80"/>
  <c r="BL25" i="80"/>
  <c r="BM25" i="80"/>
  <c r="BN25" i="80"/>
  <c r="BI26" i="80"/>
  <c r="BJ26" i="80"/>
  <c r="BK26" i="80"/>
  <c r="BL26" i="80"/>
  <c r="BM26" i="80"/>
  <c r="BN26" i="80"/>
  <c r="BI27" i="80"/>
  <c r="BJ27" i="80"/>
  <c r="BK27" i="80"/>
  <c r="BL27" i="80"/>
  <c r="BM27" i="80"/>
  <c r="BN27" i="80"/>
  <c r="BI28" i="80"/>
  <c r="BJ28" i="80"/>
  <c r="BK28" i="80"/>
  <c r="BL28" i="80"/>
  <c r="BM28" i="80"/>
  <c r="BN28" i="80"/>
  <c r="BI29" i="80"/>
  <c r="BJ29" i="80"/>
  <c r="BK29" i="80"/>
  <c r="BL29" i="80"/>
  <c r="BM29" i="80"/>
  <c r="BN29" i="80"/>
  <c r="BI30" i="80"/>
  <c r="BJ30" i="80"/>
  <c r="BK30" i="80"/>
  <c r="BL30" i="80"/>
  <c r="BM30" i="80"/>
  <c r="BN30" i="80"/>
  <c r="BI31" i="80"/>
  <c r="BJ31" i="80"/>
  <c r="BK31" i="80"/>
  <c r="BL31" i="80"/>
  <c r="BM31" i="80"/>
  <c r="BN31" i="80"/>
  <c r="BI32" i="80"/>
  <c r="BJ32" i="80"/>
  <c r="BK32" i="80"/>
  <c r="BL32" i="80"/>
  <c r="BM32" i="80"/>
  <c r="BN32" i="80"/>
  <c r="BI33" i="80"/>
  <c r="BJ33" i="80"/>
  <c r="BK33" i="80"/>
  <c r="BL33" i="80"/>
  <c r="BM33" i="80"/>
  <c r="BN33" i="80"/>
  <c r="BI34" i="80"/>
  <c r="BJ34" i="80"/>
  <c r="BK34" i="80"/>
  <c r="BL34" i="80"/>
  <c r="BM34" i="80"/>
  <c r="BN34" i="80"/>
  <c r="BI35" i="80"/>
  <c r="BJ35" i="80"/>
  <c r="BK35" i="80"/>
  <c r="BL35" i="80"/>
  <c r="BM35" i="80"/>
  <c r="BN35" i="80"/>
  <c r="BI36" i="80"/>
  <c r="BJ36" i="80"/>
  <c r="BK36" i="80"/>
  <c r="BL36" i="80"/>
  <c r="BM36" i="80"/>
  <c r="BN36" i="80"/>
  <c r="BI37" i="80"/>
  <c r="BJ37" i="80"/>
  <c r="BK37" i="80"/>
  <c r="BL37" i="80"/>
  <c r="BM37" i="80"/>
  <c r="BN37" i="80"/>
  <c r="BI38" i="80"/>
  <c r="BJ38" i="80"/>
  <c r="BK38" i="80"/>
  <c r="BL38" i="80"/>
  <c r="BM38" i="80"/>
  <c r="BN38" i="80"/>
  <c r="BI39" i="80"/>
  <c r="BJ39" i="80"/>
  <c r="BK39" i="80"/>
  <c r="BL39" i="80"/>
  <c r="BM39" i="80"/>
  <c r="BN39" i="80"/>
  <c r="BI40" i="80"/>
  <c r="BJ40" i="80"/>
  <c r="BK40" i="80"/>
  <c r="BL40" i="80"/>
  <c r="BM40" i="80"/>
  <c r="BN40" i="80"/>
  <c r="BI41" i="80"/>
  <c r="BJ41" i="80"/>
  <c r="BK41" i="80"/>
  <c r="BL41" i="80"/>
  <c r="BM41" i="80"/>
  <c r="BN41" i="80"/>
  <c r="BI42" i="80"/>
  <c r="BJ42" i="80"/>
  <c r="BK42" i="80"/>
  <c r="BL42" i="80"/>
  <c r="BM42" i="80"/>
  <c r="BN42" i="80"/>
  <c r="BI43" i="80"/>
  <c r="BJ43" i="80"/>
  <c r="BK43" i="80"/>
  <c r="BL43" i="80"/>
  <c r="BM43" i="80"/>
  <c r="BN43" i="80"/>
  <c r="BI44" i="80"/>
  <c r="BJ44" i="80"/>
  <c r="BK44" i="80"/>
  <c r="BL44" i="80"/>
  <c r="BM44" i="80"/>
  <c r="BN44" i="80"/>
  <c r="BI45" i="80"/>
  <c r="BJ45" i="80"/>
  <c r="BK45" i="80"/>
  <c r="BL45" i="80"/>
  <c r="BM45" i="80"/>
  <c r="BN45" i="80"/>
  <c r="BI46" i="80"/>
  <c r="BJ46" i="80"/>
  <c r="BK46" i="80"/>
  <c r="BL46" i="80"/>
  <c r="BM46" i="80"/>
  <c r="BN46" i="80"/>
  <c r="BI47" i="80"/>
  <c r="BJ47" i="80"/>
  <c r="BK47" i="80"/>
  <c r="BL47" i="80"/>
  <c r="BM47" i="80"/>
  <c r="BN47" i="80"/>
  <c r="BI48" i="80"/>
  <c r="BJ48" i="80"/>
  <c r="BK48" i="80"/>
  <c r="BL48" i="80"/>
  <c r="BM48" i="80"/>
  <c r="BN48" i="80"/>
  <c r="BI49" i="80"/>
  <c r="BJ49" i="80"/>
  <c r="BK49" i="80"/>
  <c r="BL49" i="80"/>
  <c r="BM49" i="80"/>
  <c r="BN49" i="80"/>
  <c r="BI50" i="80"/>
  <c r="BJ50" i="80"/>
  <c r="BK50" i="80"/>
  <c r="BL50" i="80"/>
  <c r="BM50" i="80"/>
  <c r="BN50" i="80"/>
  <c r="BI51" i="80"/>
  <c r="BJ51" i="80"/>
  <c r="BK51" i="80"/>
  <c r="BL51" i="80"/>
  <c r="BM51" i="80"/>
  <c r="BN51" i="80"/>
  <c r="BI52" i="80"/>
  <c r="BJ52" i="80"/>
  <c r="BK52" i="80"/>
  <c r="BL52" i="80"/>
  <c r="BM52" i="80"/>
  <c r="BN52" i="80"/>
  <c r="BI53" i="80"/>
  <c r="BJ53" i="80"/>
  <c r="BK53" i="80"/>
  <c r="BL53" i="80"/>
  <c r="BM53" i="80"/>
  <c r="BN53" i="80"/>
  <c r="BI54" i="80"/>
  <c r="BJ54" i="80"/>
  <c r="BK54" i="80"/>
  <c r="BL54" i="80"/>
  <c r="BM54" i="80"/>
  <c r="BN54" i="80"/>
  <c r="BI55" i="80"/>
  <c r="BJ55" i="80"/>
  <c r="BK55" i="80"/>
  <c r="BL55" i="80"/>
  <c r="BM55" i="80"/>
  <c r="BN55" i="80"/>
  <c r="BI56" i="80"/>
  <c r="BJ56" i="80"/>
  <c r="BK56" i="80"/>
  <c r="BL56" i="80"/>
  <c r="BM56" i="80"/>
  <c r="BN56" i="80"/>
  <c r="BI57" i="80"/>
  <c r="BJ57" i="80"/>
  <c r="BK57" i="80"/>
  <c r="BL57" i="80"/>
  <c r="BM57" i="80"/>
  <c r="BN57" i="80"/>
  <c r="BI58" i="80"/>
  <c r="BJ58" i="80"/>
  <c r="BK58" i="80"/>
  <c r="BL58" i="80"/>
  <c r="BM58" i="80"/>
  <c r="BN58" i="80"/>
  <c r="BI59" i="80"/>
  <c r="BJ59" i="80"/>
  <c r="BK59" i="80"/>
  <c r="BL59" i="80"/>
  <c r="BM59" i="80"/>
  <c r="BN59" i="80"/>
  <c r="BI60" i="80"/>
  <c r="BJ60" i="80"/>
  <c r="BK60" i="80"/>
  <c r="BL60" i="80"/>
  <c r="BM60" i="80"/>
  <c r="BN60" i="80"/>
  <c r="BI61" i="80"/>
  <c r="BJ61" i="80"/>
  <c r="BK61" i="80"/>
  <c r="BL61" i="80"/>
  <c r="BM61" i="80"/>
  <c r="BN61" i="80"/>
  <c r="BI62" i="80"/>
  <c r="BJ62" i="80"/>
  <c r="BK62" i="80"/>
  <c r="BL62" i="80"/>
  <c r="BM62" i="80"/>
  <c r="BN62" i="80"/>
  <c r="BI63" i="80"/>
  <c r="BJ63" i="80"/>
  <c r="BK63" i="80"/>
  <c r="BL63" i="80"/>
  <c r="BM63" i="80"/>
  <c r="BN63" i="80"/>
  <c r="BI64" i="80"/>
  <c r="BJ64" i="80"/>
  <c r="BK64" i="80"/>
  <c r="BL64" i="80"/>
  <c r="BM64" i="80"/>
  <c r="BN64" i="80"/>
  <c r="BI65" i="80"/>
  <c r="BJ65" i="80"/>
  <c r="BK65" i="80"/>
  <c r="BL65" i="80"/>
  <c r="BM65" i="80"/>
  <c r="BN65" i="80"/>
  <c r="BI66" i="80"/>
  <c r="BJ66" i="80"/>
  <c r="BK66" i="80"/>
  <c r="BL66" i="80"/>
  <c r="BM66" i="80"/>
  <c r="BN66" i="80"/>
  <c r="BI67" i="80"/>
  <c r="BJ67" i="80"/>
  <c r="BK67" i="80"/>
  <c r="BL67" i="80"/>
  <c r="BM67" i="80"/>
  <c r="BN67" i="80"/>
  <c r="BI68" i="80"/>
  <c r="BJ68" i="80"/>
  <c r="BK68" i="80"/>
  <c r="BL68" i="80"/>
  <c r="BM68" i="80"/>
  <c r="BN68" i="80"/>
  <c r="BI69" i="80"/>
  <c r="BJ69" i="80"/>
  <c r="BK69" i="80"/>
  <c r="BL69" i="80"/>
  <c r="BM69" i="80"/>
  <c r="BN69" i="80"/>
  <c r="BI70" i="80"/>
  <c r="BJ70" i="80"/>
  <c r="BK70" i="80"/>
  <c r="BL70" i="80"/>
  <c r="BM70" i="80"/>
  <c r="BN70" i="80"/>
  <c r="BI71" i="80"/>
  <c r="BJ71" i="80"/>
  <c r="BK71" i="80"/>
  <c r="BL71" i="80"/>
  <c r="BM71" i="80"/>
  <c r="BN71" i="80"/>
  <c r="BI72" i="80"/>
  <c r="BJ72" i="80"/>
  <c r="BK72" i="80"/>
  <c r="BL72" i="80"/>
  <c r="BM72" i="80"/>
  <c r="BN72" i="80"/>
  <c r="BI73" i="80"/>
  <c r="BJ73" i="80"/>
  <c r="BK73" i="80"/>
  <c r="BL73" i="80"/>
  <c r="BM73" i="80"/>
  <c r="BN73" i="80"/>
  <c r="BI74" i="80"/>
  <c r="BJ74" i="80"/>
  <c r="BK74" i="80"/>
  <c r="BL74" i="80"/>
  <c r="BM74" i="80"/>
  <c r="BN74" i="80"/>
  <c r="BI75" i="80"/>
  <c r="BJ75" i="80"/>
  <c r="BK75" i="80"/>
  <c r="BL75" i="80"/>
  <c r="BM75" i="80"/>
  <c r="BN75" i="80"/>
  <c r="BI76" i="80"/>
  <c r="BJ76" i="80"/>
  <c r="BK76" i="80"/>
  <c r="BL76" i="80"/>
  <c r="BM76" i="80"/>
  <c r="BN76" i="80"/>
  <c r="BI77" i="80"/>
  <c r="BJ77" i="80"/>
  <c r="BK77" i="80"/>
  <c r="BL77" i="80"/>
  <c r="BM77" i="80"/>
  <c r="BN77" i="80"/>
  <c r="BI78" i="80"/>
  <c r="BJ78" i="80"/>
  <c r="BK78" i="80"/>
  <c r="BL78" i="80"/>
  <c r="BM78" i="80"/>
  <c r="BN78" i="80"/>
  <c r="BI79" i="80"/>
  <c r="BJ79" i="80"/>
  <c r="BK79" i="80"/>
  <c r="BL79" i="80"/>
  <c r="BM79" i="80"/>
  <c r="BN79" i="80"/>
  <c r="BI80" i="80"/>
  <c r="BJ80" i="80"/>
  <c r="BK80" i="80"/>
  <c r="BL80" i="80"/>
  <c r="BM80" i="80"/>
  <c r="BN80" i="80"/>
  <c r="BI81" i="80"/>
  <c r="BJ81" i="80"/>
  <c r="BK81" i="80"/>
  <c r="BL81" i="80"/>
  <c r="BM81" i="80"/>
  <c r="BN81" i="80"/>
  <c r="BI82" i="80"/>
  <c r="BJ82" i="80"/>
  <c r="BK82" i="80"/>
  <c r="BL82" i="80"/>
  <c r="BM82" i="80"/>
  <c r="BN82" i="80"/>
  <c r="BI83" i="80"/>
  <c r="BJ83" i="80"/>
  <c r="BK83" i="80"/>
  <c r="BL83" i="80"/>
  <c r="BM83" i="80"/>
  <c r="BN83" i="80"/>
  <c r="BI84" i="80"/>
  <c r="BJ84" i="80"/>
  <c r="BK84" i="80"/>
  <c r="BL84" i="80"/>
  <c r="BM84" i="80"/>
  <c r="BN84" i="80"/>
  <c r="BI85" i="80"/>
  <c r="BJ85" i="80"/>
  <c r="BK85" i="80"/>
  <c r="BL85" i="80"/>
  <c r="BM85" i="80"/>
  <c r="BN85" i="80"/>
  <c r="BI86" i="80"/>
  <c r="BJ86" i="80"/>
  <c r="BK86" i="80"/>
  <c r="BL86" i="80"/>
  <c r="BM86" i="80"/>
  <c r="BN86" i="80"/>
  <c r="BI87" i="80"/>
  <c r="BJ87" i="80"/>
  <c r="BK87" i="80"/>
  <c r="BL87" i="80"/>
  <c r="BM87" i="80"/>
  <c r="BN87" i="80"/>
  <c r="BI88" i="80"/>
  <c r="BJ88" i="80"/>
  <c r="BK88" i="80"/>
  <c r="BL88" i="80"/>
  <c r="BM88" i="80"/>
  <c r="BN88" i="80"/>
  <c r="BI89" i="80"/>
  <c r="BJ89" i="80"/>
  <c r="BK89" i="80"/>
  <c r="BL89" i="80"/>
  <c r="BM89" i="80"/>
  <c r="BN89" i="80"/>
  <c r="BI90" i="80"/>
  <c r="BJ90" i="80"/>
  <c r="BK90" i="80"/>
  <c r="BL90" i="80"/>
  <c r="BM90" i="80"/>
  <c r="BN90" i="80"/>
  <c r="BI91" i="80"/>
  <c r="BJ91" i="80"/>
  <c r="BK91" i="80"/>
  <c r="BL91" i="80"/>
  <c r="BM91" i="80"/>
  <c r="BN91" i="80"/>
  <c r="BI92" i="80"/>
  <c r="BJ92" i="80"/>
  <c r="BK92" i="80"/>
  <c r="BL92" i="80"/>
  <c r="BM92" i="80"/>
  <c r="BN92" i="80"/>
  <c r="BI93" i="80"/>
  <c r="BJ93" i="80"/>
  <c r="BK93" i="80"/>
  <c r="BL93" i="80"/>
  <c r="BM93" i="80"/>
  <c r="BN93" i="80"/>
  <c r="BI94" i="80"/>
  <c r="BJ94" i="80"/>
  <c r="BK94" i="80"/>
  <c r="BL94" i="80"/>
  <c r="BM94" i="80"/>
  <c r="BN94" i="80"/>
  <c r="BI95" i="80"/>
  <c r="BJ95" i="80"/>
  <c r="BK95" i="80"/>
  <c r="BL95" i="80"/>
  <c r="BM95" i="80"/>
  <c r="BN95" i="80"/>
  <c r="BI96" i="80"/>
  <c r="BJ96" i="80"/>
  <c r="BK96" i="80"/>
  <c r="BL96" i="80"/>
  <c r="BM96" i="80"/>
  <c r="BN96" i="80"/>
  <c r="BI97" i="80"/>
  <c r="BJ97" i="80"/>
  <c r="BK97" i="80"/>
  <c r="BL97" i="80"/>
  <c r="BM97" i="80"/>
  <c r="BN97" i="80"/>
  <c r="BI98" i="80"/>
  <c r="BJ98" i="80"/>
  <c r="BK98" i="80"/>
  <c r="BL98" i="80"/>
  <c r="BM98" i="80"/>
  <c r="BN98" i="80"/>
  <c r="BI99" i="80"/>
  <c r="BJ99" i="80"/>
  <c r="BK99" i="80"/>
  <c r="BL99" i="80"/>
  <c r="BM99" i="80"/>
  <c r="BN99" i="80"/>
  <c r="BI100" i="80"/>
  <c r="BJ100" i="80"/>
  <c r="BK100" i="80"/>
  <c r="BL100" i="80"/>
  <c r="BM100" i="80"/>
  <c r="BN100" i="80"/>
  <c r="BI101" i="80"/>
  <c r="BJ101" i="80"/>
  <c r="BK101" i="80"/>
  <c r="BL101" i="80"/>
  <c r="BM101" i="80"/>
  <c r="BN101" i="80"/>
  <c r="BI102" i="80"/>
  <c r="BJ102" i="80"/>
  <c r="BK102" i="80"/>
  <c r="BL102" i="80"/>
  <c r="BM102" i="80"/>
  <c r="BN102" i="80"/>
  <c r="BI103" i="80"/>
  <c r="BJ103" i="80"/>
  <c r="BK103" i="80"/>
  <c r="BL103" i="80"/>
  <c r="BM103" i="80"/>
  <c r="BN103" i="80"/>
  <c r="BN4" i="80"/>
  <c r="BM4" i="80"/>
  <c r="BL4" i="80"/>
  <c r="BK4" i="80"/>
  <c r="BJ4" i="80"/>
  <c r="BI4" i="80"/>
  <c r="AZ5" i="80"/>
  <c r="BA5" i="80"/>
  <c r="BB5" i="80"/>
  <c r="BC5" i="80"/>
  <c r="BD5" i="80"/>
  <c r="BE5" i="80"/>
  <c r="AZ6" i="80"/>
  <c r="BA6" i="80"/>
  <c r="BB6" i="80"/>
  <c r="BC6" i="80"/>
  <c r="BD6" i="80"/>
  <c r="BE6" i="80"/>
  <c r="AZ7" i="80"/>
  <c r="BA7" i="80"/>
  <c r="BB7" i="80"/>
  <c r="BC7" i="80"/>
  <c r="BD7" i="80"/>
  <c r="BE7" i="80"/>
  <c r="AZ8" i="80"/>
  <c r="BA8" i="80"/>
  <c r="BB8" i="80"/>
  <c r="BC8" i="80"/>
  <c r="BD8" i="80"/>
  <c r="BE8" i="80"/>
  <c r="AZ9" i="80"/>
  <c r="BA9" i="80"/>
  <c r="BB9" i="80"/>
  <c r="BC9" i="80"/>
  <c r="BD9" i="80"/>
  <c r="BE9" i="80"/>
  <c r="AZ10" i="80"/>
  <c r="BA10" i="80"/>
  <c r="BB10" i="80"/>
  <c r="BC10" i="80"/>
  <c r="BD10" i="80"/>
  <c r="BE10" i="80"/>
  <c r="AZ11" i="80"/>
  <c r="BA11" i="80"/>
  <c r="BB11" i="80"/>
  <c r="BC11" i="80"/>
  <c r="BD11" i="80"/>
  <c r="BE11" i="80"/>
  <c r="AZ12" i="80"/>
  <c r="BA12" i="80"/>
  <c r="BB12" i="80"/>
  <c r="BC12" i="80"/>
  <c r="BD12" i="80"/>
  <c r="BE12" i="80"/>
  <c r="AZ13" i="80"/>
  <c r="BA13" i="80"/>
  <c r="BB13" i="80"/>
  <c r="BC13" i="80"/>
  <c r="BD13" i="80"/>
  <c r="BE13" i="80"/>
  <c r="AZ14" i="80"/>
  <c r="BA14" i="80"/>
  <c r="BB14" i="80"/>
  <c r="BC14" i="80"/>
  <c r="BD14" i="80"/>
  <c r="BE14" i="80"/>
  <c r="AZ15" i="80"/>
  <c r="BA15" i="80"/>
  <c r="BB15" i="80"/>
  <c r="BC15" i="80"/>
  <c r="BD15" i="80"/>
  <c r="BE15" i="80"/>
  <c r="AZ16" i="80"/>
  <c r="BA16" i="80"/>
  <c r="BB16" i="80"/>
  <c r="BC16" i="80"/>
  <c r="BD16" i="80"/>
  <c r="BE16" i="80"/>
  <c r="AZ17" i="80"/>
  <c r="BA17" i="80"/>
  <c r="BB17" i="80"/>
  <c r="BC17" i="80"/>
  <c r="BD17" i="80"/>
  <c r="BE17" i="80"/>
  <c r="AZ18" i="80"/>
  <c r="BA18" i="80"/>
  <c r="BB18" i="80"/>
  <c r="BC18" i="80"/>
  <c r="BD18" i="80"/>
  <c r="BE18" i="80"/>
  <c r="AZ19" i="80"/>
  <c r="BA19" i="80"/>
  <c r="BB19" i="80"/>
  <c r="BC19" i="80"/>
  <c r="BD19" i="80"/>
  <c r="BE19" i="80"/>
  <c r="AZ20" i="80"/>
  <c r="BA20" i="80"/>
  <c r="BB20" i="80"/>
  <c r="BC20" i="80"/>
  <c r="BD20" i="80"/>
  <c r="BE20" i="80"/>
  <c r="AZ21" i="80"/>
  <c r="BA21" i="80"/>
  <c r="BB21" i="80"/>
  <c r="BC21" i="80"/>
  <c r="BD21" i="80"/>
  <c r="BE21" i="80"/>
  <c r="AZ22" i="80"/>
  <c r="BA22" i="80"/>
  <c r="BB22" i="80"/>
  <c r="BC22" i="80"/>
  <c r="BD22" i="80"/>
  <c r="BE22" i="80"/>
  <c r="AZ23" i="80"/>
  <c r="BA23" i="80"/>
  <c r="BB23" i="80"/>
  <c r="BC23" i="80"/>
  <c r="BD23" i="80"/>
  <c r="BE23" i="80"/>
  <c r="AZ24" i="80"/>
  <c r="BA24" i="80"/>
  <c r="BB24" i="80"/>
  <c r="BC24" i="80"/>
  <c r="BD24" i="80"/>
  <c r="BE24" i="80"/>
  <c r="AZ25" i="80"/>
  <c r="BA25" i="80"/>
  <c r="BB25" i="80"/>
  <c r="BC25" i="80"/>
  <c r="BD25" i="80"/>
  <c r="BE25" i="80"/>
  <c r="AZ26" i="80"/>
  <c r="BA26" i="80"/>
  <c r="BB26" i="80"/>
  <c r="BC26" i="80"/>
  <c r="BD26" i="80"/>
  <c r="BE26" i="80"/>
  <c r="AZ27" i="80"/>
  <c r="BA27" i="80"/>
  <c r="BB27" i="80"/>
  <c r="BC27" i="80"/>
  <c r="BD27" i="80"/>
  <c r="BE27" i="80"/>
  <c r="AZ28" i="80"/>
  <c r="BA28" i="80"/>
  <c r="BB28" i="80"/>
  <c r="BC28" i="80"/>
  <c r="BD28" i="80"/>
  <c r="BE28" i="80"/>
  <c r="AZ29" i="80"/>
  <c r="BA29" i="80"/>
  <c r="BB29" i="80"/>
  <c r="BC29" i="80"/>
  <c r="BD29" i="80"/>
  <c r="BE29" i="80"/>
  <c r="AZ30" i="80"/>
  <c r="BA30" i="80"/>
  <c r="BB30" i="80"/>
  <c r="BC30" i="80"/>
  <c r="BD30" i="80"/>
  <c r="BE30" i="80"/>
  <c r="AZ31" i="80"/>
  <c r="BA31" i="80"/>
  <c r="BB31" i="80"/>
  <c r="BC31" i="80"/>
  <c r="BD31" i="80"/>
  <c r="BE31" i="80"/>
  <c r="AZ32" i="80"/>
  <c r="BA32" i="80"/>
  <c r="BB32" i="80"/>
  <c r="BC32" i="80"/>
  <c r="BD32" i="80"/>
  <c r="BE32" i="80"/>
  <c r="AZ33" i="80"/>
  <c r="BA33" i="80"/>
  <c r="BB33" i="80"/>
  <c r="BC33" i="80"/>
  <c r="BD33" i="80"/>
  <c r="BE33" i="80"/>
  <c r="AZ34" i="80"/>
  <c r="BA34" i="80"/>
  <c r="BB34" i="80"/>
  <c r="BC34" i="80"/>
  <c r="BD34" i="80"/>
  <c r="BE34" i="80"/>
  <c r="AZ35" i="80"/>
  <c r="BA35" i="80"/>
  <c r="BB35" i="80"/>
  <c r="BC35" i="80"/>
  <c r="BD35" i="80"/>
  <c r="BE35" i="80"/>
  <c r="AZ36" i="80"/>
  <c r="BA36" i="80"/>
  <c r="BB36" i="80"/>
  <c r="BC36" i="80"/>
  <c r="BD36" i="80"/>
  <c r="BE36" i="80"/>
  <c r="AZ37" i="80"/>
  <c r="BA37" i="80"/>
  <c r="BB37" i="80"/>
  <c r="BC37" i="80"/>
  <c r="BD37" i="80"/>
  <c r="BE37" i="80"/>
  <c r="AZ38" i="80"/>
  <c r="BA38" i="80"/>
  <c r="BB38" i="80"/>
  <c r="BC38" i="80"/>
  <c r="BD38" i="80"/>
  <c r="BE38" i="80"/>
  <c r="AZ39" i="80"/>
  <c r="BA39" i="80"/>
  <c r="BB39" i="80"/>
  <c r="BC39" i="80"/>
  <c r="BD39" i="80"/>
  <c r="BE39" i="80"/>
  <c r="AZ40" i="80"/>
  <c r="BA40" i="80"/>
  <c r="BB40" i="80"/>
  <c r="BC40" i="80"/>
  <c r="BD40" i="80"/>
  <c r="BE40" i="80"/>
  <c r="AZ41" i="80"/>
  <c r="BA41" i="80"/>
  <c r="BB41" i="80"/>
  <c r="BC41" i="80"/>
  <c r="BD41" i="80"/>
  <c r="BE41" i="80"/>
  <c r="AZ42" i="80"/>
  <c r="BA42" i="80"/>
  <c r="BB42" i="80"/>
  <c r="BC42" i="80"/>
  <c r="BD42" i="80"/>
  <c r="BE42" i="80"/>
  <c r="AZ43" i="80"/>
  <c r="BA43" i="80"/>
  <c r="BB43" i="80"/>
  <c r="BC43" i="80"/>
  <c r="BD43" i="80"/>
  <c r="BE43" i="80"/>
  <c r="AZ44" i="80"/>
  <c r="BA44" i="80"/>
  <c r="BB44" i="80"/>
  <c r="BC44" i="80"/>
  <c r="BD44" i="80"/>
  <c r="BE44" i="80"/>
  <c r="AZ45" i="80"/>
  <c r="BA45" i="80"/>
  <c r="BB45" i="80"/>
  <c r="BC45" i="80"/>
  <c r="BD45" i="80"/>
  <c r="BE45" i="80"/>
  <c r="AZ46" i="80"/>
  <c r="BA46" i="80"/>
  <c r="BB46" i="80"/>
  <c r="BC46" i="80"/>
  <c r="BD46" i="80"/>
  <c r="BE46" i="80"/>
  <c r="AZ47" i="80"/>
  <c r="BA47" i="80"/>
  <c r="BB47" i="80"/>
  <c r="BC47" i="80"/>
  <c r="BD47" i="80"/>
  <c r="BE47" i="80"/>
  <c r="AZ48" i="80"/>
  <c r="BA48" i="80"/>
  <c r="BB48" i="80"/>
  <c r="BC48" i="80"/>
  <c r="BD48" i="80"/>
  <c r="BE48" i="80"/>
  <c r="AZ49" i="80"/>
  <c r="BA49" i="80"/>
  <c r="BB49" i="80"/>
  <c r="BC49" i="80"/>
  <c r="BD49" i="80"/>
  <c r="BE49" i="80"/>
  <c r="AZ50" i="80"/>
  <c r="BA50" i="80"/>
  <c r="BB50" i="80"/>
  <c r="BC50" i="80"/>
  <c r="BD50" i="80"/>
  <c r="BE50" i="80"/>
  <c r="AZ51" i="80"/>
  <c r="BA51" i="80"/>
  <c r="BB51" i="80"/>
  <c r="BC51" i="80"/>
  <c r="BD51" i="80"/>
  <c r="BE51" i="80"/>
  <c r="AZ52" i="80"/>
  <c r="BA52" i="80"/>
  <c r="BB52" i="80"/>
  <c r="BC52" i="80"/>
  <c r="BD52" i="80"/>
  <c r="BE52" i="80"/>
  <c r="AZ53" i="80"/>
  <c r="BA53" i="80"/>
  <c r="BB53" i="80"/>
  <c r="BC53" i="80"/>
  <c r="BD53" i="80"/>
  <c r="BE53" i="80"/>
  <c r="AZ54" i="80"/>
  <c r="BA54" i="80"/>
  <c r="BB54" i="80"/>
  <c r="BC54" i="80"/>
  <c r="BD54" i="80"/>
  <c r="BE54" i="80"/>
  <c r="AZ55" i="80"/>
  <c r="BA55" i="80"/>
  <c r="BB55" i="80"/>
  <c r="BC55" i="80"/>
  <c r="BD55" i="80"/>
  <c r="BE55" i="80"/>
  <c r="AZ56" i="80"/>
  <c r="BA56" i="80"/>
  <c r="BB56" i="80"/>
  <c r="BC56" i="80"/>
  <c r="BD56" i="80"/>
  <c r="BE56" i="80"/>
  <c r="AZ57" i="80"/>
  <c r="BA57" i="80"/>
  <c r="BB57" i="80"/>
  <c r="BC57" i="80"/>
  <c r="BD57" i="80"/>
  <c r="BE57" i="80"/>
  <c r="AZ58" i="80"/>
  <c r="BA58" i="80"/>
  <c r="BB58" i="80"/>
  <c r="BC58" i="80"/>
  <c r="BD58" i="80"/>
  <c r="BE58" i="80"/>
  <c r="AZ59" i="80"/>
  <c r="BA59" i="80"/>
  <c r="BB59" i="80"/>
  <c r="BC59" i="80"/>
  <c r="BD59" i="80"/>
  <c r="BE59" i="80"/>
  <c r="AZ60" i="80"/>
  <c r="BA60" i="80"/>
  <c r="BB60" i="80"/>
  <c r="BC60" i="80"/>
  <c r="BD60" i="80"/>
  <c r="BE60" i="80"/>
  <c r="AZ61" i="80"/>
  <c r="BA61" i="80"/>
  <c r="BB61" i="80"/>
  <c r="BC61" i="80"/>
  <c r="BD61" i="80"/>
  <c r="BE61" i="80"/>
  <c r="AZ62" i="80"/>
  <c r="BA62" i="80"/>
  <c r="BB62" i="80"/>
  <c r="BC62" i="80"/>
  <c r="BD62" i="80"/>
  <c r="BE62" i="80"/>
  <c r="AZ63" i="80"/>
  <c r="BA63" i="80"/>
  <c r="BB63" i="80"/>
  <c r="BC63" i="80"/>
  <c r="BD63" i="80"/>
  <c r="BE63" i="80"/>
  <c r="AZ64" i="80"/>
  <c r="BA64" i="80"/>
  <c r="BB64" i="80"/>
  <c r="BC64" i="80"/>
  <c r="BD64" i="80"/>
  <c r="BE64" i="80"/>
  <c r="AZ65" i="80"/>
  <c r="BA65" i="80"/>
  <c r="BB65" i="80"/>
  <c r="BC65" i="80"/>
  <c r="BD65" i="80"/>
  <c r="BE65" i="80"/>
  <c r="AZ66" i="80"/>
  <c r="BA66" i="80"/>
  <c r="BB66" i="80"/>
  <c r="BC66" i="80"/>
  <c r="BD66" i="80"/>
  <c r="BE66" i="80"/>
  <c r="AZ67" i="80"/>
  <c r="BA67" i="80"/>
  <c r="BB67" i="80"/>
  <c r="BC67" i="80"/>
  <c r="BD67" i="80"/>
  <c r="BE67" i="80"/>
  <c r="AZ68" i="80"/>
  <c r="BA68" i="80"/>
  <c r="BB68" i="80"/>
  <c r="BC68" i="80"/>
  <c r="BD68" i="80"/>
  <c r="BE68" i="80"/>
  <c r="AZ69" i="80"/>
  <c r="BA69" i="80"/>
  <c r="BB69" i="80"/>
  <c r="BC69" i="80"/>
  <c r="BD69" i="80"/>
  <c r="BE69" i="80"/>
  <c r="AZ70" i="80"/>
  <c r="BA70" i="80"/>
  <c r="BB70" i="80"/>
  <c r="BC70" i="80"/>
  <c r="BD70" i="80"/>
  <c r="BE70" i="80"/>
  <c r="AZ71" i="80"/>
  <c r="BA71" i="80"/>
  <c r="BB71" i="80"/>
  <c r="BC71" i="80"/>
  <c r="BD71" i="80"/>
  <c r="BE71" i="80"/>
  <c r="AZ72" i="80"/>
  <c r="BA72" i="80"/>
  <c r="BB72" i="80"/>
  <c r="BC72" i="80"/>
  <c r="BD72" i="80"/>
  <c r="BE72" i="80"/>
  <c r="AZ73" i="80"/>
  <c r="BA73" i="80"/>
  <c r="BB73" i="80"/>
  <c r="BC73" i="80"/>
  <c r="BD73" i="80"/>
  <c r="BE73" i="80"/>
  <c r="AZ74" i="80"/>
  <c r="BA74" i="80"/>
  <c r="BB74" i="80"/>
  <c r="BC74" i="80"/>
  <c r="BD74" i="80"/>
  <c r="BE74" i="80"/>
  <c r="AZ75" i="80"/>
  <c r="BA75" i="80"/>
  <c r="BB75" i="80"/>
  <c r="BC75" i="80"/>
  <c r="BD75" i="80"/>
  <c r="BE75" i="80"/>
  <c r="AZ76" i="80"/>
  <c r="BA76" i="80"/>
  <c r="BB76" i="80"/>
  <c r="BC76" i="80"/>
  <c r="BD76" i="80"/>
  <c r="BE76" i="80"/>
  <c r="AZ77" i="80"/>
  <c r="BA77" i="80"/>
  <c r="BB77" i="80"/>
  <c r="BC77" i="80"/>
  <c r="BD77" i="80"/>
  <c r="BE77" i="80"/>
  <c r="AZ78" i="80"/>
  <c r="BA78" i="80"/>
  <c r="BB78" i="80"/>
  <c r="BC78" i="80"/>
  <c r="BD78" i="80"/>
  <c r="BE78" i="80"/>
  <c r="AZ79" i="80"/>
  <c r="BA79" i="80"/>
  <c r="BB79" i="80"/>
  <c r="BC79" i="80"/>
  <c r="BD79" i="80"/>
  <c r="BE79" i="80"/>
  <c r="AZ80" i="80"/>
  <c r="BA80" i="80"/>
  <c r="BB80" i="80"/>
  <c r="BC80" i="80"/>
  <c r="BD80" i="80"/>
  <c r="BE80" i="80"/>
  <c r="AZ81" i="80"/>
  <c r="BA81" i="80"/>
  <c r="BB81" i="80"/>
  <c r="BC81" i="80"/>
  <c r="BD81" i="80"/>
  <c r="BE81" i="80"/>
  <c r="AZ82" i="80"/>
  <c r="BA82" i="80"/>
  <c r="BB82" i="80"/>
  <c r="BC82" i="80"/>
  <c r="BD82" i="80"/>
  <c r="BE82" i="80"/>
  <c r="AZ83" i="80"/>
  <c r="BA83" i="80"/>
  <c r="BB83" i="80"/>
  <c r="BC83" i="80"/>
  <c r="BD83" i="80"/>
  <c r="BE83" i="80"/>
  <c r="AZ84" i="80"/>
  <c r="BA84" i="80"/>
  <c r="BB84" i="80"/>
  <c r="BC84" i="80"/>
  <c r="BD84" i="80"/>
  <c r="BE84" i="80"/>
  <c r="AZ85" i="80"/>
  <c r="BA85" i="80"/>
  <c r="BB85" i="80"/>
  <c r="BC85" i="80"/>
  <c r="BD85" i="80"/>
  <c r="BE85" i="80"/>
  <c r="AZ86" i="80"/>
  <c r="BA86" i="80"/>
  <c r="BB86" i="80"/>
  <c r="BC86" i="80"/>
  <c r="BD86" i="80"/>
  <c r="BE86" i="80"/>
  <c r="AZ87" i="80"/>
  <c r="BA87" i="80"/>
  <c r="BB87" i="80"/>
  <c r="BC87" i="80"/>
  <c r="BD87" i="80"/>
  <c r="BE87" i="80"/>
  <c r="AZ88" i="80"/>
  <c r="BA88" i="80"/>
  <c r="BB88" i="80"/>
  <c r="BC88" i="80"/>
  <c r="BD88" i="80"/>
  <c r="BE88" i="80"/>
  <c r="AZ89" i="80"/>
  <c r="BA89" i="80"/>
  <c r="BB89" i="80"/>
  <c r="BC89" i="80"/>
  <c r="BD89" i="80"/>
  <c r="BE89" i="80"/>
  <c r="AZ90" i="80"/>
  <c r="BA90" i="80"/>
  <c r="BB90" i="80"/>
  <c r="BC90" i="80"/>
  <c r="BD90" i="80"/>
  <c r="BE90" i="80"/>
  <c r="AZ91" i="80"/>
  <c r="BA91" i="80"/>
  <c r="BB91" i="80"/>
  <c r="BC91" i="80"/>
  <c r="BD91" i="80"/>
  <c r="BE91" i="80"/>
  <c r="AZ92" i="80"/>
  <c r="BA92" i="80"/>
  <c r="BB92" i="80"/>
  <c r="BC92" i="80"/>
  <c r="BD92" i="80"/>
  <c r="BE92" i="80"/>
  <c r="AZ93" i="80"/>
  <c r="BA93" i="80"/>
  <c r="BB93" i="80"/>
  <c r="BC93" i="80"/>
  <c r="BD93" i="80"/>
  <c r="BE93" i="80"/>
  <c r="AZ94" i="80"/>
  <c r="BA94" i="80"/>
  <c r="BB94" i="80"/>
  <c r="BC94" i="80"/>
  <c r="BD94" i="80"/>
  <c r="BE94" i="80"/>
  <c r="AZ95" i="80"/>
  <c r="BA95" i="80"/>
  <c r="BB95" i="80"/>
  <c r="BC95" i="80"/>
  <c r="BD95" i="80"/>
  <c r="BE95" i="80"/>
  <c r="AZ96" i="80"/>
  <c r="BA96" i="80"/>
  <c r="BB96" i="80"/>
  <c r="BC96" i="80"/>
  <c r="BD96" i="80"/>
  <c r="BE96" i="80"/>
  <c r="AZ97" i="80"/>
  <c r="BA97" i="80"/>
  <c r="BB97" i="80"/>
  <c r="BC97" i="80"/>
  <c r="BD97" i="80"/>
  <c r="BE97" i="80"/>
  <c r="AZ98" i="80"/>
  <c r="BA98" i="80"/>
  <c r="BB98" i="80"/>
  <c r="BC98" i="80"/>
  <c r="BD98" i="80"/>
  <c r="BE98" i="80"/>
  <c r="AZ99" i="80"/>
  <c r="BA99" i="80"/>
  <c r="BB99" i="80"/>
  <c r="BC99" i="80"/>
  <c r="BD99" i="80"/>
  <c r="BE99" i="80"/>
  <c r="AZ100" i="80"/>
  <c r="BA100" i="80"/>
  <c r="BB100" i="80"/>
  <c r="BC100" i="80"/>
  <c r="BD100" i="80"/>
  <c r="BE100" i="80"/>
  <c r="AZ101" i="80"/>
  <c r="BA101" i="80"/>
  <c r="BB101" i="80"/>
  <c r="BC101" i="80"/>
  <c r="BD101" i="80"/>
  <c r="BE101" i="80"/>
  <c r="AZ102" i="80"/>
  <c r="BA102" i="80"/>
  <c r="BB102" i="80"/>
  <c r="BC102" i="80"/>
  <c r="BD102" i="80"/>
  <c r="BE102" i="80"/>
  <c r="AZ103" i="80"/>
  <c r="BA103" i="80"/>
  <c r="BB103" i="80"/>
  <c r="BC103" i="80"/>
  <c r="BD103" i="80"/>
  <c r="BE103" i="80"/>
  <c r="AZ104" i="80"/>
  <c r="BA104" i="80"/>
  <c r="BB104" i="80"/>
  <c r="BC104" i="80"/>
  <c r="BD104" i="80"/>
  <c r="BE104" i="80"/>
  <c r="AZ105" i="80"/>
  <c r="BA105" i="80"/>
  <c r="BB105" i="80"/>
  <c r="BC105" i="80"/>
  <c r="BD105" i="80"/>
  <c r="BE105" i="80"/>
  <c r="AZ106" i="80"/>
  <c r="BA106" i="80"/>
  <c r="BB106" i="80"/>
  <c r="BC106" i="80"/>
  <c r="BD106" i="80"/>
  <c r="BE106" i="80"/>
  <c r="AZ107" i="80"/>
  <c r="BA107" i="80"/>
  <c r="BB107" i="80"/>
  <c r="BC107" i="80"/>
  <c r="BD107" i="80"/>
  <c r="BE107" i="80"/>
  <c r="AZ108" i="80"/>
  <c r="BA108" i="80"/>
  <c r="BB108" i="80"/>
  <c r="BC108" i="80"/>
  <c r="BD108" i="80"/>
  <c r="BE108" i="80"/>
  <c r="AZ109" i="80"/>
  <c r="BA109" i="80"/>
  <c r="BB109" i="80"/>
  <c r="BC109" i="80"/>
  <c r="BD109" i="80"/>
  <c r="BE109" i="80"/>
  <c r="AZ110" i="80"/>
  <c r="BA110" i="80"/>
  <c r="BB110" i="80"/>
  <c r="BC110" i="80"/>
  <c r="BD110" i="80"/>
  <c r="BE110" i="80"/>
  <c r="AZ111" i="80"/>
  <c r="BA111" i="80"/>
  <c r="BB111" i="80"/>
  <c r="BC111" i="80"/>
  <c r="BD111" i="80"/>
  <c r="BE111" i="80"/>
  <c r="AZ112" i="80"/>
  <c r="BA112" i="80"/>
  <c r="BB112" i="80"/>
  <c r="BC112" i="80"/>
  <c r="BD112" i="80"/>
  <c r="BE112" i="80"/>
  <c r="AZ113" i="80"/>
  <c r="BA113" i="80"/>
  <c r="BB113" i="80"/>
  <c r="BC113" i="80"/>
  <c r="BD113" i="80"/>
  <c r="BE113" i="80"/>
  <c r="AZ114" i="80"/>
  <c r="BA114" i="80"/>
  <c r="BB114" i="80"/>
  <c r="BC114" i="80"/>
  <c r="BD114" i="80"/>
  <c r="BE114" i="80"/>
  <c r="AZ115" i="80"/>
  <c r="BA115" i="80"/>
  <c r="BB115" i="80"/>
  <c r="BC115" i="80"/>
  <c r="BD115" i="80"/>
  <c r="BE115" i="80"/>
  <c r="AZ116" i="80"/>
  <c r="BA116" i="80"/>
  <c r="BB116" i="80"/>
  <c r="BC116" i="80"/>
  <c r="BD116" i="80"/>
  <c r="BE116" i="80"/>
  <c r="AZ117" i="80"/>
  <c r="BA117" i="80"/>
  <c r="BB117" i="80"/>
  <c r="BC117" i="80"/>
  <c r="BD117" i="80"/>
  <c r="BE117" i="80"/>
  <c r="AZ118" i="80"/>
  <c r="BA118" i="80"/>
  <c r="BB118" i="80"/>
  <c r="BC118" i="80"/>
  <c r="BD118" i="80"/>
  <c r="BE118" i="80"/>
  <c r="AZ119" i="80"/>
  <c r="BA119" i="80"/>
  <c r="BB119" i="80"/>
  <c r="BC119" i="80"/>
  <c r="BD119" i="80"/>
  <c r="BE119" i="80"/>
  <c r="AZ120" i="80"/>
  <c r="BA120" i="80"/>
  <c r="BB120" i="80"/>
  <c r="BC120" i="80"/>
  <c r="BD120" i="80"/>
  <c r="BE120" i="80"/>
  <c r="AZ121" i="80"/>
  <c r="BA121" i="80"/>
  <c r="BB121" i="80"/>
  <c r="BC121" i="80"/>
  <c r="BD121" i="80"/>
  <c r="BE121" i="80"/>
  <c r="AZ122" i="80"/>
  <c r="BA122" i="80"/>
  <c r="BB122" i="80"/>
  <c r="BC122" i="80"/>
  <c r="BD122" i="80"/>
  <c r="BE122" i="80"/>
  <c r="AZ123" i="80"/>
  <c r="BA123" i="80"/>
  <c r="BB123" i="80"/>
  <c r="BC123" i="80"/>
  <c r="BD123" i="80"/>
  <c r="BE123" i="80"/>
  <c r="AZ124" i="80"/>
  <c r="BA124" i="80"/>
  <c r="BB124" i="80"/>
  <c r="BC124" i="80"/>
  <c r="BD124" i="80"/>
  <c r="BE124" i="80"/>
  <c r="AZ125" i="80"/>
  <c r="BA125" i="80"/>
  <c r="BB125" i="80"/>
  <c r="BC125" i="80"/>
  <c r="BD125" i="80"/>
  <c r="BE125" i="80"/>
  <c r="AZ126" i="80"/>
  <c r="BA126" i="80"/>
  <c r="BB126" i="80"/>
  <c r="BC126" i="80"/>
  <c r="BD126" i="80"/>
  <c r="BE126" i="80"/>
  <c r="AZ127" i="80"/>
  <c r="BA127" i="80"/>
  <c r="BB127" i="80"/>
  <c r="BC127" i="80"/>
  <c r="BD127" i="80"/>
  <c r="BE127" i="80"/>
  <c r="AZ128" i="80"/>
  <c r="BA128" i="80"/>
  <c r="BB128" i="80"/>
  <c r="BC128" i="80"/>
  <c r="BD128" i="80"/>
  <c r="BE128" i="80"/>
  <c r="AZ129" i="80"/>
  <c r="BA129" i="80"/>
  <c r="BB129" i="80"/>
  <c r="BC129" i="80"/>
  <c r="BD129" i="80"/>
  <c r="BE129" i="80"/>
  <c r="AZ130" i="80"/>
  <c r="BA130" i="80"/>
  <c r="BB130" i="80"/>
  <c r="BC130" i="80"/>
  <c r="BD130" i="80"/>
  <c r="BE130" i="80"/>
  <c r="AZ131" i="80"/>
  <c r="BA131" i="80"/>
  <c r="BB131" i="80"/>
  <c r="BC131" i="80"/>
  <c r="BD131" i="80"/>
  <c r="BE131" i="80"/>
  <c r="AZ132" i="80"/>
  <c r="BA132" i="80"/>
  <c r="BB132" i="80"/>
  <c r="BC132" i="80"/>
  <c r="BD132" i="80"/>
  <c r="BE132" i="80"/>
  <c r="AZ133" i="80"/>
  <c r="BA133" i="80"/>
  <c r="BB133" i="80"/>
  <c r="BC133" i="80"/>
  <c r="BD133" i="80"/>
  <c r="BE133" i="80"/>
  <c r="AZ134" i="80"/>
  <c r="BA134" i="80"/>
  <c r="BB134" i="80"/>
  <c r="BC134" i="80"/>
  <c r="BD134" i="80"/>
  <c r="BE134" i="80"/>
  <c r="AZ135" i="80"/>
  <c r="BA135" i="80"/>
  <c r="BB135" i="80"/>
  <c r="BC135" i="80"/>
  <c r="BD135" i="80"/>
  <c r="BE135" i="80"/>
  <c r="AZ136" i="80"/>
  <c r="BA136" i="80"/>
  <c r="BB136" i="80"/>
  <c r="BC136" i="80"/>
  <c r="BD136" i="80"/>
  <c r="BE136" i="80"/>
  <c r="AZ137" i="80"/>
  <c r="BA137" i="80"/>
  <c r="BB137" i="80"/>
  <c r="BC137" i="80"/>
  <c r="BD137" i="80"/>
  <c r="BE137" i="80"/>
  <c r="AZ138" i="80"/>
  <c r="BA138" i="80"/>
  <c r="BB138" i="80"/>
  <c r="BC138" i="80"/>
  <c r="BD138" i="80"/>
  <c r="BE138" i="80"/>
  <c r="AZ139" i="80"/>
  <c r="BA139" i="80"/>
  <c r="BB139" i="80"/>
  <c r="BC139" i="80"/>
  <c r="BD139" i="80"/>
  <c r="BE139" i="80"/>
  <c r="AZ140" i="80"/>
  <c r="BA140" i="80"/>
  <c r="BB140" i="80"/>
  <c r="BC140" i="80"/>
  <c r="BD140" i="80"/>
  <c r="BE140" i="80"/>
  <c r="AZ141" i="80"/>
  <c r="BA141" i="80"/>
  <c r="BB141" i="80"/>
  <c r="BC141" i="80"/>
  <c r="BD141" i="80"/>
  <c r="BE141" i="80"/>
  <c r="AZ142" i="80"/>
  <c r="BA142" i="80"/>
  <c r="BB142" i="80"/>
  <c r="BC142" i="80"/>
  <c r="BD142" i="80"/>
  <c r="BE142" i="80"/>
  <c r="AZ143" i="80"/>
  <c r="BA143" i="80"/>
  <c r="BB143" i="80"/>
  <c r="BC143" i="80"/>
  <c r="BD143" i="80"/>
  <c r="BE143" i="80"/>
  <c r="AZ144" i="80"/>
  <c r="BA144" i="80"/>
  <c r="BB144" i="80"/>
  <c r="BC144" i="80"/>
  <c r="BD144" i="80"/>
  <c r="BE144" i="80"/>
  <c r="AZ145" i="80"/>
  <c r="BA145" i="80"/>
  <c r="BB145" i="80"/>
  <c r="BC145" i="80"/>
  <c r="BD145" i="80"/>
  <c r="BE145" i="80"/>
  <c r="AZ146" i="80"/>
  <c r="BA146" i="80"/>
  <c r="BB146" i="80"/>
  <c r="BC146" i="80"/>
  <c r="BD146" i="80"/>
  <c r="BE146" i="80"/>
  <c r="AZ147" i="80"/>
  <c r="BA147" i="80"/>
  <c r="BB147" i="80"/>
  <c r="BC147" i="80"/>
  <c r="BD147" i="80"/>
  <c r="BE147" i="80"/>
  <c r="AZ148" i="80"/>
  <c r="BA148" i="80"/>
  <c r="BB148" i="80"/>
  <c r="BC148" i="80"/>
  <c r="BD148" i="80"/>
  <c r="BE148" i="80"/>
  <c r="AZ149" i="80"/>
  <c r="BA149" i="80"/>
  <c r="BB149" i="80"/>
  <c r="BC149" i="80"/>
  <c r="BD149" i="80"/>
  <c r="BE149" i="80"/>
  <c r="AZ150" i="80"/>
  <c r="BA150" i="80"/>
  <c r="BB150" i="80"/>
  <c r="BC150" i="80"/>
  <c r="BD150" i="80"/>
  <c r="BE150" i="80"/>
  <c r="AZ151" i="80"/>
  <c r="BA151" i="80"/>
  <c r="BB151" i="80"/>
  <c r="BC151" i="80"/>
  <c r="BD151" i="80"/>
  <c r="BE151" i="80"/>
  <c r="AZ152" i="80"/>
  <c r="BA152" i="80"/>
  <c r="BB152" i="80"/>
  <c r="BC152" i="80"/>
  <c r="BD152" i="80"/>
  <c r="BE152" i="80"/>
  <c r="AZ153" i="80"/>
  <c r="BA153" i="80"/>
  <c r="BB153" i="80"/>
  <c r="BC153" i="80"/>
  <c r="BD153" i="80"/>
  <c r="BE153" i="80"/>
  <c r="AZ154" i="80"/>
  <c r="BA154" i="80"/>
  <c r="BB154" i="80"/>
  <c r="BC154" i="80"/>
  <c r="BD154" i="80"/>
  <c r="BE154" i="80"/>
  <c r="AZ155" i="80"/>
  <c r="BA155" i="80"/>
  <c r="BB155" i="80"/>
  <c r="BC155" i="80"/>
  <c r="BD155" i="80"/>
  <c r="BE155" i="80"/>
  <c r="AZ156" i="80"/>
  <c r="BA156" i="80"/>
  <c r="BB156" i="80"/>
  <c r="BC156" i="80"/>
  <c r="BD156" i="80"/>
  <c r="BE156" i="80"/>
  <c r="AZ157" i="80"/>
  <c r="BA157" i="80"/>
  <c r="BB157" i="80"/>
  <c r="BC157" i="80"/>
  <c r="BD157" i="80"/>
  <c r="BE157" i="80"/>
  <c r="AZ158" i="80"/>
  <c r="BA158" i="80"/>
  <c r="BB158" i="80"/>
  <c r="BC158" i="80"/>
  <c r="BD158" i="80"/>
  <c r="BE158" i="80"/>
  <c r="AZ159" i="80"/>
  <c r="BA159" i="80"/>
  <c r="BB159" i="80"/>
  <c r="BC159" i="80"/>
  <c r="BD159" i="80"/>
  <c r="BE159" i="80"/>
  <c r="AZ160" i="80"/>
  <c r="BA160" i="80"/>
  <c r="BB160" i="80"/>
  <c r="BC160" i="80"/>
  <c r="BD160" i="80"/>
  <c r="BE160" i="80"/>
  <c r="AZ161" i="80"/>
  <c r="BA161" i="80"/>
  <c r="BB161" i="80"/>
  <c r="BC161" i="80"/>
  <c r="BD161" i="80"/>
  <c r="BE161" i="80"/>
  <c r="AZ162" i="80"/>
  <c r="BA162" i="80"/>
  <c r="BB162" i="80"/>
  <c r="BC162" i="80"/>
  <c r="BD162" i="80"/>
  <c r="BE162" i="80"/>
  <c r="AZ163" i="80"/>
  <c r="BA163" i="80"/>
  <c r="BB163" i="80"/>
  <c r="BC163" i="80"/>
  <c r="BD163" i="80"/>
  <c r="BE163" i="80"/>
  <c r="AZ164" i="80"/>
  <c r="BA164" i="80"/>
  <c r="BB164" i="80"/>
  <c r="BC164" i="80"/>
  <c r="BD164" i="80"/>
  <c r="BE164" i="80"/>
  <c r="AZ165" i="80"/>
  <c r="BA165" i="80"/>
  <c r="BB165" i="80"/>
  <c r="BC165" i="80"/>
  <c r="BD165" i="80"/>
  <c r="BE165" i="80"/>
  <c r="AZ166" i="80"/>
  <c r="BA166" i="80"/>
  <c r="BB166" i="80"/>
  <c r="BC166" i="80"/>
  <c r="BD166" i="80"/>
  <c r="BE166" i="80"/>
  <c r="AZ167" i="80"/>
  <c r="BA167" i="80"/>
  <c r="BB167" i="80"/>
  <c r="BC167" i="80"/>
  <c r="BD167" i="80"/>
  <c r="BE167" i="80"/>
  <c r="AZ168" i="80"/>
  <c r="BA168" i="80"/>
  <c r="BB168" i="80"/>
  <c r="BC168" i="80"/>
  <c r="BD168" i="80"/>
  <c r="BE168" i="80"/>
  <c r="AZ169" i="80"/>
  <c r="BA169" i="80"/>
  <c r="BB169" i="80"/>
  <c r="BC169" i="80"/>
  <c r="BD169" i="80"/>
  <c r="BE169" i="80"/>
  <c r="AZ170" i="80"/>
  <c r="BA170" i="80"/>
  <c r="BB170" i="80"/>
  <c r="BC170" i="80"/>
  <c r="BD170" i="80"/>
  <c r="BE170" i="80"/>
  <c r="AZ171" i="80"/>
  <c r="BA171" i="80"/>
  <c r="BB171" i="80"/>
  <c r="BC171" i="80"/>
  <c r="BD171" i="80"/>
  <c r="BE171" i="80"/>
  <c r="AZ172" i="80"/>
  <c r="BA172" i="80"/>
  <c r="BB172" i="80"/>
  <c r="BC172" i="80"/>
  <c r="BD172" i="80"/>
  <c r="BE172" i="80"/>
  <c r="AZ173" i="80"/>
  <c r="BA173" i="80"/>
  <c r="BB173" i="80"/>
  <c r="BC173" i="80"/>
  <c r="BD173" i="80"/>
  <c r="BE173" i="80"/>
  <c r="AZ174" i="80"/>
  <c r="BA174" i="80"/>
  <c r="BB174" i="80"/>
  <c r="BC174" i="80"/>
  <c r="BD174" i="80"/>
  <c r="BE174" i="80"/>
  <c r="AZ175" i="80"/>
  <c r="BA175" i="80"/>
  <c r="BB175" i="80"/>
  <c r="BC175" i="80"/>
  <c r="BD175" i="80"/>
  <c r="BE175" i="80"/>
  <c r="AZ176" i="80"/>
  <c r="BA176" i="80"/>
  <c r="BB176" i="80"/>
  <c r="BC176" i="80"/>
  <c r="BD176" i="80"/>
  <c r="BE176" i="80"/>
  <c r="AZ177" i="80"/>
  <c r="BA177" i="80"/>
  <c r="BB177" i="80"/>
  <c r="BC177" i="80"/>
  <c r="BD177" i="80"/>
  <c r="BE177" i="80"/>
  <c r="AZ178" i="80"/>
  <c r="BA178" i="80"/>
  <c r="BB178" i="80"/>
  <c r="BC178" i="80"/>
  <c r="BD178" i="80"/>
  <c r="BE178" i="80"/>
  <c r="AZ179" i="80"/>
  <c r="BA179" i="80"/>
  <c r="BB179" i="80"/>
  <c r="BC179" i="80"/>
  <c r="BD179" i="80"/>
  <c r="BE179" i="80"/>
  <c r="AZ180" i="80"/>
  <c r="BA180" i="80"/>
  <c r="BB180" i="80"/>
  <c r="BC180" i="80"/>
  <c r="BD180" i="80"/>
  <c r="BE180" i="80"/>
  <c r="AZ181" i="80"/>
  <c r="BA181" i="80"/>
  <c r="BB181" i="80"/>
  <c r="BC181" i="80"/>
  <c r="BD181" i="80"/>
  <c r="BE181" i="80"/>
  <c r="AZ182" i="80"/>
  <c r="BA182" i="80"/>
  <c r="BB182" i="80"/>
  <c r="BC182" i="80"/>
  <c r="BD182" i="80"/>
  <c r="BE182" i="80"/>
  <c r="AZ183" i="80"/>
  <c r="BA183" i="80"/>
  <c r="BB183" i="80"/>
  <c r="BC183" i="80"/>
  <c r="BD183" i="80"/>
  <c r="BE183" i="80"/>
  <c r="AZ184" i="80"/>
  <c r="BA184" i="80"/>
  <c r="BB184" i="80"/>
  <c r="BC184" i="80"/>
  <c r="BD184" i="80"/>
  <c r="BE184" i="80"/>
  <c r="AZ185" i="80"/>
  <c r="BA185" i="80"/>
  <c r="BB185" i="80"/>
  <c r="BC185" i="80"/>
  <c r="BD185" i="80"/>
  <c r="BE185" i="80"/>
  <c r="AZ186" i="80"/>
  <c r="BA186" i="80"/>
  <c r="BB186" i="80"/>
  <c r="BC186" i="80"/>
  <c r="BD186" i="80"/>
  <c r="BE186" i="80"/>
  <c r="AZ187" i="80"/>
  <c r="BA187" i="80"/>
  <c r="BB187" i="80"/>
  <c r="BC187" i="80"/>
  <c r="BD187" i="80"/>
  <c r="BE187" i="80"/>
  <c r="AZ188" i="80"/>
  <c r="BA188" i="80"/>
  <c r="BB188" i="80"/>
  <c r="BC188" i="80"/>
  <c r="BD188" i="80"/>
  <c r="BE188" i="80"/>
  <c r="AZ189" i="80"/>
  <c r="BA189" i="80"/>
  <c r="BB189" i="80"/>
  <c r="BC189" i="80"/>
  <c r="BD189" i="80"/>
  <c r="BE189" i="80"/>
  <c r="AZ190" i="80"/>
  <c r="BA190" i="80"/>
  <c r="BB190" i="80"/>
  <c r="BC190" i="80"/>
  <c r="BD190" i="80"/>
  <c r="BE190" i="80"/>
  <c r="AZ191" i="80"/>
  <c r="BA191" i="80"/>
  <c r="BB191" i="80"/>
  <c r="BC191" i="80"/>
  <c r="BD191" i="80"/>
  <c r="BE191" i="80"/>
  <c r="AZ192" i="80"/>
  <c r="BA192" i="80"/>
  <c r="BB192" i="80"/>
  <c r="BC192" i="80"/>
  <c r="BD192" i="80"/>
  <c r="BE192" i="80"/>
  <c r="AZ193" i="80"/>
  <c r="BA193" i="80"/>
  <c r="BB193" i="80"/>
  <c r="BC193" i="80"/>
  <c r="BD193" i="80"/>
  <c r="BE193" i="80"/>
  <c r="AZ194" i="80"/>
  <c r="BA194" i="80"/>
  <c r="BB194" i="80"/>
  <c r="BC194" i="80"/>
  <c r="BD194" i="80"/>
  <c r="BE194" i="80"/>
  <c r="AZ195" i="80"/>
  <c r="BA195" i="80"/>
  <c r="BB195" i="80"/>
  <c r="BC195" i="80"/>
  <c r="BD195" i="80"/>
  <c r="BE195" i="80"/>
  <c r="AZ196" i="80"/>
  <c r="BA196" i="80"/>
  <c r="BB196" i="80"/>
  <c r="BC196" i="80"/>
  <c r="BD196" i="80"/>
  <c r="BE196" i="80"/>
  <c r="AZ197" i="80"/>
  <c r="BA197" i="80"/>
  <c r="BB197" i="80"/>
  <c r="BC197" i="80"/>
  <c r="BD197" i="80"/>
  <c r="BE197" i="80"/>
  <c r="AZ198" i="80"/>
  <c r="BA198" i="80"/>
  <c r="BB198" i="80"/>
  <c r="BC198" i="80"/>
  <c r="BD198" i="80"/>
  <c r="BE198" i="80"/>
  <c r="AZ199" i="80"/>
  <c r="BA199" i="80"/>
  <c r="BB199" i="80"/>
  <c r="BC199" i="80"/>
  <c r="BD199" i="80"/>
  <c r="BE199" i="80"/>
  <c r="AZ200" i="80"/>
  <c r="BA200" i="80"/>
  <c r="BB200" i="80"/>
  <c r="BC200" i="80"/>
  <c r="BD200" i="80"/>
  <c r="BE200" i="80"/>
  <c r="AZ201" i="80"/>
  <c r="BA201" i="80"/>
  <c r="BB201" i="80"/>
  <c r="BC201" i="80"/>
  <c r="BD201" i="80"/>
  <c r="BE201" i="80"/>
  <c r="AZ202" i="80"/>
  <c r="BA202" i="80"/>
  <c r="BB202" i="80"/>
  <c r="BC202" i="80"/>
  <c r="BD202" i="80"/>
  <c r="BE202" i="80"/>
  <c r="AZ203" i="80"/>
  <c r="BA203" i="80"/>
  <c r="BB203" i="80"/>
  <c r="BC203" i="80"/>
  <c r="BD203" i="80"/>
  <c r="BE203" i="80"/>
  <c r="AZ204" i="80"/>
  <c r="BA204" i="80"/>
  <c r="BB204" i="80"/>
  <c r="BC204" i="80"/>
  <c r="BD204" i="80"/>
  <c r="BE204" i="80"/>
  <c r="AZ205" i="80"/>
  <c r="BA205" i="80"/>
  <c r="BB205" i="80"/>
  <c r="BC205" i="80"/>
  <c r="BD205" i="80"/>
  <c r="BE205" i="80"/>
  <c r="AZ206" i="80"/>
  <c r="BA206" i="80"/>
  <c r="BB206" i="80"/>
  <c r="BC206" i="80"/>
  <c r="BD206" i="80"/>
  <c r="BE206" i="80"/>
  <c r="AZ207" i="80"/>
  <c r="BA207" i="80"/>
  <c r="BB207" i="80"/>
  <c r="BC207" i="80"/>
  <c r="BD207" i="80"/>
  <c r="BE207" i="80"/>
  <c r="AZ208" i="80"/>
  <c r="BA208" i="80"/>
  <c r="BB208" i="80"/>
  <c r="BC208" i="80"/>
  <c r="BD208" i="80"/>
  <c r="BE208" i="80"/>
  <c r="AZ209" i="80"/>
  <c r="BA209" i="80"/>
  <c r="BB209" i="80"/>
  <c r="BC209" i="80"/>
  <c r="BD209" i="80"/>
  <c r="BE209" i="80"/>
  <c r="AZ210" i="80"/>
  <c r="BA210" i="80"/>
  <c r="BB210" i="80"/>
  <c r="BC210" i="80"/>
  <c r="BD210" i="80"/>
  <c r="BE210" i="80"/>
  <c r="AZ211" i="80"/>
  <c r="BA211" i="80"/>
  <c r="BB211" i="80"/>
  <c r="BC211" i="80"/>
  <c r="BD211" i="80"/>
  <c r="BE211" i="80"/>
  <c r="AZ212" i="80"/>
  <c r="BA212" i="80"/>
  <c r="BB212" i="80"/>
  <c r="BC212" i="80"/>
  <c r="BD212" i="80"/>
  <c r="BE212" i="80"/>
  <c r="AZ213" i="80"/>
  <c r="BA213" i="80"/>
  <c r="BB213" i="80"/>
  <c r="BC213" i="80"/>
  <c r="BD213" i="80"/>
  <c r="BE213" i="80"/>
  <c r="AZ214" i="80"/>
  <c r="BA214" i="80"/>
  <c r="BB214" i="80"/>
  <c r="BC214" i="80"/>
  <c r="BD214" i="80"/>
  <c r="BE214" i="80"/>
  <c r="AZ215" i="80"/>
  <c r="BA215" i="80"/>
  <c r="BB215" i="80"/>
  <c r="BC215" i="80"/>
  <c r="BD215" i="80"/>
  <c r="BE215" i="80"/>
  <c r="AZ216" i="80"/>
  <c r="BA216" i="80"/>
  <c r="BB216" i="80"/>
  <c r="BC216" i="80"/>
  <c r="BD216" i="80"/>
  <c r="BE216" i="80"/>
  <c r="AZ217" i="80"/>
  <c r="BA217" i="80"/>
  <c r="BB217" i="80"/>
  <c r="BC217" i="80"/>
  <c r="BD217" i="80"/>
  <c r="BE217" i="80"/>
  <c r="AZ218" i="80"/>
  <c r="BA218" i="80"/>
  <c r="BB218" i="80"/>
  <c r="BC218" i="80"/>
  <c r="BD218" i="80"/>
  <c r="BE218" i="80"/>
  <c r="AZ219" i="80"/>
  <c r="BA219" i="80"/>
  <c r="BB219" i="80"/>
  <c r="BC219" i="80"/>
  <c r="BD219" i="80"/>
  <c r="BE219" i="80"/>
  <c r="AZ220" i="80"/>
  <c r="BA220" i="80"/>
  <c r="BB220" i="80"/>
  <c r="BC220" i="80"/>
  <c r="BD220" i="80"/>
  <c r="BE220" i="80"/>
  <c r="AZ221" i="80"/>
  <c r="BA221" i="80"/>
  <c r="BB221" i="80"/>
  <c r="BC221" i="80"/>
  <c r="BD221" i="80"/>
  <c r="BE221" i="80"/>
  <c r="AZ222" i="80"/>
  <c r="BA222" i="80"/>
  <c r="BB222" i="80"/>
  <c r="BC222" i="80"/>
  <c r="BD222" i="80"/>
  <c r="BE222" i="80"/>
  <c r="AZ223" i="80"/>
  <c r="BA223" i="80"/>
  <c r="BB223" i="80"/>
  <c r="BC223" i="80"/>
  <c r="BD223" i="80"/>
  <c r="BE223" i="80"/>
  <c r="AZ224" i="80"/>
  <c r="BA224" i="80"/>
  <c r="BB224" i="80"/>
  <c r="BC224" i="80"/>
  <c r="BD224" i="80"/>
  <c r="BE224" i="80"/>
  <c r="AZ225" i="80"/>
  <c r="BA225" i="80"/>
  <c r="BB225" i="80"/>
  <c r="BC225" i="80"/>
  <c r="BD225" i="80"/>
  <c r="BE225" i="80"/>
  <c r="AZ226" i="80"/>
  <c r="BA226" i="80"/>
  <c r="BB226" i="80"/>
  <c r="BC226" i="80"/>
  <c r="BD226" i="80"/>
  <c r="BE226" i="80"/>
  <c r="AZ227" i="80"/>
  <c r="BA227" i="80"/>
  <c r="BB227" i="80"/>
  <c r="BC227" i="80"/>
  <c r="BD227" i="80"/>
  <c r="BE227" i="80"/>
  <c r="AZ228" i="80"/>
  <c r="BA228" i="80"/>
  <c r="BB228" i="80"/>
  <c r="BC228" i="80"/>
  <c r="BD228" i="80"/>
  <c r="BE228" i="80"/>
  <c r="AZ229" i="80"/>
  <c r="BA229" i="80"/>
  <c r="BB229" i="80"/>
  <c r="BC229" i="80"/>
  <c r="BD229" i="80"/>
  <c r="BE229" i="80"/>
  <c r="AZ230" i="80"/>
  <c r="BA230" i="80"/>
  <c r="BB230" i="80"/>
  <c r="BC230" i="80"/>
  <c r="BD230" i="80"/>
  <c r="BE230" i="80"/>
  <c r="AZ231" i="80"/>
  <c r="BA231" i="80"/>
  <c r="BB231" i="80"/>
  <c r="BC231" i="80"/>
  <c r="BD231" i="80"/>
  <c r="BE231" i="80"/>
  <c r="AZ232" i="80"/>
  <c r="BA232" i="80"/>
  <c r="BB232" i="80"/>
  <c r="BC232" i="80"/>
  <c r="BD232" i="80"/>
  <c r="BE232" i="80"/>
  <c r="AZ233" i="80"/>
  <c r="BA233" i="80"/>
  <c r="BB233" i="80"/>
  <c r="BC233" i="80"/>
  <c r="BD233" i="80"/>
  <c r="BE233" i="80"/>
  <c r="AZ234" i="80"/>
  <c r="BA234" i="80"/>
  <c r="BB234" i="80"/>
  <c r="BC234" i="80"/>
  <c r="BD234" i="80"/>
  <c r="BE234" i="80"/>
  <c r="AZ235" i="80"/>
  <c r="BA235" i="80"/>
  <c r="BB235" i="80"/>
  <c r="BC235" i="80"/>
  <c r="BD235" i="80"/>
  <c r="BE235" i="80"/>
  <c r="AZ236" i="80"/>
  <c r="BA236" i="80"/>
  <c r="BB236" i="80"/>
  <c r="BC236" i="80"/>
  <c r="BD236" i="80"/>
  <c r="BE236" i="80"/>
  <c r="AZ237" i="80"/>
  <c r="BA237" i="80"/>
  <c r="BB237" i="80"/>
  <c r="BC237" i="80"/>
  <c r="BD237" i="80"/>
  <c r="BE237" i="80"/>
  <c r="AZ238" i="80"/>
  <c r="BA238" i="80"/>
  <c r="BB238" i="80"/>
  <c r="BC238" i="80"/>
  <c r="BD238" i="80"/>
  <c r="BE238" i="80"/>
  <c r="AZ239" i="80"/>
  <c r="BA239" i="80"/>
  <c r="BB239" i="80"/>
  <c r="BC239" i="80"/>
  <c r="BD239" i="80"/>
  <c r="BE239" i="80"/>
  <c r="AZ240" i="80"/>
  <c r="BA240" i="80"/>
  <c r="BB240" i="80"/>
  <c r="BC240" i="80"/>
  <c r="BD240" i="80"/>
  <c r="BE240" i="80"/>
  <c r="AZ241" i="80"/>
  <c r="BA241" i="80"/>
  <c r="BB241" i="80"/>
  <c r="BC241" i="80"/>
  <c r="BD241" i="80"/>
  <c r="BE241" i="80"/>
  <c r="AZ242" i="80"/>
  <c r="BA242" i="80"/>
  <c r="BB242" i="80"/>
  <c r="BC242" i="80"/>
  <c r="BD242" i="80"/>
  <c r="BE242" i="80"/>
  <c r="AZ243" i="80"/>
  <c r="BA243" i="80"/>
  <c r="BB243" i="80"/>
  <c r="BC243" i="80"/>
  <c r="BD243" i="80"/>
  <c r="BE243" i="80"/>
  <c r="AZ244" i="80"/>
  <c r="BA244" i="80"/>
  <c r="BB244" i="80"/>
  <c r="BC244" i="80"/>
  <c r="BD244" i="80"/>
  <c r="BE244" i="80"/>
  <c r="AZ245" i="80"/>
  <c r="BA245" i="80"/>
  <c r="BB245" i="80"/>
  <c r="BC245" i="80"/>
  <c r="BD245" i="80"/>
  <c r="BE245" i="80"/>
  <c r="AZ246" i="80"/>
  <c r="BA246" i="80"/>
  <c r="BB246" i="80"/>
  <c r="BC246" i="80"/>
  <c r="BD246" i="80"/>
  <c r="BE246" i="80"/>
  <c r="AZ247" i="80"/>
  <c r="BA247" i="80"/>
  <c r="BB247" i="80"/>
  <c r="BC247" i="80"/>
  <c r="BD247" i="80"/>
  <c r="BE247" i="80"/>
  <c r="AZ248" i="80"/>
  <c r="BA248" i="80"/>
  <c r="BB248" i="80"/>
  <c r="BC248" i="80"/>
  <c r="BD248" i="80"/>
  <c r="BE248" i="80"/>
  <c r="AZ249" i="80"/>
  <c r="BA249" i="80"/>
  <c r="BB249" i="80"/>
  <c r="BC249" i="80"/>
  <c r="BD249" i="80"/>
  <c r="BE249" i="80"/>
  <c r="AZ250" i="80"/>
  <c r="BA250" i="80"/>
  <c r="BB250" i="80"/>
  <c r="BC250" i="80"/>
  <c r="BD250" i="80"/>
  <c r="BE250" i="80"/>
  <c r="AZ251" i="80"/>
  <c r="BA251" i="80"/>
  <c r="BB251" i="80"/>
  <c r="BC251" i="80"/>
  <c r="BD251" i="80"/>
  <c r="BE251" i="80"/>
  <c r="AZ252" i="80"/>
  <c r="BA252" i="80"/>
  <c r="BB252" i="80"/>
  <c r="BC252" i="80"/>
  <c r="BD252" i="80"/>
  <c r="BE252" i="80"/>
  <c r="AZ253" i="80"/>
  <c r="BA253" i="80"/>
  <c r="BB253" i="80"/>
  <c r="BC253" i="80"/>
  <c r="BD253" i="80"/>
  <c r="BE253" i="80"/>
  <c r="AZ254" i="80"/>
  <c r="BA254" i="80"/>
  <c r="BB254" i="80"/>
  <c r="BC254" i="80"/>
  <c r="BD254" i="80"/>
  <c r="BE254" i="80"/>
  <c r="AZ255" i="80"/>
  <c r="BA255" i="80"/>
  <c r="BB255" i="80"/>
  <c r="BC255" i="80"/>
  <c r="BD255" i="80"/>
  <c r="BE255" i="80"/>
  <c r="AZ256" i="80"/>
  <c r="BA256" i="80"/>
  <c r="BB256" i="80"/>
  <c r="BC256" i="80"/>
  <c r="BD256" i="80"/>
  <c r="BE256" i="80"/>
  <c r="AZ257" i="80"/>
  <c r="BA257" i="80"/>
  <c r="BB257" i="80"/>
  <c r="BC257" i="80"/>
  <c r="BD257" i="80"/>
  <c r="BE257" i="80"/>
  <c r="AZ258" i="80"/>
  <c r="BA258" i="80"/>
  <c r="BB258" i="80"/>
  <c r="BC258" i="80"/>
  <c r="BD258" i="80"/>
  <c r="BE258" i="80"/>
  <c r="AZ259" i="80"/>
  <c r="BA259" i="80"/>
  <c r="BB259" i="80"/>
  <c r="BC259" i="80"/>
  <c r="BD259" i="80"/>
  <c r="BE259" i="80"/>
  <c r="AZ260" i="80"/>
  <c r="BA260" i="80"/>
  <c r="BB260" i="80"/>
  <c r="BC260" i="80"/>
  <c r="BD260" i="80"/>
  <c r="BE260" i="80"/>
  <c r="AZ261" i="80"/>
  <c r="BA261" i="80"/>
  <c r="BB261" i="80"/>
  <c r="BC261" i="80"/>
  <c r="BD261" i="80"/>
  <c r="BE261" i="80"/>
  <c r="AZ262" i="80"/>
  <c r="BA262" i="80"/>
  <c r="BB262" i="80"/>
  <c r="BC262" i="80"/>
  <c r="BD262" i="80"/>
  <c r="BE262" i="80"/>
  <c r="AZ263" i="80"/>
  <c r="BA263" i="80"/>
  <c r="BB263" i="80"/>
  <c r="BC263" i="80"/>
  <c r="BD263" i="80"/>
  <c r="BE263" i="80"/>
  <c r="AZ264" i="80"/>
  <c r="BA264" i="80"/>
  <c r="BB264" i="80"/>
  <c r="BC264" i="80"/>
  <c r="BD264" i="80"/>
  <c r="BE264" i="80"/>
  <c r="AZ265" i="80"/>
  <c r="BA265" i="80"/>
  <c r="BB265" i="80"/>
  <c r="BC265" i="80"/>
  <c r="BD265" i="80"/>
  <c r="BE265" i="80"/>
  <c r="AZ266" i="80"/>
  <c r="BA266" i="80"/>
  <c r="BB266" i="80"/>
  <c r="BC266" i="80"/>
  <c r="BD266" i="80"/>
  <c r="BE266" i="80"/>
  <c r="AZ267" i="80"/>
  <c r="BA267" i="80"/>
  <c r="BB267" i="80"/>
  <c r="BC267" i="80"/>
  <c r="BD267" i="80"/>
  <c r="BE267" i="80"/>
  <c r="AZ268" i="80"/>
  <c r="BA268" i="80"/>
  <c r="BB268" i="80"/>
  <c r="BC268" i="80"/>
  <c r="BD268" i="80"/>
  <c r="BE268" i="80"/>
  <c r="AZ269" i="80"/>
  <c r="BA269" i="80"/>
  <c r="BB269" i="80"/>
  <c r="BC269" i="80"/>
  <c r="BD269" i="80"/>
  <c r="BE269" i="80"/>
  <c r="AZ270" i="80"/>
  <c r="BA270" i="80"/>
  <c r="BB270" i="80"/>
  <c r="BC270" i="80"/>
  <c r="BD270" i="80"/>
  <c r="BE270" i="80"/>
  <c r="AZ271" i="80"/>
  <c r="BA271" i="80"/>
  <c r="BB271" i="80"/>
  <c r="BC271" i="80"/>
  <c r="BD271" i="80"/>
  <c r="BE271" i="80"/>
  <c r="AZ272" i="80"/>
  <c r="BA272" i="80"/>
  <c r="BB272" i="80"/>
  <c r="BC272" i="80"/>
  <c r="BD272" i="80"/>
  <c r="BE272" i="80"/>
  <c r="AZ273" i="80"/>
  <c r="BA273" i="80"/>
  <c r="BB273" i="80"/>
  <c r="BC273" i="80"/>
  <c r="BD273" i="80"/>
  <c r="BE273" i="80"/>
  <c r="AZ274" i="80"/>
  <c r="BA274" i="80"/>
  <c r="BB274" i="80"/>
  <c r="BC274" i="80"/>
  <c r="BD274" i="80"/>
  <c r="BE274" i="80"/>
  <c r="AZ275" i="80"/>
  <c r="BA275" i="80"/>
  <c r="BB275" i="80"/>
  <c r="BC275" i="80"/>
  <c r="BD275" i="80"/>
  <c r="BE275" i="80"/>
  <c r="AZ276" i="80"/>
  <c r="BA276" i="80"/>
  <c r="BB276" i="80"/>
  <c r="BC276" i="80"/>
  <c r="BD276" i="80"/>
  <c r="BE276" i="80"/>
  <c r="AZ277" i="80"/>
  <c r="BA277" i="80"/>
  <c r="BB277" i="80"/>
  <c r="BC277" i="80"/>
  <c r="BD277" i="80"/>
  <c r="BE277" i="80"/>
  <c r="AZ278" i="80"/>
  <c r="BA278" i="80"/>
  <c r="BB278" i="80"/>
  <c r="BC278" i="80"/>
  <c r="BD278" i="80"/>
  <c r="BE278" i="80"/>
  <c r="AZ279" i="80"/>
  <c r="BA279" i="80"/>
  <c r="BB279" i="80"/>
  <c r="BC279" i="80"/>
  <c r="BD279" i="80"/>
  <c r="BE279" i="80"/>
  <c r="AZ280" i="80"/>
  <c r="BA280" i="80"/>
  <c r="BB280" i="80"/>
  <c r="BC280" i="80"/>
  <c r="BD280" i="80"/>
  <c r="BE280" i="80"/>
  <c r="AZ281" i="80"/>
  <c r="BA281" i="80"/>
  <c r="BB281" i="80"/>
  <c r="BC281" i="80"/>
  <c r="BD281" i="80"/>
  <c r="BE281" i="80"/>
  <c r="AZ282" i="80"/>
  <c r="BA282" i="80"/>
  <c r="BB282" i="80"/>
  <c r="BC282" i="80"/>
  <c r="BD282" i="80"/>
  <c r="BE282" i="80"/>
  <c r="AZ283" i="80"/>
  <c r="BA283" i="80"/>
  <c r="BB283" i="80"/>
  <c r="BC283" i="80"/>
  <c r="BD283" i="80"/>
  <c r="BE283" i="80"/>
  <c r="AZ284" i="80"/>
  <c r="BA284" i="80"/>
  <c r="BB284" i="80"/>
  <c r="BC284" i="80"/>
  <c r="BD284" i="80"/>
  <c r="BE284" i="80"/>
  <c r="AZ285" i="80"/>
  <c r="BA285" i="80"/>
  <c r="BB285" i="80"/>
  <c r="BC285" i="80"/>
  <c r="BD285" i="80"/>
  <c r="BE285" i="80"/>
  <c r="AZ286" i="80"/>
  <c r="BA286" i="80"/>
  <c r="BB286" i="80"/>
  <c r="BC286" i="80"/>
  <c r="BD286" i="80"/>
  <c r="BE286" i="80"/>
  <c r="AZ287" i="80"/>
  <c r="BA287" i="80"/>
  <c r="BB287" i="80"/>
  <c r="BC287" i="80"/>
  <c r="BD287" i="80"/>
  <c r="BE287" i="80"/>
  <c r="AZ288" i="80"/>
  <c r="BA288" i="80"/>
  <c r="BB288" i="80"/>
  <c r="BC288" i="80"/>
  <c r="BD288" i="80"/>
  <c r="BE288" i="80"/>
  <c r="AZ289" i="80"/>
  <c r="BA289" i="80"/>
  <c r="BB289" i="80"/>
  <c r="BC289" i="80"/>
  <c r="BD289" i="80"/>
  <c r="BE289" i="80"/>
  <c r="AZ290" i="80"/>
  <c r="BA290" i="80"/>
  <c r="BB290" i="80"/>
  <c r="BC290" i="80"/>
  <c r="BD290" i="80"/>
  <c r="BE290" i="80"/>
  <c r="AZ291" i="80"/>
  <c r="BA291" i="80"/>
  <c r="BB291" i="80"/>
  <c r="BC291" i="80"/>
  <c r="BD291" i="80"/>
  <c r="BE291" i="80"/>
  <c r="AZ292" i="80"/>
  <c r="BA292" i="80"/>
  <c r="BB292" i="80"/>
  <c r="BC292" i="80"/>
  <c r="BD292" i="80"/>
  <c r="BE292" i="80"/>
  <c r="AZ293" i="80"/>
  <c r="BA293" i="80"/>
  <c r="BB293" i="80"/>
  <c r="BC293" i="80"/>
  <c r="BD293" i="80"/>
  <c r="BE293" i="80"/>
  <c r="AZ294" i="80"/>
  <c r="BA294" i="80"/>
  <c r="BB294" i="80"/>
  <c r="BC294" i="80"/>
  <c r="BD294" i="80"/>
  <c r="BE294" i="80"/>
  <c r="AZ295" i="80"/>
  <c r="BA295" i="80"/>
  <c r="BB295" i="80"/>
  <c r="BC295" i="80"/>
  <c r="BD295" i="80"/>
  <c r="BE295" i="80"/>
  <c r="AZ296" i="80"/>
  <c r="BA296" i="80"/>
  <c r="BB296" i="80"/>
  <c r="BC296" i="80"/>
  <c r="BD296" i="80"/>
  <c r="BE296" i="80"/>
  <c r="AZ297" i="80"/>
  <c r="BA297" i="80"/>
  <c r="BB297" i="80"/>
  <c r="BC297" i="80"/>
  <c r="BD297" i="80"/>
  <c r="BE297" i="80"/>
  <c r="AZ298" i="80"/>
  <c r="BA298" i="80"/>
  <c r="BB298" i="80"/>
  <c r="BC298" i="80"/>
  <c r="BD298" i="80"/>
  <c r="BE298" i="80"/>
  <c r="AZ299" i="80"/>
  <c r="BA299" i="80"/>
  <c r="BB299" i="80"/>
  <c r="BC299" i="80"/>
  <c r="BD299" i="80"/>
  <c r="BE299" i="80"/>
  <c r="AZ300" i="80"/>
  <c r="BA300" i="80"/>
  <c r="BB300" i="80"/>
  <c r="BC300" i="80"/>
  <c r="BD300" i="80"/>
  <c r="BE300" i="80"/>
  <c r="AZ301" i="80"/>
  <c r="BA301" i="80"/>
  <c r="BB301" i="80"/>
  <c r="BC301" i="80"/>
  <c r="BD301" i="80"/>
  <c r="BE301" i="80"/>
  <c r="AZ302" i="80"/>
  <c r="BA302" i="80"/>
  <c r="BB302" i="80"/>
  <c r="BC302" i="80"/>
  <c r="BD302" i="80"/>
  <c r="BE302" i="80"/>
  <c r="AZ303" i="80"/>
  <c r="BA303" i="80"/>
  <c r="BB303" i="80"/>
  <c r="BC303" i="80"/>
  <c r="BD303" i="80"/>
  <c r="BE303" i="80"/>
  <c r="AZ304" i="80"/>
  <c r="BA304" i="80"/>
  <c r="BB304" i="80"/>
  <c r="BC304" i="80"/>
  <c r="BD304" i="80"/>
  <c r="BE304" i="80"/>
  <c r="AZ305" i="80"/>
  <c r="BA305" i="80"/>
  <c r="BB305" i="80"/>
  <c r="BC305" i="80"/>
  <c r="BD305" i="80"/>
  <c r="BE305" i="80"/>
  <c r="AZ306" i="80"/>
  <c r="BA306" i="80"/>
  <c r="BB306" i="80"/>
  <c r="BC306" i="80"/>
  <c r="BD306" i="80"/>
  <c r="BE306" i="80"/>
  <c r="AZ307" i="80"/>
  <c r="BA307" i="80"/>
  <c r="BB307" i="80"/>
  <c r="BC307" i="80"/>
  <c r="BD307" i="80"/>
  <c r="BE307" i="80"/>
  <c r="AZ308" i="80"/>
  <c r="BA308" i="80"/>
  <c r="BB308" i="80"/>
  <c r="BC308" i="80"/>
  <c r="BD308" i="80"/>
  <c r="BE308" i="80"/>
  <c r="AZ309" i="80"/>
  <c r="BA309" i="80"/>
  <c r="BB309" i="80"/>
  <c r="BC309" i="80"/>
  <c r="BD309" i="80"/>
  <c r="BE309" i="80"/>
  <c r="AZ310" i="80"/>
  <c r="BA310" i="80"/>
  <c r="BB310" i="80"/>
  <c r="BC310" i="80"/>
  <c r="BD310" i="80"/>
  <c r="BE310" i="80"/>
  <c r="AZ311" i="80"/>
  <c r="BA311" i="80"/>
  <c r="BB311" i="80"/>
  <c r="BC311" i="80"/>
  <c r="BD311" i="80"/>
  <c r="BE311" i="80"/>
  <c r="AZ312" i="80"/>
  <c r="BA312" i="80"/>
  <c r="BB312" i="80"/>
  <c r="BC312" i="80"/>
  <c r="BD312" i="80"/>
  <c r="BE312" i="80"/>
  <c r="AZ313" i="80"/>
  <c r="BA313" i="80"/>
  <c r="BB313" i="80"/>
  <c r="BC313" i="80"/>
  <c r="BD313" i="80"/>
  <c r="BE313" i="80"/>
  <c r="AZ314" i="80"/>
  <c r="BA314" i="80"/>
  <c r="BB314" i="80"/>
  <c r="BC314" i="80"/>
  <c r="BD314" i="80"/>
  <c r="BE314" i="80"/>
  <c r="AZ315" i="80"/>
  <c r="BA315" i="80"/>
  <c r="BB315" i="80"/>
  <c r="BC315" i="80"/>
  <c r="BD315" i="80"/>
  <c r="BE315" i="80"/>
  <c r="AZ316" i="80"/>
  <c r="BA316" i="80"/>
  <c r="BB316" i="80"/>
  <c r="BC316" i="80"/>
  <c r="BD316" i="80"/>
  <c r="BE316" i="80"/>
  <c r="AZ317" i="80"/>
  <c r="BA317" i="80"/>
  <c r="BB317" i="80"/>
  <c r="BC317" i="80"/>
  <c r="BD317" i="80"/>
  <c r="BE317" i="80"/>
  <c r="AZ318" i="80"/>
  <c r="BA318" i="80"/>
  <c r="BB318" i="80"/>
  <c r="BC318" i="80"/>
  <c r="BD318" i="80"/>
  <c r="BE318" i="80"/>
  <c r="AZ319" i="80"/>
  <c r="BA319" i="80"/>
  <c r="BB319" i="80"/>
  <c r="BC319" i="80"/>
  <c r="BD319" i="80"/>
  <c r="BE319" i="80"/>
  <c r="AZ320" i="80"/>
  <c r="BA320" i="80"/>
  <c r="BB320" i="80"/>
  <c r="BC320" i="80"/>
  <c r="BD320" i="80"/>
  <c r="BE320" i="80"/>
  <c r="AZ321" i="80"/>
  <c r="BA321" i="80"/>
  <c r="BB321" i="80"/>
  <c r="BC321" i="80"/>
  <c r="BD321" i="80"/>
  <c r="BE321" i="80"/>
  <c r="AZ322" i="80"/>
  <c r="BA322" i="80"/>
  <c r="BB322" i="80"/>
  <c r="BC322" i="80"/>
  <c r="BD322" i="80"/>
  <c r="BE322" i="80"/>
  <c r="AZ323" i="80"/>
  <c r="BA323" i="80"/>
  <c r="BB323" i="80"/>
  <c r="BC323" i="80"/>
  <c r="BD323" i="80"/>
  <c r="BE323" i="80"/>
  <c r="AZ324" i="80"/>
  <c r="BA324" i="80"/>
  <c r="BB324" i="80"/>
  <c r="BC324" i="80"/>
  <c r="BD324" i="80"/>
  <c r="BE324" i="80"/>
  <c r="AZ325" i="80"/>
  <c r="BA325" i="80"/>
  <c r="BB325" i="80"/>
  <c r="BC325" i="80"/>
  <c r="BD325" i="80"/>
  <c r="BE325" i="80"/>
  <c r="AZ326" i="80"/>
  <c r="BA326" i="80"/>
  <c r="BB326" i="80"/>
  <c r="BC326" i="80"/>
  <c r="BD326" i="80"/>
  <c r="BE326" i="80"/>
  <c r="AZ327" i="80"/>
  <c r="BA327" i="80"/>
  <c r="BB327" i="80"/>
  <c r="BC327" i="80"/>
  <c r="BD327" i="80"/>
  <c r="BE327" i="80"/>
  <c r="AZ328" i="80"/>
  <c r="BA328" i="80"/>
  <c r="BB328" i="80"/>
  <c r="BC328" i="80"/>
  <c r="BD328" i="80"/>
  <c r="BE328" i="80"/>
  <c r="AZ329" i="80"/>
  <c r="BA329" i="80"/>
  <c r="BB329" i="80"/>
  <c r="BC329" i="80"/>
  <c r="BD329" i="80"/>
  <c r="BE329" i="80"/>
  <c r="AZ330" i="80"/>
  <c r="BA330" i="80"/>
  <c r="BB330" i="80"/>
  <c r="BC330" i="80"/>
  <c r="BD330" i="80"/>
  <c r="BE330" i="80"/>
  <c r="AZ331" i="80"/>
  <c r="BA331" i="80"/>
  <c r="BB331" i="80"/>
  <c r="BC331" i="80"/>
  <c r="BD331" i="80"/>
  <c r="BE331" i="80"/>
  <c r="AZ332" i="80"/>
  <c r="BA332" i="80"/>
  <c r="BB332" i="80"/>
  <c r="BC332" i="80"/>
  <c r="BD332" i="80"/>
  <c r="BE332" i="80"/>
  <c r="AZ333" i="80"/>
  <c r="BA333" i="80"/>
  <c r="BB333" i="80"/>
  <c r="BC333" i="80"/>
  <c r="BD333" i="80"/>
  <c r="BE333" i="80"/>
  <c r="AZ334" i="80"/>
  <c r="BA334" i="80"/>
  <c r="BB334" i="80"/>
  <c r="BC334" i="80"/>
  <c r="BD334" i="80"/>
  <c r="BE334" i="80"/>
  <c r="AZ335" i="80"/>
  <c r="BA335" i="80"/>
  <c r="BB335" i="80"/>
  <c r="BC335" i="80"/>
  <c r="BD335" i="80"/>
  <c r="BE335" i="80"/>
  <c r="AZ336" i="80"/>
  <c r="BA336" i="80"/>
  <c r="BB336" i="80"/>
  <c r="BC336" i="80"/>
  <c r="BD336" i="80"/>
  <c r="BE336" i="80"/>
  <c r="AZ337" i="80"/>
  <c r="BA337" i="80"/>
  <c r="BB337" i="80"/>
  <c r="BC337" i="80"/>
  <c r="BD337" i="80"/>
  <c r="BE337" i="80"/>
  <c r="AZ338" i="80"/>
  <c r="BA338" i="80"/>
  <c r="BB338" i="80"/>
  <c r="BC338" i="80"/>
  <c r="BD338" i="80"/>
  <c r="BE338" i="80"/>
  <c r="AZ339" i="80"/>
  <c r="BA339" i="80"/>
  <c r="BB339" i="80"/>
  <c r="BC339" i="80"/>
  <c r="BD339" i="80"/>
  <c r="BE339" i="80"/>
  <c r="AZ340" i="80"/>
  <c r="BA340" i="80"/>
  <c r="BB340" i="80"/>
  <c r="BC340" i="80"/>
  <c r="BD340" i="80"/>
  <c r="BE340" i="80"/>
  <c r="AZ341" i="80"/>
  <c r="BA341" i="80"/>
  <c r="BB341" i="80"/>
  <c r="BC341" i="80"/>
  <c r="BD341" i="80"/>
  <c r="BE341" i="80"/>
  <c r="AZ342" i="80"/>
  <c r="BA342" i="80"/>
  <c r="BB342" i="80"/>
  <c r="BC342" i="80"/>
  <c r="BD342" i="80"/>
  <c r="BE342" i="80"/>
  <c r="AZ343" i="80"/>
  <c r="BA343" i="80"/>
  <c r="BB343" i="80"/>
  <c r="BC343" i="80"/>
  <c r="BD343" i="80"/>
  <c r="BE343" i="80"/>
  <c r="AZ344" i="80"/>
  <c r="BA344" i="80"/>
  <c r="BB344" i="80"/>
  <c r="BC344" i="80"/>
  <c r="BD344" i="80"/>
  <c r="BE344" i="80"/>
  <c r="AZ345" i="80"/>
  <c r="BA345" i="80"/>
  <c r="BB345" i="80"/>
  <c r="BC345" i="80"/>
  <c r="BD345" i="80"/>
  <c r="BE345" i="80"/>
  <c r="AZ346" i="80"/>
  <c r="BA346" i="80"/>
  <c r="BB346" i="80"/>
  <c r="BC346" i="80"/>
  <c r="BD346" i="80"/>
  <c r="BE346" i="80"/>
  <c r="AZ347" i="80"/>
  <c r="BA347" i="80"/>
  <c r="BB347" i="80"/>
  <c r="BC347" i="80"/>
  <c r="BD347" i="80"/>
  <c r="BE347" i="80"/>
  <c r="AZ348" i="80"/>
  <c r="BA348" i="80"/>
  <c r="BB348" i="80"/>
  <c r="BC348" i="80"/>
  <c r="BD348" i="80"/>
  <c r="BE348" i="80"/>
  <c r="AZ349" i="80"/>
  <c r="BA349" i="80"/>
  <c r="BB349" i="80"/>
  <c r="BC349" i="80"/>
  <c r="BD349" i="80"/>
  <c r="BE349" i="80"/>
  <c r="AZ350" i="80"/>
  <c r="BA350" i="80"/>
  <c r="BB350" i="80"/>
  <c r="BC350" i="80"/>
  <c r="BD350" i="80"/>
  <c r="BE350" i="80"/>
  <c r="AZ351" i="80"/>
  <c r="BA351" i="80"/>
  <c r="BB351" i="80"/>
  <c r="BC351" i="80"/>
  <c r="BD351" i="80"/>
  <c r="BE351" i="80"/>
  <c r="AZ352" i="80"/>
  <c r="BA352" i="80"/>
  <c r="BB352" i="80"/>
  <c r="BC352" i="80"/>
  <c r="BD352" i="80"/>
  <c r="BE352" i="80"/>
  <c r="AZ353" i="80"/>
  <c r="BA353" i="80"/>
  <c r="BB353" i="80"/>
  <c r="BC353" i="80"/>
  <c r="BD353" i="80"/>
  <c r="BE353" i="80"/>
  <c r="AZ354" i="80"/>
  <c r="BA354" i="80"/>
  <c r="BB354" i="80"/>
  <c r="BC354" i="80"/>
  <c r="BD354" i="80"/>
  <c r="BE354" i="80"/>
  <c r="AZ355" i="80"/>
  <c r="BA355" i="80"/>
  <c r="BB355" i="80"/>
  <c r="BC355" i="80"/>
  <c r="BD355" i="80"/>
  <c r="BE355" i="80"/>
  <c r="AZ356" i="80"/>
  <c r="BA356" i="80"/>
  <c r="BB356" i="80"/>
  <c r="BC356" i="80"/>
  <c r="BD356" i="80"/>
  <c r="BE356" i="80"/>
  <c r="AZ357" i="80"/>
  <c r="BA357" i="80"/>
  <c r="BB357" i="80"/>
  <c r="BC357" i="80"/>
  <c r="BD357" i="80"/>
  <c r="BE357" i="80"/>
  <c r="AZ358" i="80"/>
  <c r="BA358" i="80"/>
  <c r="BB358" i="80"/>
  <c r="BC358" i="80"/>
  <c r="BD358" i="80"/>
  <c r="BE358" i="80"/>
  <c r="AZ359" i="80"/>
  <c r="BA359" i="80"/>
  <c r="BB359" i="80"/>
  <c r="BC359" i="80"/>
  <c r="BD359" i="80"/>
  <c r="BE359" i="80"/>
  <c r="AZ360" i="80"/>
  <c r="BA360" i="80"/>
  <c r="BB360" i="80"/>
  <c r="BC360" i="80"/>
  <c r="BD360" i="80"/>
  <c r="BE360" i="80"/>
  <c r="AZ361" i="80"/>
  <c r="BA361" i="80"/>
  <c r="BB361" i="80"/>
  <c r="BC361" i="80"/>
  <c r="BD361" i="80"/>
  <c r="BE361" i="80"/>
  <c r="AZ362" i="80"/>
  <c r="BA362" i="80"/>
  <c r="BB362" i="80"/>
  <c r="BC362" i="80"/>
  <c r="BD362" i="80"/>
  <c r="BE362" i="80"/>
  <c r="AZ363" i="80"/>
  <c r="BA363" i="80"/>
  <c r="BB363" i="80"/>
  <c r="BC363" i="80"/>
  <c r="BD363" i="80"/>
  <c r="BE363" i="80"/>
  <c r="BE4" i="80"/>
  <c r="BD4" i="80"/>
  <c r="BC4" i="80"/>
  <c r="BB4" i="80"/>
  <c r="BA4" i="80"/>
  <c r="AZ4" i="80"/>
  <c r="AS5" i="80"/>
  <c r="AT5" i="80"/>
  <c r="AU5" i="80"/>
  <c r="AV5" i="80"/>
  <c r="AW5" i="80"/>
  <c r="AX5" i="80"/>
  <c r="AS6" i="80"/>
  <c r="AT6" i="80"/>
  <c r="AU6" i="80"/>
  <c r="AV6" i="80"/>
  <c r="AW6" i="80"/>
  <c r="AX6" i="80"/>
  <c r="AS7" i="80"/>
  <c r="AT7" i="80"/>
  <c r="AU7" i="80"/>
  <c r="AV7" i="80"/>
  <c r="AW7" i="80"/>
  <c r="AX7" i="80"/>
  <c r="AS8" i="80"/>
  <c r="AT8" i="80"/>
  <c r="AU8" i="80"/>
  <c r="AV8" i="80"/>
  <c r="AW8" i="80"/>
  <c r="AX8" i="80"/>
  <c r="AS9" i="80"/>
  <c r="AT9" i="80"/>
  <c r="AU9" i="80"/>
  <c r="AV9" i="80"/>
  <c r="AW9" i="80"/>
  <c r="AX9" i="80"/>
  <c r="AS10" i="80"/>
  <c r="AT10" i="80"/>
  <c r="AU10" i="80"/>
  <c r="AV10" i="80"/>
  <c r="AW10" i="80"/>
  <c r="AX10" i="80"/>
  <c r="AS11" i="80"/>
  <c r="AT11" i="80"/>
  <c r="AU11" i="80"/>
  <c r="AV11" i="80"/>
  <c r="AW11" i="80"/>
  <c r="AX11" i="80"/>
  <c r="AS12" i="80"/>
  <c r="AT12" i="80"/>
  <c r="AU12" i="80"/>
  <c r="AV12" i="80"/>
  <c r="AW12" i="80"/>
  <c r="AX12" i="80"/>
  <c r="AS13" i="80"/>
  <c r="AT13" i="80"/>
  <c r="AU13" i="80"/>
  <c r="AV13" i="80"/>
  <c r="AW13" i="80"/>
  <c r="AX13" i="80"/>
  <c r="AS14" i="80"/>
  <c r="AT14" i="80"/>
  <c r="AU14" i="80"/>
  <c r="AV14" i="80"/>
  <c r="AW14" i="80"/>
  <c r="AX14" i="80"/>
  <c r="AS15" i="80"/>
  <c r="AT15" i="80"/>
  <c r="AU15" i="80"/>
  <c r="AV15" i="80"/>
  <c r="AW15" i="80"/>
  <c r="AX15" i="80"/>
  <c r="AS16" i="80"/>
  <c r="AT16" i="80"/>
  <c r="AU16" i="80"/>
  <c r="AV16" i="80"/>
  <c r="AW16" i="80"/>
  <c r="AX16" i="80"/>
  <c r="AS17" i="80"/>
  <c r="AT17" i="80"/>
  <c r="AU17" i="80"/>
  <c r="AV17" i="80"/>
  <c r="AW17" i="80"/>
  <c r="AX17" i="80"/>
  <c r="AS18" i="80"/>
  <c r="AT18" i="80"/>
  <c r="AU18" i="80"/>
  <c r="AV18" i="80"/>
  <c r="AW18" i="80"/>
  <c r="AX18" i="80"/>
  <c r="AS19" i="80"/>
  <c r="AT19" i="80"/>
  <c r="AU19" i="80"/>
  <c r="AV19" i="80"/>
  <c r="AW19" i="80"/>
  <c r="AX19" i="80"/>
  <c r="AS20" i="80"/>
  <c r="AT20" i="80"/>
  <c r="AU20" i="80"/>
  <c r="AV20" i="80"/>
  <c r="AW20" i="80"/>
  <c r="AX20" i="80"/>
  <c r="AS21" i="80"/>
  <c r="AT21" i="80"/>
  <c r="AU21" i="80"/>
  <c r="AV21" i="80"/>
  <c r="AW21" i="80"/>
  <c r="AX21" i="80"/>
  <c r="AS22" i="80"/>
  <c r="AT22" i="80"/>
  <c r="AU22" i="80"/>
  <c r="AV22" i="80"/>
  <c r="AW22" i="80"/>
  <c r="AX22" i="80"/>
  <c r="AS23" i="80"/>
  <c r="AT23" i="80"/>
  <c r="AU23" i="80"/>
  <c r="AV23" i="80"/>
  <c r="AW23" i="80"/>
  <c r="AX23" i="80"/>
  <c r="AS24" i="80"/>
  <c r="AT24" i="80"/>
  <c r="AU24" i="80"/>
  <c r="AV24" i="80"/>
  <c r="AW24" i="80"/>
  <c r="AX24" i="80"/>
  <c r="AS25" i="80"/>
  <c r="AT25" i="80"/>
  <c r="AU25" i="80"/>
  <c r="AV25" i="80"/>
  <c r="AW25" i="80"/>
  <c r="AX25" i="80"/>
  <c r="AS26" i="80"/>
  <c r="AT26" i="80"/>
  <c r="AU26" i="80"/>
  <c r="AV26" i="80"/>
  <c r="AW26" i="80"/>
  <c r="AX26" i="80"/>
  <c r="AS27" i="80"/>
  <c r="AT27" i="80"/>
  <c r="AU27" i="80"/>
  <c r="AV27" i="80"/>
  <c r="AW27" i="80"/>
  <c r="AX27" i="80"/>
  <c r="AS28" i="80"/>
  <c r="AT28" i="80"/>
  <c r="AU28" i="80"/>
  <c r="AV28" i="80"/>
  <c r="AW28" i="80"/>
  <c r="AX28" i="80"/>
  <c r="AS29" i="80"/>
  <c r="AT29" i="80"/>
  <c r="AU29" i="80"/>
  <c r="AV29" i="80"/>
  <c r="AW29" i="80"/>
  <c r="AX29" i="80"/>
  <c r="AS30" i="80"/>
  <c r="AT30" i="80"/>
  <c r="AU30" i="80"/>
  <c r="AV30" i="80"/>
  <c r="AW30" i="80"/>
  <c r="AX30" i="80"/>
  <c r="AS31" i="80"/>
  <c r="AT31" i="80"/>
  <c r="AU31" i="80"/>
  <c r="AV31" i="80"/>
  <c r="AW31" i="80"/>
  <c r="AX31" i="80"/>
  <c r="AS32" i="80"/>
  <c r="AT32" i="80"/>
  <c r="AU32" i="80"/>
  <c r="AV32" i="80"/>
  <c r="AW32" i="80"/>
  <c r="AX32" i="80"/>
  <c r="AS33" i="80"/>
  <c r="AT33" i="80"/>
  <c r="AU33" i="80"/>
  <c r="AV33" i="80"/>
  <c r="AW33" i="80"/>
  <c r="AX33" i="80"/>
  <c r="AS34" i="80"/>
  <c r="AT34" i="80"/>
  <c r="AU34" i="80"/>
  <c r="AV34" i="80"/>
  <c r="AW34" i="80"/>
  <c r="AX34" i="80"/>
  <c r="AS35" i="80"/>
  <c r="AT35" i="80"/>
  <c r="AU35" i="80"/>
  <c r="AV35" i="80"/>
  <c r="AW35" i="80"/>
  <c r="AX35" i="80"/>
  <c r="AS36" i="80"/>
  <c r="AT36" i="80"/>
  <c r="AU36" i="80"/>
  <c r="AV36" i="80"/>
  <c r="AW36" i="80"/>
  <c r="AX36" i="80"/>
  <c r="AS37" i="80"/>
  <c r="AT37" i="80"/>
  <c r="AU37" i="80"/>
  <c r="AV37" i="80"/>
  <c r="AW37" i="80"/>
  <c r="AX37" i="80"/>
  <c r="AS38" i="80"/>
  <c r="AT38" i="80"/>
  <c r="AU38" i="80"/>
  <c r="AV38" i="80"/>
  <c r="AW38" i="80"/>
  <c r="AX38" i="80"/>
  <c r="AS39" i="80"/>
  <c r="AT39" i="80"/>
  <c r="AU39" i="80"/>
  <c r="AV39" i="80"/>
  <c r="AW39" i="80"/>
  <c r="AX39" i="80"/>
  <c r="AS40" i="80"/>
  <c r="AT40" i="80"/>
  <c r="AU40" i="80"/>
  <c r="AV40" i="80"/>
  <c r="AW40" i="80"/>
  <c r="AX40" i="80"/>
  <c r="AS41" i="80"/>
  <c r="AT41" i="80"/>
  <c r="AU41" i="80"/>
  <c r="AV41" i="80"/>
  <c r="AW41" i="80"/>
  <c r="AX41" i="80"/>
  <c r="AS42" i="80"/>
  <c r="AT42" i="80"/>
  <c r="AU42" i="80"/>
  <c r="AV42" i="80"/>
  <c r="AW42" i="80"/>
  <c r="AX42" i="80"/>
  <c r="AS43" i="80"/>
  <c r="AT43" i="80"/>
  <c r="AU43" i="80"/>
  <c r="AV43" i="80"/>
  <c r="AW43" i="80"/>
  <c r="AX43" i="80"/>
  <c r="AS44" i="80"/>
  <c r="AT44" i="80"/>
  <c r="AU44" i="80"/>
  <c r="AV44" i="80"/>
  <c r="AW44" i="80"/>
  <c r="AX44" i="80"/>
  <c r="AS45" i="80"/>
  <c r="AT45" i="80"/>
  <c r="AU45" i="80"/>
  <c r="AV45" i="80"/>
  <c r="AW45" i="80"/>
  <c r="AX45" i="80"/>
  <c r="AS46" i="80"/>
  <c r="AT46" i="80"/>
  <c r="AU46" i="80"/>
  <c r="AV46" i="80"/>
  <c r="AW46" i="80"/>
  <c r="AX46" i="80"/>
  <c r="AS47" i="80"/>
  <c r="AT47" i="80"/>
  <c r="AU47" i="80"/>
  <c r="AV47" i="80"/>
  <c r="AW47" i="80"/>
  <c r="AX47" i="80"/>
  <c r="AS48" i="80"/>
  <c r="AT48" i="80"/>
  <c r="AU48" i="80"/>
  <c r="AV48" i="80"/>
  <c r="AW48" i="80"/>
  <c r="AX48" i="80"/>
  <c r="AS49" i="80"/>
  <c r="AT49" i="80"/>
  <c r="AU49" i="80"/>
  <c r="AV49" i="80"/>
  <c r="AW49" i="80"/>
  <c r="AX49" i="80"/>
  <c r="AS50" i="80"/>
  <c r="AT50" i="80"/>
  <c r="AU50" i="80"/>
  <c r="AV50" i="80"/>
  <c r="AW50" i="80"/>
  <c r="AX50" i="80"/>
  <c r="AS51" i="80"/>
  <c r="AT51" i="80"/>
  <c r="AU51" i="80"/>
  <c r="AV51" i="80"/>
  <c r="AW51" i="80"/>
  <c r="AX51" i="80"/>
  <c r="AS52" i="80"/>
  <c r="AT52" i="80"/>
  <c r="AU52" i="80"/>
  <c r="AV52" i="80"/>
  <c r="AW52" i="80"/>
  <c r="AX52" i="80"/>
  <c r="AS53" i="80"/>
  <c r="AT53" i="80"/>
  <c r="AU53" i="80"/>
  <c r="AV53" i="80"/>
  <c r="AW53" i="80"/>
  <c r="AX53" i="80"/>
  <c r="AX4" i="80"/>
  <c r="AW4" i="80"/>
  <c r="AV4" i="80"/>
  <c r="AU4" i="80"/>
  <c r="AT4" i="80"/>
  <c r="AS4" i="80"/>
  <c r="AL5" i="80"/>
  <c r="AM5" i="80"/>
  <c r="D14" i="77" s="1"/>
  <c r="AN5" i="80"/>
  <c r="AO5" i="80"/>
  <c r="AP5" i="80"/>
  <c r="AQ5" i="80"/>
  <c r="AL6" i="80"/>
  <c r="AM6" i="80"/>
  <c r="D26" i="77" s="1"/>
  <c r="AN6" i="80"/>
  <c r="AO6" i="80"/>
  <c r="AP6" i="80"/>
  <c r="AQ6" i="80"/>
  <c r="AL7" i="80"/>
  <c r="AM7" i="80"/>
  <c r="D38" i="77" s="1"/>
  <c r="AN7" i="80"/>
  <c r="AO7" i="80"/>
  <c r="AP7" i="80"/>
  <c r="AQ7" i="80"/>
  <c r="AL8" i="80"/>
  <c r="AM8" i="80"/>
  <c r="D50" i="77" s="1"/>
  <c r="AN8" i="80"/>
  <c r="AO8" i="80"/>
  <c r="AP8" i="80"/>
  <c r="AQ8" i="80"/>
  <c r="AL9" i="80"/>
  <c r="AM9" i="80"/>
  <c r="D56" i="77" s="1"/>
  <c r="AN9" i="80"/>
  <c r="AO9" i="80"/>
  <c r="AP9" i="80"/>
  <c r="AQ9" i="80"/>
  <c r="AL10" i="80"/>
  <c r="AM10" i="80"/>
  <c r="D68" i="77" s="1"/>
  <c r="AN10" i="80"/>
  <c r="AO10" i="80"/>
  <c r="AP10" i="80"/>
  <c r="AQ10" i="80"/>
  <c r="AL11" i="80"/>
  <c r="AM11" i="80"/>
  <c r="D80" i="77" s="1"/>
  <c r="AN11" i="80"/>
  <c r="AO11" i="80"/>
  <c r="AP11" i="80"/>
  <c r="AQ11" i="80"/>
  <c r="AL12" i="80"/>
  <c r="AM12" i="80"/>
  <c r="D92" i="77" s="1"/>
  <c r="AN12" i="80"/>
  <c r="AO12" i="80"/>
  <c r="AP12" i="80"/>
  <c r="AQ12" i="80"/>
  <c r="AL13" i="80"/>
  <c r="AM13" i="80"/>
  <c r="D98" i="77" s="1"/>
  <c r="AN13" i="80"/>
  <c r="AO13" i="80"/>
  <c r="AP13" i="80"/>
  <c r="AQ13" i="80"/>
  <c r="AL14" i="80"/>
  <c r="AM14" i="80"/>
  <c r="D104" i="77" s="1"/>
  <c r="AN14" i="80"/>
  <c r="AO14" i="80"/>
  <c r="AP14" i="80"/>
  <c r="AQ14" i="80"/>
  <c r="AL15" i="80"/>
  <c r="AM15" i="80"/>
  <c r="D110" i="77" s="1"/>
  <c r="AN15" i="80"/>
  <c r="AO15" i="80"/>
  <c r="AP15" i="80"/>
  <c r="AQ15" i="80"/>
  <c r="AL16" i="80"/>
  <c r="AM16" i="80"/>
  <c r="D116" i="77" s="1"/>
  <c r="AN16" i="80"/>
  <c r="AO16" i="80"/>
  <c r="AP16" i="80"/>
  <c r="AQ16" i="80"/>
  <c r="AL17" i="80"/>
  <c r="AM17" i="80"/>
  <c r="D122" i="77" s="1"/>
  <c r="AN17" i="80"/>
  <c r="AO17" i="80"/>
  <c r="AP17" i="80"/>
  <c r="AQ17" i="80"/>
  <c r="AL18" i="80"/>
  <c r="AM18" i="80"/>
  <c r="D128" i="77" s="1"/>
  <c r="AN18" i="80"/>
  <c r="AO18" i="80"/>
  <c r="AP18" i="80"/>
  <c r="AQ18" i="80"/>
  <c r="AL19" i="80"/>
  <c r="AM19" i="80"/>
  <c r="D134" i="77" s="1"/>
  <c r="AN19" i="80"/>
  <c r="AO19" i="80"/>
  <c r="AP19" i="80"/>
  <c r="AQ19" i="80"/>
  <c r="AL20" i="80"/>
  <c r="AM20" i="80"/>
  <c r="D140" i="77" s="1"/>
  <c r="AN20" i="80"/>
  <c r="AO20" i="80"/>
  <c r="AP20" i="80"/>
  <c r="AQ20" i="80"/>
  <c r="AL21" i="80"/>
  <c r="AM21" i="80"/>
  <c r="D146" i="77" s="1"/>
  <c r="AN21" i="80"/>
  <c r="AO21" i="80"/>
  <c r="AP21" i="80"/>
  <c r="AQ21" i="80"/>
  <c r="AL22" i="80"/>
  <c r="AM22" i="80"/>
  <c r="D152" i="77" s="1"/>
  <c r="AN22" i="80"/>
  <c r="AO22" i="80"/>
  <c r="AP22" i="80"/>
  <c r="AQ22" i="80"/>
  <c r="AL23" i="80"/>
  <c r="AM23" i="80"/>
  <c r="D158" i="77" s="1"/>
  <c r="AN23" i="80"/>
  <c r="AO23" i="80"/>
  <c r="AP23" i="80"/>
  <c r="AQ23" i="80"/>
  <c r="AL24" i="80"/>
  <c r="AM24" i="80"/>
  <c r="D164" i="77" s="1"/>
  <c r="AN24" i="80"/>
  <c r="AO24" i="80"/>
  <c r="AP24" i="80"/>
  <c r="AQ24" i="80"/>
  <c r="AL25" i="80"/>
  <c r="AM25" i="80"/>
  <c r="D170" i="77" s="1"/>
  <c r="AN25" i="80"/>
  <c r="AO25" i="80"/>
  <c r="AP25" i="80"/>
  <c r="AQ25" i="80"/>
  <c r="AL26" i="80"/>
  <c r="AM26" i="80"/>
  <c r="D172" i="77" s="1"/>
  <c r="AN26" i="80"/>
  <c r="AO26" i="80"/>
  <c r="AP26" i="80"/>
  <c r="AQ26" i="80"/>
  <c r="AL27" i="80"/>
  <c r="AM27" i="80"/>
  <c r="D176" i="77" s="1"/>
  <c r="AN27" i="80"/>
  <c r="AO27" i="80"/>
  <c r="AP27" i="80"/>
  <c r="AQ27" i="80"/>
  <c r="AL28" i="80"/>
  <c r="AM28" i="80"/>
  <c r="D182" i="77" s="1"/>
  <c r="AN28" i="80"/>
  <c r="AO28" i="80"/>
  <c r="AP28" i="80"/>
  <c r="AQ28" i="80"/>
  <c r="AL29" i="80"/>
  <c r="AM29" i="80"/>
  <c r="D188" i="77" s="1"/>
  <c r="AN29" i="80"/>
  <c r="AO29" i="80"/>
  <c r="AP29" i="80"/>
  <c r="AQ29" i="80"/>
  <c r="AL30" i="80"/>
  <c r="AM30" i="80"/>
  <c r="D189" i="77" s="1"/>
  <c r="AN30" i="80"/>
  <c r="AO30" i="80"/>
  <c r="AP30" i="80"/>
  <c r="AQ30" i="80"/>
  <c r="AL31" i="80"/>
  <c r="AM31" i="80"/>
  <c r="D194" i="77" s="1"/>
  <c r="AN31" i="80"/>
  <c r="AO31" i="80"/>
  <c r="AP31" i="80"/>
  <c r="AQ31" i="80"/>
  <c r="AL32" i="80"/>
  <c r="AM32" i="80"/>
  <c r="D200" i="77" s="1"/>
  <c r="AN32" i="80"/>
  <c r="AO32" i="80"/>
  <c r="AP32" i="80"/>
  <c r="AQ32" i="80"/>
  <c r="AL33" i="80"/>
  <c r="AM33" i="80"/>
  <c r="D206" i="77" s="1"/>
  <c r="AN33" i="80"/>
  <c r="AO33" i="80"/>
  <c r="AP33" i="80"/>
  <c r="AQ33" i="80"/>
  <c r="AL34" i="80"/>
  <c r="AM34" i="80"/>
  <c r="D212" i="77" s="1"/>
  <c r="AN34" i="80"/>
  <c r="AO34" i="80"/>
  <c r="AP34" i="80"/>
  <c r="AQ34" i="80"/>
  <c r="AL35" i="80"/>
  <c r="AM35" i="80"/>
  <c r="D218" i="77" s="1"/>
  <c r="AN35" i="80"/>
  <c r="AO35" i="80"/>
  <c r="AP35" i="80"/>
  <c r="AQ35" i="80"/>
  <c r="AL36" i="80"/>
  <c r="AM36" i="80"/>
  <c r="D220" i="77" s="1"/>
  <c r="AN36" i="80"/>
  <c r="AO36" i="80"/>
  <c r="AP36" i="80"/>
  <c r="AQ36" i="80"/>
  <c r="AL37" i="80"/>
  <c r="AM37" i="80"/>
  <c r="D224" i="77" s="1"/>
  <c r="AN37" i="80"/>
  <c r="AO37" i="80"/>
  <c r="AP37" i="80"/>
  <c r="AQ37" i="80"/>
  <c r="AL38" i="80"/>
  <c r="AM38" i="80"/>
  <c r="D230" i="77" s="1"/>
  <c r="AN38" i="80"/>
  <c r="AO38" i="80"/>
  <c r="AP38" i="80"/>
  <c r="AQ38" i="80"/>
  <c r="AL39" i="80"/>
  <c r="AM39" i="80"/>
  <c r="D236" i="77" s="1"/>
  <c r="AN39" i="80"/>
  <c r="AO39" i="80"/>
  <c r="AP39" i="80"/>
  <c r="AQ39" i="80"/>
  <c r="AL40" i="80"/>
  <c r="AM40" i="80"/>
  <c r="D242" i="77" s="1"/>
  <c r="AN40" i="80"/>
  <c r="AO40" i="80"/>
  <c r="AP40" i="80"/>
  <c r="AQ40" i="80"/>
  <c r="AL41" i="80"/>
  <c r="AM41" i="80"/>
  <c r="D248" i="77" s="1"/>
  <c r="AN41" i="80"/>
  <c r="AO41" i="80"/>
  <c r="AP41" i="80"/>
  <c r="AQ41" i="80"/>
  <c r="AL42" i="80"/>
  <c r="AM42" i="80"/>
  <c r="D251" i="77" s="1"/>
  <c r="AN42" i="80"/>
  <c r="AO42" i="80"/>
  <c r="AP42" i="80"/>
  <c r="AQ42" i="80"/>
  <c r="AL43" i="80"/>
  <c r="AM43" i="80"/>
  <c r="D254" i="77" s="1"/>
  <c r="AN43" i="80"/>
  <c r="AO43" i="80"/>
  <c r="AP43" i="80"/>
  <c r="AQ43" i="80"/>
  <c r="AL44" i="80"/>
  <c r="AM44" i="80"/>
  <c r="D261" i="77" s="1"/>
  <c r="AN44" i="80"/>
  <c r="AO44" i="80"/>
  <c r="AP44" i="80"/>
  <c r="AQ44" i="80"/>
  <c r="AL45" i="80"/>
  <c r="AM45" i="80"/>
  <c r="D266" i="77" s="1"/>
  <c r="AN45" i="80"/>
  <c r="AO45" i="80"/>
  <c r="AP45" i="80"/>
  <c r="AQ45" i="80"/>
  <c r="AL46" i="80"/>
  <c r="AM46" i="80"/>
  <c r="D272" i="77" s="1"/>
  <c r="AN46" i="80"/>
  <c r="AO46" i="80"/>
  <c r="AP46" i="80"/>
  <c r="AQ46" i="80"/>
  <c r="AL47" i="80"/>
  <c r="AM47" i="80"/>
  <c r="D278" i="77" s="1"/>
  <c r="AN47" i="80"/>
  <c r="AO47" i="80"/>
  <c r="AP47" i="80"/>
  <c r="AQ47" i="80"/>
  <c r="AL48" i="80"/>
  <c r="AM48" i="80"/>
  <c r="D280" i="77" s="1"/>
  <c r="AN48" i="80"/>
  <c r="AO48" i="80"/>
  <c r="AP48" i="80"/>
  <c r="AQ48" i="80"/>
  <c r="AL49" i="80"/>
  <c r="AM49" i="80"/>
  <c r="D284" i="77" s="1"/>
  <c r="AN49" i="80"/>
  <c r="AO49" i="80"/>
  <c r="AP49" i="80"/>
  <c r="AQ49" i="80"/>
  <c r="AL50" i="80"/>
  <c r="AM50" i="80"/>
  <c r="D290" i="77" s="1"/>
  <c r="AN50" i="80"/>
  <c r="AO50" i="80"/>
  <c r="AP50" i="80"/>
  <c r="AQ50" i="80"/>
  <c r="AL51" i="80"/>
  <c r="AM51" i="80"/>
  <c r="D296" i="77" s="1"/>
  <c r="AN51" i="80"/>
  <c r="AO51" i="80"/>
  <c r="AP51" i="80"/>
  <c r="AQ51" i="80"/>
  <c r="AL52" i="80"/>
  <c r="AM52" i="80"/>
  <c r="D302" i="77" s="1"/>
  <c r="AN52" i="80"/>
  <c r="AO52" i="80"/>
  <c r="AP52" i="80"/>
  <c r="AQ52" i="80"/>
  <c r="AL53" i="80"/>
  <c r="AM53" i="80"/>
  <c r="D308" i="77" s="1"/>
  <c r="AN53" i="80"/>
  <c r="AO53" i="80"/>
  <c r="AP53" i="80"/>
  <c r="AQ53" i="80"/>
  <c r="AQ4" i="80"/>
  <c r="AP4" i="80"/>
  <c r="AO4" i="80"/>
  <c r="AN4" i="80"/>
  <c r="AM4" i="80"/>
  <c r="D9" i="77" s="1"/>
  <c r="AL4" i="80"/>
  <c r="AC5" i="80"/>
  <c r="AD5" i="80"/>
  <c r="AC6" i="80"/>
  <c r="AD6" i="80"/>
  <c r="AC7" i="80"/>
  <c r="AD7" i="80"/>
  <c r="AC8" i="80"/>
  <c r="AD8" i="80"/>
  <c r="AC9" i="80"/>
  <c r="AD9" i="80"/>
  <c r="AC10" i="80"/>
  <c r="AD10" i="80"/>
  <c r="AC11" i="80"/>
  <c r="AD11" i="80"/>
  <c r="AC12" i="80"/>
  <c r="AD12" i="80"/>
  <c r="AC13" i="80"/>
  <c r="AD13" i="80"/>
  <c r="AC14" i="80"/>
  <c r="AD14" i="80"/>
  <c r="AC15" i="80"/>
  <c r="AD15" i="80"/>
  <c r="AC16" i="80"/>
  <c r="AD16" i="80"/>
  <c r="AC17" i="80"/>
  <c r="AD17" i="80"/>
  <c r="AC18" i="80"/>
  <c r="AD18" i="80"/>
  <c r="AC19" i="80"/>
  <c r="AD19" i="80"/>
  <c r="AC20" i="80"/>
  <c r="AD20" i="80"/>
  <c r="AC21" i="80"/>
  <c r="AD21" i="80"/>
  <c r="AC22" i="80"/>
  <c r="AD22" i="80"/>
  <c r="AC23" i="80"/>
  <c r="AD23" i="80"/>
  <c r="AC24" i="80"/>
  <c r="AD24" i="80"/>
  <c r="AC25" i="80"/>
  <c r="AD25" i="80"/>
  <c r="AC26" i="80"/>
  <c r="AD26" i="80"/>
  <c r="AC27" i="80"/>
  <c r="AD27" i="80"/>
  <c r="AC28" i="80"/>
  <c r="AD28" i="80"/>
  <c r="AC29" i="80"/>
  <c r="AD29" i="80"/>
  <c r="AC30" i="80"/>
  <c r="AD30" i="80"/>
  <c r="AC31" i="80"/>
  <c r="AD31" i="80"/>
  <c r="AC32" i="80"/>
  <c r="AD32" i="80"/>
  <c r="AC33" i="80"/>
  <c r="AD33" i="80"/>
  <c r="AC34" i="80"/>
  <c r="AD34" i="80"/>
  <c r="AC35" i="80"/>
  <c r="AD35" i="80"/>
  <c r="AC36" i="80"/>
  <c r="AD36" i="80"/>
  <c r="AC37" i="80"/>
  <c r="AD37" i="80"/>
  <c r="AC38" i="80"/>
  <c r="AD38" i="80"/>
  <c r="AC39" i="80"/>
  <c r="AD39" i="80"/>
  <c r="AC40" i="80"/>
  <c r="AD40" i="80"/>
  <c r="AC41" i="80"/>
  <c r="AD41" i="80"/>
  <c r="AC42" i="80"/>
  <c r="AD42" i="80"/>
  <c r="AC43" i="80"/>
  <c r="AD43" i="80"/>
  <c r="AC44" i="80"/>
  <c r="AD44" i="80"/>
  <c r="AC45" i="80"/>
  <c r="AD45" i="80"/>
  <c r="AC46" i="80"/>
  <c r="AD46" i="80"/>
  <c r="AC47" i="80"/>
  <c r="AD47" i="80"/>
  <c r="AC48" i="80"/>
  <c r="AD48" i="80"/>
  <c r="AC49" i="80"/>
  <c r="AD49" i="80"/>
  <c r="AC50" i="80"/>
  <c r="AD50" i="80"/>
  <c r="AC51" i="80"/>
  <c r="AD51" i="80"/>
  <c r="AC52" i="80"/>
  <c r="AD52" i="80"/>
  <c r="AC53" i="80"/>
  <c r="AD53" i="80"/>
  <c r="AC54" i="80"/>
  <c r="AD54" i="80"/>
  <c r="AC55" i="80"/>
  <c r="AD55" i="80"/>
  <c r="AC56" i="80"/>
  <c r="AD56" i="80"/>
  <c r="AC57" i="80"/>
  <c r="AD57" i="80"/>
  <c r="AC58" i="80"/>
  <c r="AD58" i="80"/>
  <c r="AC59" i="80"/>
  <c r="AD59" i="80"/>
  <c r="AC60" i="80"/>
  <c r="AD60" i="80"/>
  <c r="AC61" i="80"/>
  <c r="AD61" i="80"/>
  <c r="AC62" i="80"/>
  <c r="AD62" i="80"/>
  <c r="AC63" i="80"/>
  <c r="AD63" i="80"/>
  <c r="AC64" i="80"/>
  <c r="AD64" i="80"/>
  <c r="AC65" i="80"/>
  <c r="AD65" i="80"/>
  <c r="AC66" i="80"/>
  <c r="AD66" i="80"/>
  <c r="AC67" i="80"/>
  <c r="AD67" i="80"/>
  <c r="AC68" i="80"/>
  <c r="AD68" i="80"/>
  <c r="AC69" i="80"/>
  <c r="AD69" i="80"/>
  <c r="AC70" i="80"/>
  <c r="AD70" i="80"/>
  <c r="AC71" i="80"/>
  <c r="AD71" i="80"/>
  <c r="AC72" i="80"/>
  <c r="AD72" i="80"/>
  <c r="AC73" i="80"/>
  <c r="AD73" i="80"/>
  <c r="AC74" i="80"/>
  <c r="AD74" i="80"/>
  <c r="AC75" i="80"/>
  <c r="AD75" i="80"/>
  <c r="AC76" i="80"/>
  <c r="AD76" i="80"/>
  <c r="AC77" i="80"/>
  <c r="AD77" i="80"/>
  <c r="AC78" i="80"/>
  <c r="AD78" i="80"/>
  <c r="AC79" i="80"/>
  <c r="AD79" i="80"/>
  <c r="AC80" i="80"/>
  <c r="AD80" i="80"/>
  <c r="AC81" i="80"/>
  <c r="AD81" i="80"/>
  <c r="AC82" i="80"/>
  <c r="AD82" i="80"/>
  <c r="AC83" i="80"/>
  <c r="AD83" i="80"/>
  <c r="AC84" i="80"/>
  <c r="AD84" i="80"/>
  <c r="AC85" i="80"/>
  <c r="AD85" i="80"/>
  <c r="AC86" i="80"/>
  <c r="AD86" i="80"/>
  <c r="AC87" i="80"/>
  <c r="AD87" i="80"/>
  <c r="AC88" i="80"/>
  <c r="AD88" i="80"/>
  <c r="AC89" i="80"/>
  <c r="AD89" i="80"/>
  <c r="AC90" i="80"/>
  <c r="AD90" i="80"/>
  <c r="AC91" i="80"/>
  <c r="AD91" i="80"/>
  <c r="AC92" i="80"/>
  <c r="AD92" i="80"/>
  <c r="AC93" i="80"/>
  <c r="AD93" i="80"/>
  <c r="AC94" i="80"/>
  <c r="AD94" i="80"/>
  <c r="AC95" i="80"/>
  <c r="AD95" i="80"/>
  <c r="AC96" i="80"/>
  <c r="AD96" i="80"/>
  <c r="AC97" i="80"/>
  <c r="AD97" i="80"/>
  <c r="AC98" i="80"/>
  <c r="AD98" i="80"/>
  <c r="AC99" i="80"/>
  <c r="AD99" i="80"/>
  <c r="AC100" i="80"/>
  <c r="AD100" i="80"/>
  <c r="AC101" i="80"/>
  <c r="AD101" i="80"/>
  <c r="AC102" i="80"/>
  <c r="AD102" i="80"/>
  <c r="AC103" i="80"/>
  <c r="AD103" i="80"/>
  <c r="AC104" i="80"/>
  <c r="AD104" i="80"/>
  <c r="AC105" i="80"/>
  <c r="AD105" i="80"/>
  <c r="AC106" i="80"/>
  <c r="AD106" i="80"/>
  <c r="AC107" i="80"/>
  <c r="AD107" i="80"/>
  <c r="AC108" i="80"/>
  <c r="AD108" i="80"/>
  <c r="AC109" i="80"/>
  <c r="AD109" i="80"/>
  <c r="AC110" i="80"/>
  <c r="AD110" i="80"/>
  <c r="AC111" i="80"/>
  <c r="AD111" i="80"/>
  <c r="AC112" i="80"/>
  <c r="AD112" i="80"/>
  <c r="AC113" i="80"/>
  <c r="AD113" i="80"/>
  <c r="AC114" i="80"/>
  <c r="AD114" i="80"/>
  <c r="AC115" i="80"/>
  <c r="AD115" i="80"/>
  <c r="AC116" i="80"/>
  <c r="AD116" i="80"/>
  <c r="AC117" i="80"/>
  <c r="AD117" i="80"/>
  <c r="AC118" i="80"/>
  <c r="AD118" i="80"/>
  <c r="AC119" i="80"/>
  <c r="AD119" i="80"/>
  <c r="AC120" i="80"/>
  <c r="AD120" i="80"/>
  <c r="AC121" i="80"/>
  <c r="AD121" i="80"/>
  <c r="AC122" i="80"/>
  <c r="AD122" i="80"/>
  <c r="AC123" i="80"/>
  <c r="AD123" i="80"/>
  <c r="AC124" i="80"/>
  <c r="AD124" i="80"/>
  <c r="AC125" i="80"/>
  <c r="AD125" i="80"/>
  <c r="AC126" i="80"/>
  <c r="AD126" i="80"/>
  <c r="AC127" i="80"/>
  <c r="AD127" i="80"/>
  <c r="AC128" i="80"/>
  <c r="AD128" i="80"/>
  <c r="AC129" i="80"/>
  <c r="AD129" i="80"/>
  <c r="AC130" i="80"/>
  <c r="AD130" i="80"/>
  <c r="AC131" i="80"/>
  <c r="AD131" i="80"/>
  <c r="AC132" i="80"/>
  <c r="AD132" i="80"/>
  <c r="AC133" i="80"/>
  <c r="AD133" i="80"/>
  <c r="AC134" i="80"/>
  <c r="AD134" i="80"/>
  <c r="AC135" i="80"/>
  <c r="AD135" i="80"/>
  <c r="AC136" i="80"/>
  <c r="AD136" i="80"/>
  <c r="AC137" i="80"/>
  <c r="AD137" i="80"/>
  <c r="AC138" i="80"/>
  <c r="AD138" i="80"/>
  <c r="AC139" i="80"/>
  <c r="AD139" i="80"/>
  <c r="AC140" i="80"/>
  <c r="AD140" i="80"/>
  <c r="AC141" i="80"/>
  <c r="AD141" i="80"/>
  <c r="AC142" i="80"/>
  <c r="AD142" i="80"/>
  <c r="AC143" i="80"/>
  <c r="AD143" i="80"/>
  <c r="AC144" i="80"/>
  <c r="AD144" i="80"/>
  <c r="AC145" i="80"/>
  <c r="AD145" i="80"/>
  <c r="AC146" i="80"/>
  <c r="AD146" i="80"/>
  <c r="AC147" i="80"/>
  <c r="AD147" i="80"/>
  <c r="AC148" i="80"/>
  <c r="AD148" i="80"/>
  <c r="AC149" i="80"/>
  <c r="AD149" i="80"/>
  <c r="AC150" i="80"/>
  <c r="AD150" i="80"/>
  <c r="AC151" i="80"/>
  <c r="AD151" i="80"/>
  <c r="AC152" i="80"/>
  <c r="AD152" i="80"/>
  <c r="AC153" i="80"/>
  <c r="AD153" i="80"/>
  <c r="AC154" i="80"/>
  <c r="AD154" i="80"/>
  <c r="AC155" i="80"/>
  <c r="AD155" i="80"/>
  <c r="AC156" i="80"/>
  <c r="AD156" i="80"/>
  <c r="AC157" i="80"/>
  <c r="AD157" i="80"/>
  <c r="AC158" i="80"/>
  <c r="AD158" i="80"/>
  <c r="AC159" i="80"/>
  <c r="AD159" i="80"/>
  <c r="AC160" i="80"/>
  <c r="AD160" i="80"/>
  <c r="AC161" i="80"/>
  <c r="AD161" i="80"/>
  <c r="AC162" i="80"/>
  <c r="AD162" i="80"/>
  <c r="AC163" i="80"/>
  <c r="AD163" i="80"/>
  <c r="AC164" i="80"/>
  <c r="AD164" i="80"/>
  <c r="AC165" i="80"/>
  <c r="AD165" i="80"/>
  <c r="AC166" i="80"/>
  <c r="AD166" i="80"/>
  <c r="AC167" i="80"/>
  <c r="AD167" i="80"/>
  <c r="AC168" i="80"/>
  <c r="AD168" i="80"/>
  <c r="AC169" i="80"/>
  <c r="AD169" i="80"/>
  <c r="AC170" i="80"/>
  <c r="AD170" i="80"/>
  <c r="AC171" i="80"/>
  <c r="AD171" i="80"/>
  <c r="AC172" i="80"/>
  <c r="AD172" i="80"/>
  <c r="AC173" i="80"/>
  <c r="AD173" i="80"/>
  <c r="AC174" i="80"/>
  <c r="AD174" i="80"/>
  <c r="AC175" i="80"/>
  <c r="AD175" i="80"/>
  <c r="AC176" i="80"/>
  <c r="AD176" i="80"/>
  <c r="AC177" i="80"/>
  <c r="AD177" i="80"/>
  <c r="AC178" i="80"/>
  <c r="AD178" i="80"/>
  <c r="AC179" i="80"/>
  <c r="AD179" i="80"/>
  <c r="AC180" i="80"/>
  <c r="AD180" i="80"/>
  <c r="AC181" i="80"/>
  <c r="AD181" i="80"/>
  <c r="AC182" i="80"/>
  <c r="AD182" i="80"/>
  <c r="AC183" i="80"/>
  <c r="AD183" i="80"/>
  <c r="AC184" i="80"/>
  <c r="AD184" i="80"/>
  <c r="AC185" i="80"/>
  <c r="AD185" i="80"/>
  <c r="AC186" i="80"/>
  <c r="AD186" i="80"/>
  <c r="AC187" i="80"/>
  <c r="AD187" i="80"/>
  <c r="AC188" i="80"/>
  <c r="AD188" i="80"/>
  <c r="AC189" i="80"/>
  <c r="AD189" i="80"/>
  <c r="AC190" i="80"/>
  <c r="AD190" i="80"/>
  <c r="AC191" i="80"/>
  <c r="AD191" i="80"/>
  <c r="AC192" i="80"/>
  <c r="AD192" i="80"/>
  <c r="AC193" i="80"/>
  <c r="AD193" i="80"/>
  <c r="AC194" i="80"/>
  <c r="AD194" i="80"/>
  <c r="AC195" i="80"/>
  <c r="AD195" i="80"/>
  <c r="AC196" i="80"/>
  <c r="AD196" i="80"/>
  <c r="AC197" i="80"/>
  <c r="AD197" i="80"/>
  <c r="AC198" i="80"/>
  <c r="AD198" i="80"/>
  <c r="AC199" i="80"/>
  <c r="AD199" i="80"/>
  <c r="AC200" i="80"/>
  <c r="AD200" i="80"/>
  <c r="AC201" i="80"/>
  <c r="AD201" i="80"/>
  <c r="AC202" i="80"/>
  <c r="AD202" i="80"/>
  <c r="AC203" i="80"/>
  <c r="AD203" i="80"/>
  <c r="AC204" i="80"/>
  <c r="AD204" i="80"/>
  <c r="AC205" i="80"/>
  <c r="AD205" i="80"/>
  <c r="AC206" i="80"/>
  <c r="AD206" i="80"/>
  <c r="AC207" i="80"/>
  <c r="AD207" i="80"/>
  <c r="AC208" i="80"/>
  <c r="AD208" i="80"/>
  <c r="AC209" i="80"/>
  <c r="AD209" i="80"/>
  <c r="AC210" i="80"/>
  <c r="AD210" i="80"/>
  <c r="AC211" i="80"/>
  <c r="AD211" i="80"/>
  <c r="AC212" i="80"/>
  <c r="AD212" i="80"/>
  <c r="AC213" i="80"/>
  <c r="AD213" i="80"/>
  <c r="AC214" i="80"/>
  <c r="AD214" i="80"/>
  <c r="AC215" i="80"/>
  <c r="AD215" i="80"/>
  <c r="AC216" i="80"/>
  <c r="AD216" i="80"/>
  <c r="AC217" i="80"/>
  <c r="AD217" i="80"/>
  <c r="AC218" i="80"/>
  <c r="AD218" i="80"/>
  <c r="AC219" i="80"/>
  <c r="AD219" i="80"/>
  <c r="AC220" i="80"/>
  <c r="AD220" i="80"/>
  <c r="AC221" i="80"/>
  <c r="AD221" i="80"/>
  <c r="AC222" i="80"/>
  <c r="AD222" i="80"/>
  <c r="AC223" i="80"/>
  <c r="AD223" i="80"/>
  <c r="AC224" i="80"/>
  <c r="AD224" i="80"/>
  <c r="AC225" i="80"/>
  <c r="AD225" i="80"/>
  <c r="AC226" i="80"/>
  <c r="AD226" i="80"/>
  <c r="AC227" i="80"/>
  <c r="AD227" i="80"/>
  <c r="AC228" i="80"/>
  <c r="AD228" i="80"/>
  <c r="AC229" i="80"/>
  <c r="AD229" i="80"/>
  <c r="AC230" i="80"/>
  <c r="AD230" i="80"/>
  <c r="AC231" i="80"/>
  <c r="AD231" i="80"/>
  <c r="AC232" i="80"/>
  <c r="AD232" i="80"/>
  <c r="AC233" i="80"/>
  <c r="AD233" i="80"/>
  <c r="AC234" i="80"/>
  <c r="AD234" i="80"/>
  <c r="AC235" i="80"/>
  <c r="AD235" i="80"/>
  <c r="AC236" i="80"/>
  <c r="AD236" i="80"/>
  <c r="AC237" i="80"/>
  <c r="AD237" i="80"/>
  <c r="AC238" i="80"/>
  <c r="AD238" i="80"/>
  <c r="AC239" i="80"/>
  <c r="AD239" i="80"/>
  <c r="AC240" i="80"/>
  <c r="AD240" i="80"/>
  <c r="AC241" i="80"/>
  <c r="AD241" i="80"/>
  <c r="AC242" i="80"/>
  <c r="AD242" i="80"/>
  <c r="AC243" i="80"/>
  <c r="AD243" i="80"/>
  <c r="AC244" i="80"/>
  <c r="AD244" i="80"/>
  <c r="AC245" i="80"/>
  <c r="AD245" i="80"/>
  <c r="AC246" i="80"/>
  <c r="AD246" i="80"/>
  <c r="AC247" i="80"/>
  <c r="AD247" i="80"/>
  <c r="AC248" i="80"/>
  <c r="AD248" i="80"/>
  <c r="AC249" i="80"/>
  <c r="AD249" i="80"/>
  <c r="AC250" i="80"/>
  <c r="AD250" i="80"/>
  <c r="AC251" i="80"/>
  <c r="AD251" i="80"/>
  <c r="AC252" i="80"/>
  <c r="AD252" i="80"/>
  <c r="AC253" i="80"/>
  <c r="AD253" i="80"/>
  <c r="AC254" i="80"/>
  <c r="AD254" i="80"/>
  <c r="AC255" i="80"/>
  <c r="AD255" i="80"/>
  <c r="AC256" i="80"/>
  <c r="AD256" i="80"/>
  <c r="AC257" i="80"/>
  <c r="AD257" i="80"/>
  <c r="AC258" i="80"/>
  <c r="AD258" i="80"/>
  <c r="AC259" i="80"/>
  <c r="AD259" i="80"/>
  <c r="AC260" i="80"/>
  <c r="AD260" i="80"/>
  <c r="AC261" i="80"/>
  <c r="AD261" i="80"/>
  <c r="AC262" i="80"/>
  <c r="AD262" i="80"/>
  <c r="AC263" i="80"/>
  <c r="AD263" i="80"/>
  <c r="AC264" i="80"/>
  <c r="AD264" i="80"/>
  <c r="AC265" i="80"/>
  <c r="AD265" i="80"/>
  <c r="AC266" i="80"/>
  <c r="AD266" i="80"/>
  <c r="AC267" i="80"/>
  <c r="AD267" i="80"/>
  <c r="AC268" i="80"/>
  <c r="AD268" i="80"/>
  <c r="AC269" i="80"/>
  <c r="AD269" i="80"/>
  <c r="AC270" i="80"/>
  <c r="AD270" i="80"/>
  <c r="AC271" i="80"/>
  <c r="AD271" i="80"/>
  <c r="AC272" i="80"/>
  <c r="AD272" i="80"/>
  <c r="AC273" i="80"/>
  <c r="AD273" i="80"/>
  <c r="AC274" i="80"/>
  <c r="AD274" i="80"/>
  <c r="AC275" i="80"/>
  <c r="AD275" i="80"/>
  <c r="AC276" i="80"/>
  <c r="AD276" i="80"/>
  <c r="AC277" i="80"/>
  <c r="AD277" i="80"/>
  <c r="AC278" i="80"/>
  <c r="AD278" i="80"/>
  <c r="AC279" i="80"/>
  <c r="AD279" i="80"/>
  <c r="AC280" i="80"/>
  <c r="AD280" i="80"/>
  <c r="AC281" i="80"/>
  <c r="AD281" i="80"/>
  <c r="AC282" i="80"/>
  <c r="AD282" i="80"/>
  <c r="AC283" i="80"/>
  <c r="AD283" i="80"/>
  <c r="AC284" i="80"/>
  <c r="AD284" i="80"/>
  <c r="AC285" i="80"/>
  <c r="AD285" i="80"/>
  <c r="AC286" i="80"/>
  <c r="AD286" i="80"/>
  <c r="AC287" i="80"/>
  <c r="AD287" i="80"/>
  <c r="AC288" i="80"/>
  <c r="AD288" i="80"/>
  <c r="AC289" i="80"/>
  <c r="AD289" i="80"/>
  <c r="AC290" i="80"/>
  <c r="AD290" i="80"/>
  <c r="AC291" i="80"/>
  <c r="AD291" i="80"/>
  <c r="AC292" i="80"/>
  <c r="AD292" i="80"/>
  <c r="AC293" i="80"/>
  <c r="AD293" i="80"/>
  <c r="AC294" i="80"/>
  <c r="AD294" i="80"/>
  <c r="AC295" i="80"/>
  <c r="AD295" i="80"/>
  <c r="AC296" i="80"/>
  <c r="AD296" i="80"/>
  <c r="AC297" i="80"/>
  <c r="AD297" i="80"/>
  <c r="AC298" i="80"/>
  <c r="AD298" i="80"/>
  <c r="AC299" i="80"/>
  <c r="AD299" i="80"/>
  <c r="AC300" i="80"/>
  <c r="AD300" i="80"/>
  <c r="AC301" i="80"/>
  <c r="AD301" i="80"/>
  <c r="AC302" i="80"/>
  <c r="AD302" i="80"/>
  <c r="AC303" i="80"/>
  <c r="AD303" i="80"/>
  <c r="AC304" i="80"/>
  <c r="AD304" i="80"/>
  <c r="AC305" i="80"/>
  <c r="AD305" i="80"/>
  <c r="AC306" i="80"/>
  <c r="AD306" i="80"/>
  <c r="AC307" i="80"/>
  <c r="AD307" i="80"/>
  <c r="AC308" i="80"/>
  <c r="AD308" i="80"/>
  <c r="AC309" i="80"/>
  <c r="AD309" i="80"/>
  <c r="AC310" i="80"/>
  <c r="AD310" i="80"/>
  <c r="AC311" i="80"/>
  <c r="AD311" i="80"/>
  <c r="AC312" i="80"/>
  <c r="AD312" i="80"/>
  <c r="AC313" i="80"/>
  <c r="AD313" i="80"/>
  <c r="AC314" i="80"/>
  <c r="AD314" i="80"/>
  <c r="AC315" i="80"/>
  <c r="AD315" i="80"/>
  <c r="AC316" i="80"/>
  <c r="AD316" i="80"/>
  <c r="AC317" i="80"/>
  <c r="AD317" i="80"/>
  <c r="AC318" i="80"/>
  <c r="AD318" i="80"/>
  <c r="AC319" i="80"/>
  <c r="AD319" i="80"/>
  <c r="AC320" i="80"/>
  <c r="AD320" i="80"/>
  <c r="AC321" i="80"/>
  <c r="AD321" i="80"/>
  <c r="AC322" i="80"/>
  <c r="AD322" i="80"/>
  <c r="AC323" i="80"/>
  <c r="AD323" i="80"/>
  <c r="AC324" i="80"/>
  <c r="AD324" i="80"/>
  <c r="AC325" i="80"/>
  <c r="AD325" i="80"/>
  <c r="AC326" i="80"/>
  <c r="AD326" i="80"/>
  <c r="AC327" i="80"/>
  <c r="AD327" i="80"/>
  <c r="AC328" i="80"/>
  <c r="AD328" i="80"/>
  <c r="AC329" i="80"/>
  <c r="AD329" i="80"/>
  <c r="AC330" i="80"/>
  <c r="AD330" i="80"/>
  <c r="AC331" i="80"/>
  <c r="AD331" i="80"/>
  <c r="AC332" i="80"/>
  <c r="AD332" i="80"/>
  <c r="AC333" i="80"/>
  <c r="AD333" i="80"/>
  <c r="AC334" i="80"/>
  <c r="AD334" i="80"/>
  <c r="AC335" i="80"/>
  <c r="AD335" i="80"/>
  <c r="AC336" i="80"/>
  <c r="AD336" i="80"/>
  <c r="AC337" i="80"/>
  <c r="AD337" i="80"/>
  <c r="AC338" i="80"/>
  <c r="AD338" i="80"/>
  <c r="AC339" i="80"/>
  <c r="AD339" i="80"/>
  <c r="AC340" i="80"/>
  <c r="AD340" i="80"/>
  <c r="AC341" i="80"/>
  <c r="AD341" i="80"/>
  <c r="AC342" i="80"/>
  <c r="AD342" i="80"/>
  <c r="AC343" i="80"/>
  <c r="AD343" i="80"/>
  <c r="AC344" i="80"/>
  <c r="AD344" i="80"/>
  <c r="AC345" i="80"/>
  <c r="AD345" i="80"/>
  <c r="AC346" i="80"/>
  <c r="AD346" i="80"/>
  <c r="AC347" i="80"/>
  <c r="AD347" i="80"/>
  <c r="AC348" i="80"/>
  <c r="AD348" i="80"/>
  <c r="AC349" i="80"/>
  <c r="AD349" i="80"/>
  <c r="AC350" i="80"/>
  <c r="AD350" i="80"/>
  <c r="AC351" i="80"/>
  <c r="AD351" i="80"/>
  <c r="AC352" i="80"/>
  <c r="AD352" i="80"/>
  <c r="AC353" i="80"/>
  <c r="AD353" i="80"/>
  <c r="AC354" i="80"/>
  <c r="AD354" i="80"/>
  <c r="AC355" i="80"/>
  <c r="AD355" i="80"/>
  <c r="AC356" i="80"/>
  <c r="AD356" i="80"/>
  <c r="AC357" i="80"/>
  <c r="AD357" i="80"/>
  <c r="AC358" i="80"/>
  <c r="AD358" i="80"/>
  <c r="AC359" i="80"/>
  <c r="AD359" i="80"/>
  <c r="AC360" i="80"/>
  <c r="AD360" i="80"/>
  <c r="AC361" i="80"/>
  <c r="AD361" i="80"/>
  <c r="AC362" i="80"/>
  <c r="AD362" i="80"/>
  <c r="AC363" i="80"/>
  <c r="AD363" i="80"/>
  <c r="AD4" i="80"/>
  <c r="AC4" i="80"/>
  <c r="AA113" i="80"/>
  <c r="Z113" i="80"/>
  <c r="Y113" i="80"/>
  <c r="X113" i="80"/>
  <c r="W113" i="80"/>
  <c r="V113" i="80"/>
  <c r="AA112" i="80"/>
  <c r="Z112" i="80"/>
  <c r="Y112" i="80"/>
  <c r="X112" i="80"/>
  <c r="W112" i="80"/>
  <c r="V112" i="80"/>
  <c r="AA111" i="80"/>
  <c r="Z111" i="80"/>
  <c r="Y111" i="80"/>
  <c r="X111" i="80"/>
  <c r="W111" i="80"/>
  <c r="V111" i="80"/>
  <c r="AA110" i="80"/>
  <c r="Z110" i="80"/>
  <c r="Y110" i="80"/>
  <c r="X110" i="80"/>
  <c r="W110" i="80"/>
  <c r="V110" i="80"/>
  <c r="AA109" i="80"/>
  <c r="Z109" i="80"/>
  <c r="Y109" i="80"/>
  <c r="X109" i="80"/>
  <c r="W109" i="80"/>
  <c r="V109" i="80"/>
  <c r="AA108" i="80"/>
  <c r="Z108" i="80"/>
  <c r="Y108" i="80"/>
  <c r="X108" i="80"/>
  <c r="W108" i="80"/>
  <c r="V108" i="80"/>
  <c r="AA107" i="80"/>
  <c r="Z107" i="80"/>
  <c r="Y107" i="80"/>
  <c r="X107" i="80"/>
  <c r="W107" i="80"/>
  <c r="V107" i="80"/>
  <c r="AA106" i="80"/>
  <c r="Z106" i="80"/>
  <c r="Y106" i="80"/>
  <c r="X106" i="80"/>
  <c r="W106" i="80"/>
  <c r="V106" i="80"/>
  <c r="AA105" i="80"/>
  <c r="Z105" i="80"/>
  <c r="Y105" i="80"/>
  <c r="X105" i="80"/>
  <c r="W105" i="80"/>
  <c r="V105" i="80"/>
  <c r="AA104" i="80"/>
  <c r="Z104" i="80"/>
  <c r="Y104" i="80"/>
  <c r="X104" i="80"/>
  <c r="W104" i="80"/>
  <c r="V104" i="80"/>
  <c r="AA103" i="80"/>
  <c r="Z103" i="80"/>
  <c r="Y103" i="80"/>
  <c r="X103" i="80"/>
  <c r="W103" i="80"/>
  <c r="V103" i="80"/>
  <c r="AA102" i="80"/>
  <c r="Z102" i="80"/>
  <c r="Y102" i="80"/>
  <c r="X102" i="80"/>
  <c r="W102" i="80"/>
  <c r="V102" i="80"/>
  <c r="AA101" i="80"/>
  <c r="Z101" i="80"/>
  <c r="Y101" i="80"/>
  <c r="X101" i="80"/>
  <c r="W101" i="80"/>
  <c r="V101" i="80"/>
  <c r="AA100" i="80"/>
  <c r="Z100" i="80"/>
  <c r="Y100" i="80"/>
  <c r="X100" i="80"/>
  <c r="W100" i="80"/>
  <c r="V100" i="80"/>
  <c r="AA99" i="80"/>
  <c r="Z99" i="80"/>
  <c r="Y99" i="80"/>
  <c r="X99" i="80"/>
  <c r="W99" i="80"/>
  <c r="V99" i="80"/>
  <c r="AA98" i="80"/>
  <c r="Z98" i="80"/>
  <c r="Y98" i="80"/>
  <c r="X98" i="80"/>
  <c r="W98" i="80"/>
  <c r="V98" i="80"/>
  <c r="AA97" i="80"/>
  <c r="Z97" i="80"/>
  <c r="Y97" i="80"/>
  <c r="X97" i="80"/>
  <c r="W97" i="80"/>
  <c r="V97" i="80"/>
  <c r="AA96" i="80"/>
  <c r="Z96" i="80"/>
  <c r="Y96" i="80"/>
  <c r="X96" i="80"/>
  <c r="W96" i="80"/>
  <c r="V96" i="80"/>
  <c r="AA95" i="80"/>
  <c r="Z95" i="80"/>
  <c r="Y95" i="80"/>
  <c r="X95" i="80"/>
  <c r="W95" i="80"/>
  <c r="V95" i="80"/>
  <c r="AA94" i="80"/>
  <c r="Z94" i="80"/>
  <c r="Y94" i="80"/>
  <c r="X94" i="80"/>
  <c r="W94" i="80"/>
  <c r="V94" i="80"/>
  <c r="AA93" i="80"/>
  <c r="Z93" i="80"/>
  <c r="Y93" i="80"/>
  <c r="X93" i="80"/>
  <c r="W93" i="80"/>
  <c r="V93" i="80"/>
  <c r="AA92" i="80"/>
  <c r="Z92" i="80"/>
  <c r="Y92" i="80"/>
  <c r="X92" i="80"/>
  <c r="W92" i="80"/>
  <c r="V92" i="80"/>
  <c r="AA91" i="80"/>
  <c r="Z91" i="80"/>
  <c r="Y91" i="80"/>
  <c r="X91" i="80"/>
  <c r="W91" i="80"/>
  <c r="V91" i="80"/>
  <c r="AA90" i="80"/>
  <c r="Z90" i="80"/>
  <c r="Y90" i="80"/>
  <c r="X90" i="80"/>
  <c r="W90" i="80"/>
  <c r="V90" i="80"/>
  <c r="AA89" i="80"/>
  <c r="Z89" i="80"/>
  <c r="Y89" i="80"/>
  <c r="X89" i="80"/>
  <c r="W89" i="80"/>
  <c r="V89" i="80"/>
  <c r="AA88" i="80"/>
  <c r="Z88" i="80"/>
  <c r="Y88" i="80"/>
  <c r="X88" i="80"/>
  <c r="W88" i="80"/>
  <c r="V88" i="80"/>
  <c r="AA87" i="80"/>
  <c r="Z87" i="80"/>
  <c r="Y87" i="80"/>
  <c r="X87" i="80"/>
  <c r="W87" i="80"/>
  <c r="V87" i="80"/>
  <c r="AA86" i="80"/>
  <c r="Z86" i="80"/>
  <c r="Y86" i="80"/>
  <c r="X86" i="80"/>
  <c r="W86" i="80"/>
  <c r="V86" i="80"/>
  <c r="AA85" i="80"/>
  <c r="Z85" i="80"/>
  <c r="Y85" i="80"/>
  <c r="X85" i="80"/>
  <c r="W85" i="80"/>
  <c r="V85" i="80"/>
  <c r="AA84" i="80"/>
  <c r="Z84" i="80"/>
  <c r="Y84" i="80"/>
  <c r="X84" i="80"/>
  <c r="W84" i="80"/>
  <c r="V84" i="80"/>
  <c r="AA83" i="80"/>
  <c r="Z83" i="80"/>
  <c r="Y83" i="80"/>
  <c r="X83" i="80"/>
  <c r="W83" i="80"/>
  <c r="V83" i="80"/>
  <c r="AA82" i="80"/>
  <c r="Z82" i="80"/>
  <c r="Y82" i="80"/>
  <c r="X82" i="80"/>
  <c r="W82" i="80"/>
  <c r="V82" i="80"/>
  <c r="AA81" i="80"/>
  <c r="Z81" i="80"/>
  <c r="Y81" i="80"/>
  <c r="X81" i="80"/>
  <c r="W81" i="80"/>
  <c r="V81" i="80"/>
  <c r="AA80" i="80"/>
  <c r="Z80" i="80"/>
  <c r="Y80" i="80"/>
  <c r="X80" i="80"/>
  <c r="W80" i="80"/>
  <c r="V80" i="80"/>
  <c r="AA79" i="80"/>
  <c r="Z79" i="80"/>
  <c r="Y79" i="80"/>
  <c r="X79" i="80"/>
  <c r="W79" i="80"/>
  <c r="V79" i="80"/>
  <c r="AA78" i="80"/>
  <c r="Z78" i="80"/>
  <c r="Y78" i="80"/>
  <c r="X78" i="80"/>
  <c r="W78" i="80"/>
  <c r="V78" i="80"/>
  <c r="AA77" i="80"/>
  <c r="Z77" i="80"/>
  <c r="Y77" i="80"/>
  <c r="X77" i="80"/>
  <c r="W77" i="80"/>
  <c r="V77" i="80"/>
  <c r="AA76" i="80"/>
  <c r="Z76" i="80"/>
  <c r="Y76" i="80"/>
  <c r="X76" i="80"/>
  <c r="W76" i="80"/>
  <c r="V76" i="80"/>
  <c r="AA75" i="80"/>
  <c r="Z75" i="80"/>
  <c r="Y75" i="80"/>
  <c r="X75" i="80"/>
  <c r="W75" i="80"/>
  <c r="V75" i="80"/>
  <c r="AA74" i="80"/>
  <c r="Z74" i="80"/>
  <c r="Y74" i="80"/>
  <c r="X74" i="80"/>
  <c r="W74" i="80"/>
  <c r="V74" i="80"/>
  <c r="AA73" i="80"/>
  <c r="Z73" i="80"/>
  <c r="Y73" i="80"/>
  <c r="X73" i="80"/>
  <c r="W73" i="80"/>
  <c r="V73" i="80"/>
  <c r="AA72" i="80"/>
  <c r="Z72" i="80"/>
  <c r="Y72" i="80"/>
  <c r="X72" i="80"/>
  <c r="W72" i="80"/>
  <c r="V72" i="80"/>
  <c r="AA71" i="80"/>
  <c r="Z71" i="80"/>
  <c r="Y71" i="80"/>
  <c r="X71" i="80"/>
  <c r="W71" i="80"/>
  <c r="V71" i="80"/>
  <c r="AA70" i="80"/>
  <c r="Z70" i="80"/>
  <c r="Y70" i="80"/>
  <c r="X70" i="80"/>
  <c r="W70" i="80"/>
  <c r="V70" i="80"/>
  <c r="AA69" i="80"/>
  <c r="Z69" i="80"/>
  <c r="Y69" i="80"/>
  <c r="X69" i="80"/>
  <c r="W69" i="80"/>
  <c r="V69" i="80"/>
  <c r="AA68" i="80"/>
  <c r="Z68" i="80"/>
  <c r="Y68" i="80"/>
  <c r="X68" i="80"/>
  <c r="W68" i="80"/>
  <c r="V68" i="80"/>
  <c r="AA67" i="80"/>
  <c r="Z67" i="80"/>
  <c r="Y67" i="80"/>
  <c r="X67" i="80"/>
  <c r="W67" i="80"/>
  <c r="V67" i="80"/>
  <c r="AA66" i="80"/>
  <c r="Z66" i="80"/>
  <c r="Y66" i="80"/>
  <c r="X66" i="80"/>
  <c r="W66" i="80"/>
  <c r="V66" i="80"/>
  <c r="AA65" i="80"/>
  <c r="Z65" i="80"/>
  <c r="Y65" i="80"/>
  <c r="X65" i="80"/>
  <c r="W65" i="80"/>
  <c r="V65" i="80"/>
  <c r="AA64" i="80"/>
  <c r="Z64" i="80"/>
  <c r="Y64" i="80"/>
  <c r="X64" i="80"/>
  <c r="W64" i="80"/>
  <c r="V64" i="80"/>
  <c r="AA63" i="80"/>
  <c r="Z63" i="80"/>
  <c r="Y63" i="80"/>
  <c r="X63" i="80"/>
  <c r="W63" i="80"/>
  <c r="V63" i="80"/>
  <c r="AA62" i="80"/>
  <c r="Z62" i="80"/>
  <c r="Y62" i="80"/>
  <c r="X62" i="80"/>
  <c r="W62" i="80"/>
  <c r="V62" i="80"/>
  <c r="AA61" i="80"/>
  <c r="Z61" i="80"/>
  <c r="Y61" i="80"/>
  <c r="X61" i="80"/>
  <c r="W61" i="80"/>
  <c r="V61" i="80"/>
  <c r="AA60" i="80"/>
  <c r="Z60" i="80"/>
  <c r="Y60" i="80"/>
  <c r="X60" i="80"/>
  <c r="W60" i="80"/>
  <c r="V60" i="80"/>
  <c r="AA59" i="80"/>
  <c r="Z59" i="80"/>
  <c r="Y59" i="80"/>
  <c r="X59" i="80"/>
  <c r="W59" i="80"/>
  <c r="V59" i="80"/>
  <c r="AA58" i="80"/>
  <c r="Z58" i="80"/>
  <c r="Y58" i="80"/>
  <c r="X58" i="80"/>
  <c r="W58" i="80"/>
  <c r="V58" i="80"/>
  <c r="AA57" i="80"/>
  <c r="Z57" i="80"/>
  <c r="Y57" i="80"/>
  <c r="X57" i="80"/>
  <c r="W57" i="80"/>
  <c r="V57" i="80"/>
  <c r="AA56" i="80"/>
  <c r="Z56" i="80"/>
  <c r="Y56" i="80"/>
  <c r="X56" i="80"/>
  <c r="W56" i="80"/>
  <c r="V56" i="80"/>
  <c r="AA55" i="80"/>
  <c r="Z55" i="80"/>
  <c r="Y55" i="80"/>
  <c r="X55" i="80"/>
  <c r="W55" i="80"/>
  <c r="V55" i="80"/>
  <c r="AA54" i="80"/>
  <c r="Z54" i="80"/>
  <c r="Y54" i="80"/>
  <c r="X54" i="80"/>
  <c r="W54" i="80"/>
  <c r="V54" i="80"/>
  <c r="AA53" i="80"/>
  <c r="Z53" i="80"/>
  <c r="Y53" i="80"/>
  <c r="X53" i="80"/>
  <c r="W53" i="80"/>
  <c r="V53" i="80"/>
  <c r="AA52" i="80"/>
  <c r="Z52" i="80"/>
  <c r="Y52" i="80"/>
  <c r="X52" i="80"/>
  <c r="W52" i="80"/>
  <c r="V52" i="80"/>
  <c r="AA51" i="80"/>
  <c r="Z51" i="80"/>
  <c r="Y51" i="80"/>
  <c r="X51" i="80"/>
  <c r="W51" i="80"/>
  <c r="V51" i="80"/>
  <c r="AA50" i="80"/>
  <c r="Z50" i="80"/>
  <c r="Y50" i="80"/>
  <c r="X50" i="80"/>
  <c r="W50" i="80"/>
  <c r="V50" i="80"/>
  <c r="AA49" i="80"/>
  <c r="Z49" i="80"/>
  <c r="Y49" i="80"/>
  <c r="X49" i="80"/>
  <c r="W49" i="80"/>
  <c r="V49" i="80"/>
  <c r="AA48" i="80"/>
  <c r="Z48" i="80"/>
  <c r="Y48" i="80"/>
  <c r="X48" i="80"/>
  <c r="W48" i="80"/>
  <c r="V48" i="80"/>
  <c r="AA47" i="80"/>
  <c r="Z47" i="80"/>
  <c r="Y47" i="80"/>
  <c r="X47" i="80"/>
  <c r="W47" i="80"/>
  <c r="V47" i="80"/>
  <c r="AA46" i="80"/>
  <c r="Z46" i="80"/>
  <c r="Y46" i="80"/>
  <c r="X46" i="80"/>
  <c r="W46" i="80"/>
  <c r="V46" i="80"/>
  <c r="AA45" i="80"/>
  <c r="Z45" i="80"/>
  <c r="Y45" i="80"/>
  <c r="X45" i="80"/>
  <c r="W45" i="80"/>
  <c r="V45" i="80"/>
  <c r="AA44" i="80"/>
  <c r="Z44" i="80"/>
  <c r="Y44" i="80"/>
  <c r="X44" i="80"/>
  <c r="W44" i="80"/>
  <c r="V44" i="80"/>
  <c r="AA43" i="80"/>
  <c r="Z43" i="80"/>
  <c r="Y43" i="80"/>
  <c r="X43" i="80"/>
  <c r="W43" i="80"/>
  <c r="V43" i="80"/>
  <c r="AA42" i="80"/>
  <c r="Z42" i="80"/>
  <c r="Y42" i="80"/>
  <c r="X42" i="80"/>
  <c r="W42" i="80"/>
  <c r="V42" i="80"/>
  <c r="AA41" i="80"/>
  <c r="Z41" i="80"/>
  <c r="Y41" i="80"/>
  <c r="X41" i="80"/>
  <c r="W41" i="80"/>
  <c r="V41" i="80"/>
  <c r="AA40" i="80"/>
  <c r="Z40" i="80"/>
  <c r="Y40" i="80"/>
  <c r="X40" i="80"/>
  <c r="W40" i="80"/>
  <c r="V40" i="80"/>
  <c r="AA39" i="80"/>
  <c r="Z39" i="80"/>
  <c r="Y39" i="80"/>
  <c r="X39" i="80"/>
  <c r="W39" i="80"/>
  <c r="V39" i="80"/>
  <c r="AA38" i="80"/>
  <c r="Z38" i="80"/>
  <c r="Y38" i="80"/>
  <c r="X38" i="80"/>
  <c r="W38" i="80"/>
  <c r="V38" i="80"/>
  <c r="AA37" i="80"/>
  <c r="Z37" i="80"/>
  <c r="Y37" i="80"/>
  <c r="X37" i="80"/>
  <c r="W37" i="80"/>
  <c r="V37" i="80"/>
  <c r="AA36" i="80"/>
  <c r="Z36" i="80"/>
  <c r="Y36" i="80"/>
  <c r="X36" i="80"/>
  <c r="W36" i="80"/>
  <c r="V36" i="80"/>
  <c r="AA35" i="80"/>
  <c r="Z35" i="80"/>
  <c r="Y35" i="80"/>
  <c r="X35" i="80"/>
  <c r="W35" i="80"/>
  <c r="V35" i="80"/>
  <c r="AA34" i="80"/>
  <c r="Z34" i="80"/>
  <c r="Y34" i="80"/>
  <c r="X34" i="80"/>
  <c r="W34" i="80"/>
  <c r="V34" i="80"/>
  <c r="AA33" i="80"/>
  <c r="Z33" i="80"/>
  <c r="Y33" i="80"/>
  <c r="X33" i="80"/>
  <c r="W33" i="80"/>
  <c r="V33" i="80"/>
  <c r="AA32" i="80"/>
  <c r="Z32" i="80"/>
  <c r="Y32" i="80"/>
  <c r="X32" i="80"/>
  <c r="W32" i="80"/>
  <c r="V32" i="80"/>
  <c r="AA31" i="80"/>
  <c r="Z31" i="80"/>
  <c r="Y31" i="80"/>
  <c r="X31" i="80"/>
  <c r="W31" i="80"/>
  <c r="V31" i="80"/>
  <c r="AA30" i="80"/>
  <c r="Z30" i="80"/>
  <c r="Y30" i="80"/>
  <c r="X30" i="80"/>
  <c r="W30" i="80"/>
  <c r="V30" i="80"/>
  <c r="AA29" i="80"/>
  <c r="Z29" i="80"/>
  <c r="Y29" i="80"/>
  <c r="X29" i="80"/>
  <c r="W29" i="80"/>
  <c r="V29" i="80"/>
  <c r="AA28" i="80"/>
  <c r="Z28" i="80"/>
  <c r="Y28" i="80"/>
  <c r="X28" i="80"/>
  <c r="W28" i="80"/>
  <c r="V28" i="80"/>
  <c r="AA27" i="80"/>
  <c r="Z27" i="80"/>
  <c r="Y27" i="80"/>
  <c r="X27" i="80"/>
  <c r="W27" i="80"/>
  <c r="V27" i="80"/>
  <c r="AA26" i="80"/>
  <c r="Z26" i="80"/>
  <c r="Y26" i="80"/>
  <c r="X26" i="80"/>
  <c r="W26" i="80"/>
  <c r="V26" i="80"/>
  <c r="AA25" i="80"/>
  <c r="Z25" i="80"/>
  <c r="Y25" i="80"/>
  <c r="X25" i="80"/>
  <c r="W25" i="80"/>
  <c r="V25" i="80"/>
  <c r="AA24" i="80"/>
  <c r="Z24" i="80"/>
  <c r="Y24" i="80"/>
  <c r="X24" i="80"/>
  <c r="W24" i="80"/>
  <c r="V24" i="80"/>
  <c r="AA23" i="80"/>
  <c r="Z23" i="80"/>
  <c r="Y23" i="80"/>
  <c r="X23" i="80"/>
  <c r="W23" i="80"/>
  <c r="V23" i="80"/>
  <c r="AA22" i="80"/>
  <c r="Z22" i="80"/>
  <c r="Y22" i="80"/>
  <c r="X22" i="80"/>
  <c r="W22" i="80"/>
  <c r="V22" i="80"/>
  <c r="W21" i="80"/>
  <c r="V21" i="80"/>
  <c r="W20" i="80"/>
  <c r="V20" i="80"/>
  <c r="W19" i="80"/>
  <c r="V19" i="80"/>
  <c r="W18" i="80"/>
  <c r="V18" i="80"/>
  <c r="W17" i="80"/>
  <c r="V17" i="80"/>
  <c r="W16" i="80"/>
  <c r="V16" i="80"/>
  <c r="W15" i="80"/>
  <c r="V15" i="80"/>
  <c r="W14" i="80"/>
  <c r="V14" i="80"/>
  <c r="W13" i="80"/>
  <c r="V13" i="80"/>
  <c r="W12" i="80"/>
  <c r="V12" i="80"/>
  <c r="W11" i="80"/>
  <c r="V11" i="80"/>
  <c r="W10" i="80"/>
  <c r="V10" i="80"/>
  <c r="W9" i="80"/>
  <c r="V9" i="80"/>
  <c r="W8" i="80"/>
  <c r="V8" i="80"/>
  <c r="W7" i="80"/>
  <c r="V7" i="80"/>
  <c r="W6" i="80"/>
  <c r="V6" i="80"/>
  <c r="AA5" i="80"/>
  <c r="Z5" i="80"/>
  <c r="Y5" i="80"/>
  <c r="X5" i="80"/>
  <c r="W5" i="80"/>
  <c r="V5" i="80"/>
  <c r="AA4" i="80"/>
  <c r="Z4" i="80"/>
  <c r="Y4" i="80"/>
  <c r="X4" i="80"/>
  <c r="W4" i="80"/>
  <c r="V4" i="80"/>
  <c r="O5" i="80"/>
  <c r="P5" i="80"/>
  <c r="Q5" i="80"/>
  <c r="R5" i="80"/>
  <c r="S5" i="80"/>
  <c r="T5" i="80"/>
  <c r="O6" i="80"/>
  <c r="P6" i="80"/>
  <c r="O7" i="80"/>
  <c r="P7" i="80"/>
  <c r="O8" i="80"/>
  <c r="P8" i="80"/>
  <c r="O9" i="80"/>
  <c r="P9" i="80"/>
  <c r="O10" i="80"/>
  <c r="P10" i="80"/>
  <c r="O11" i="80"/>
  <c r="P11" i="80"/>
  <c r="O12" i="80"/>
  <c r="P12" i="80"/>
  <c r="O13" i="80"/>
  <c r="P13" i="80"/>
  <c r="O14" i="80"/>
  <c r="P14" i="80"/>
  <c r="O15" i="80"/>
  <c r="P15" i="80"/>
  <c r="O16" i="80"/>
  <c r="P16" i="80"/>
  <c r="O17" i="80"/>
  <c r="P17" i="80"/>
  <c r="O18" i="80"/>
  <c r="P18" i="80"/>
  <c r="O19" i="80"/>
  <c r="P19" i="80"/>
  <c r="O20" i="80"/>
  <c r="P20" i="80"/>
  <c r="O21" i="80"/>
  <c r="P21" i="80"/>
  <c r="Q21" i="80"/>
  <c r="R21" i="80"/>
  <c r="S21" i="80"/>
  <c r="T21" i="80"/>
  <c r="O22" i="80"/>
  <c r="P22" i="80"/>
  <c r="Q22" i="80"/>
  <c r="R22" i="80"/>
  <c r="S22" i="80"/>
  <c r="T22" i="80"/>
  <c r="O23" i="80"/>
  <c r="P23" i="80"/>
  <c r="Q23" i="80"/>
  <c r="R23" i="80"/>
  <c r="S23" i="80"/>
  <c r="T23" i="80"/>
  <c r="O24" i="80"/>
  <c r="P24" i="80"/>
  <c r="Q24" i="80"/>
  <c r="R24" i="80"/>
  <c r="S24" i="80"/>
  <c r="T24" i="80"/>
  <c r="O25" i="80"/>
  <c r="P25" i="80"/>
  <c r="Q25" i="80"/>
  <c r="R25" i="80"/>
  <c r="S25" i="80"/>
  <c r="T25" i="80"/>
  <c r="O26" i="80"/>
  <c r="P26" i="80"/>
  <c r="Q26" i="80"/>
  <c r="R26" i="80"/>
  <c r="S26" i="80"/>
  <c r="T26" i="80"/>
  <c r="O27" i="80"/>
  <c r="P27" i="80"/>
  <c r="Q27" i="80"/>
  <c r="R27" i="80"/>
  <c r="S27" i="80"/>
  <c r="T27" i="80"/>
  <c r="O28" i="80"/>
  <c r="P28" i="80"/>
  <c r="Q28" i="80"/>
  <c r="R28" i="80"/>
  <c r="S28" i="80"/>
  <c r="T28" i="80"/>
  <c r="O29" i="80"/>
  <c r="P29" i="80"/>
  <c r="Q29" i="80"/>
  <c r="R29" i="80"/>
  <c r="S29" i="80"/>
  <c r="T29" i="80"/>
  <c r="O30" i="80"/>
  <c r="P30" i="80"/>
  <c r="Q30" i="80"/>
  <c r="R30" i="80"/>
  <c r="S30" i="80"/>
  <c r="T30" i="80"/>
  <c r="O31" i="80"/>
  <c r="P31" i="80"/>
  <c r="Q31" i="80"/>
  <c r="R31" i="80"/>
  <c r="S31" i="80"/>
  <c r="T31" i="80"/>
  <c r="O32" i="80"/>
  <c r="P32" i="80"/>
  <c r="Q32" i="80"/>
  <c r="R32" i="80"/>
  <c r="S32" i="80"/>
  <c r="T32" i="80"/>
  <c r="O33" i="80"/>
  <c r="P33" i="80"/>
  <c r="Q33" i="80"/>
  <c r="R33" i="80"/>
  <c r="S33" i="80"/>
  <c r="T33" i="80"/>
  <c r="O34" i="80"/>
  <c r="P34" i="80"/>
  <c r="Q34" i="80"/>
  <c r="R34" i="80"/>
  <c r="S34" i="80"/>
  <c r="T34" i="80"/>
  <c r="O35" i="80"/>
  <c r="P35" i="80"/>
  <c r="Q35" i="80"/>
  <c r="R35" i="80"/>
  <c r="S35" i="80"/>
  <c r="T35" i="80"/>
  <c r="O36" i="80"/>
  <c r="P36" i="80"/>
  <c r="Q36" i="80"/>
  <c r="R36" i="80"/>
  <c r="S36" i="80"/>
  <c r="T36" i="80"/>
  <c r="O37" i="80"/>
  <c r="P37" i="80"/>
  <c r="Q37" i="80"/>
  <c r="R37" i="80"/>
  <c r="S37" i="80"/>
  <c r="T37" i="80"/>
  <c r="O38" i="80"/>
  <c r="P38" i="80"/>
  <c r="Q38" i="80"/>
  <c r="R38" i="80"/>
  <c r="S38" i="80"/>
  <c r="T38" i="80"/>
  <c r="O39" i="80"/>
  <c r="P39" i="80"/>
  <c r="Q39" i="80"/>
  <c r="R39" i="80"/>
  <c r="S39" i="80"/>
  <c r="T39" i="80"/>
  <c r="O40" i="80"/>
  <c r="P40" i="80"/>
  <c r="Q40" i="80"/>
  <c r="R40" i="80"/>
  <c r="S40" i="80"/>
  <c r="T40" i="80"/>
  <c r="O41" i="80"/>
  <c r="P41" i="80"/>
  <c r="Q41" i="80"/>
  <c r="R41" i="80"/>
  <c r="S41" i="80"/>
  <c r="T41" i="80"/>
  <c r="O42" i="80"/>
  <c r="P42" i="80"/>
  <c r="Q42" i="80"/>
  <c r="R42" i="80"/>
  <c r="S42" i="80"/>
  <c r="T42" i="80"/>
  <c r="O43" i="80"/>
  <c r="P43" i="80"/>
  <c r="Q43" i="80"/>
  <c r="R43" i="80"/>
  <c r="S43" i="80"/>
  <c r="T43" i="80"/>
  <c r="O44" i="80"/>
  <c r="P44" i="80"/>
  <c r="Q44" i="80"/>
  <c r="R44" i="80"/>
  <c r="S44" i="80"/>
  <c r="T44" i="80"/>
  <c r="O45" i="80"/>
  <c r="P45" i="80"/>
  <c r="Q45" i="80"/>
  <c r="R45" i="80"/>
  <c r="S45" i="80"/>
  <c r="T45" i="80"/>
  <c r="O46" i="80"/>
  <c r="P46" i="80"/>
  <c r="Q46" i="80"/>
  <c r="R46" i="80"/>
  <c r="S46" i="80"/>
  <c r="T46" i="80"/>
  <c r="O47" i="80"/>
  <c r="P47" i="80"/>
  <c r="Q47" i="80"/>
  <c r="R47" i="80"/>
  <c r="S47" i="80"/>
  <c r="T47" i="80"/>
  <c r="O48" i="80"/>
  <c r="P48" i="80"/>
  <c r="Q48" i="80"/>
  <c r="R48" i="80"/>
  <c r="S48" i="80"/>
  <c r="T48" i="80"/>
  <c r="O49" i="80"/>
  <c r="P49" i="80"/>
  <c r="Q49" i="80"/>
  <c r="R49" i="80"/>
  <c r="S49" i="80"/>
  <c r="T49" i="80"/>
  <c r="O50" i="80"/>
  <c r="P50" i="80"/>
  <c r="Q50" i="80"/>
  <c r="R50" i="80"/>
  <c r="S50" i="80"/>
  <c r="T50" i="80"/>
  <c r="O51" i="80"/>
  <c r="P51" i="80"/>
  <c r="Q51" i="80"/>
  <c r="R51" i="80"/>
  <c r="S51" i="80"/>
  <c r="T51" i="80"/>
  <c r="O52" i="80"/>
  <c r="P52" i="80"/>
  <c r="Q52" i="80"/>
  <c r="R52" i="80"/>
  <c r="S52" i="80"/>
  <c r="T52" i="80"/>
  <c r="O53" i="80"/>
  <c r="P53" i="80"/>
  <c r="Q53" i="80"/>
  <c r="R53" i="80"/>
  <c r="S53" i="80"/>
  <c r="T53" i="80"/>
  <c r="O54" i="80"/>
  <c r="P54" i="80"/>
  <c r="Q54" i="80"/>
  <c r="R54" i="80"/>
  <c r="S54" i="80"/>
  <c r="T54" i="80"/>
  <c r="O55" i="80"/>
  <c r="P55" i="80"/>
  <c r="Q55" i="80"/>
  <c r="R55" i="80"/>
  <c r="S55" i="80"/>
  <c r="T55" i="80"/>
  <c r="O56" i="80"/>
  <c r="P56" i="80"/>
  <c r="Q56" i="80"/>
  <c r="R56" i="80"/>
  <c r="S56" i="80"/>
  <c r="T56" i="80"/>
  <c r="O57" i="80"/>
  <c r="P57" i="80"/>
  <c r="Q57" i="80"/>
  <c r="R57" i="80"/>
  <c r="S57" i="80"/>
  <c r="T57" i="80"/>
  <c r="O58" i="80"/>
  <c r="P58" i="80"/>
  <c r="Q58" i="80"/>
  <c r="R58" i="80"/>
  <c r="S58" i="80"/>
  <c r="T58" i="80"/>
  <c r="O59" i="80"/>
  <c r="P59" i="80"/>
  <c r="Q59" i="80"/>
  <c r="R59" i="80"/>
  <c r="S59" i="80"/>
  <c r="T59" i="80"/>
  <c r="O60" i="80"/>
  <c r="P60" i="80"/>
  <c r="Q60" i="80"/>
  <c r="R60" i="80"/>
  <c r="S60" i="80"/>
  <c r="T60" i="80"/>
  <c r="O61" i="80"/>
  <c r="P61" i="80"/>
  <c r="Q61" i="80"/>
  <c r="R61" i="80"/>
  <c r="S61" i="80"/>
  <c r="T61" i="80"/>
  <c r="O62" i="80"/>
  <c r="P62" i="80"/>
  <c r="Q62" i="80"/>
  <c r="R62" i="80"/>
  <c r="S62" i="80"/>
  <c r="T62" i="80"/>
  <c r="O63" i="80"/>
  <c r="P63" i="80"/>
  <c r="Q63" i="80"/>
  <c r="R63" i="80"/>
  <c r="S63" i="80"/>
  <c r="T63" i="80"/>
  <c r="O64" i="80"/>
  <c r="P64" i="80"/>
  <c r="Q64" i="80"/>
  <c r="R64" i="80"/>
  <c r="S64" i="80"/>
  <c r="T64" i="80"/>
  <c r="O65" i="80"/>
  <c r="P65" i="80"/>
  <c r="Q65" i="80"/>
  <c r="R65" i="80"/>
  <c r="S65" i="80"/>
  <c r="T65" i="80"/>
  <c r="O66" i="80"/>
  <c r="P66" i="80"/>
  <c r="Q66" i="80"/>
  <c r="R66" i="80"/>
  <c r="S66" i="80"/>
  <c r="T66" i="80"/>
  <c r="O67" i="80"/>
  <c r="P67" i="80"/>
  <c r="Q67" i="80"/>
  <c r="R67" i="80"/>
  <c r="S67" i="80"/>
  <c r="T67" i="80"/>
  <c r="O68" i="80"/>
  <c r="P68" i="80"/>
  <c r="Q68" i="80"/>
  <c r="R68" i="80"/>
  <c r="S68" i="80"/>
  <c r="T68" i="80"/>
  <c r="O69" i="80"/>
  <c r="P69" i="80"/>
  <c r="Q69" i="80"/>
  <c r="R69" i="80"/>
  <c r="S69" i="80"/>
  <c r="T69" i="80"/>
  <c r="O70" i="80"/>
  <c r="P70" i="80"/>
  <c r="Q70" i="80"/>
  <c r="R70" i="80"/>
  <c r="S70" i="80"/>
  <c r="T70" i="80"/>
  <c r="O71" i="80"/>
  <c r="P71" i="80"/>
  <c r="Q71" i="80"/>
  <c r="R71" i="80"/>
  <c r="S71" i="80"/>
  <c r="T71" i="80"/>
  <c r="O72" i="80"/>
  <c r="P72" i="80"/>
  <c r="Q72" i="80"/>
  <c r="R72" i="80"/>
  <c r="S72" i="80"/>
  <c r="T72" i="80"/>
  <c r="O73" i="80"/>
  <c r="P73" i="80"/>
  <c r="Q73" i="80"/>
  <c r="R73" i="80"/>
  <c r="S73" i="80"/>
  <c r="T73" i="80"/>
  <c r="O74" i="80"/>
  <c r="P74" i="80"/>
  <c r="Q74" i="80"/>
  <c r="R74" i="80"/>
  <c r="S74" i="80"/>
  <c r="T74" i="80"/>
  <c r="O75" i="80"/>
  <c r="P75" i="80"/>
  <c r="Q75" i="80"/>
  <c r="R75" i="80"/>
  <c r="S75" i="80"/>
  <c r="T75" i="80"/>
  <c r="O76" i="80"/>
  <c r="P76" i="80"/>
  <c r="Q76" i="80"/>
  <c r="R76" i="80"/>
  <c r="S76" i="80"/>
  <c r="T76" i="80"/>
  <c r="O77" i="80"/>
  <c r="P77" i="80"/>
  <c r="Q77" i="80"/>
  <c r="R77" i="80"/>
  <c r="S77" i="80"/>
  <c r="T77" i="80"/>
  <c r="O78" i="80"/>
  <c r="P78" i="80"/>
  <c r="Q78" i="80"/>
  <c r="R78" i="80"/>
  <c r="S78" i="80"/>
  <c r="T78" i="80"/>
  <c r="O79" i="80"/>
  <c r="P79" i="80"/>
  <c r="Q79" i="80"/>
  <c r="R79" i="80"/>
  <c r="S79" i="80"/>
  <c r="T79" i="80"/>
  <c r="O80" i="80"/>
  <c r="P80" i="80"/>
  <c r="Q80" i="80"/>
  <c r="R80" i="80"/>
  <c r="S80" i="80"/>
  <c r="T80" i="80"/>
  <c r="O81" i="80"/>
  <c r="P81" i="80"/>
  <c r="Q81" i="80"/>
  <c r="R81" i="80"/>
  <c r="S81" i="80"/>
  <c r="T81" i="80"/>
  <c r="O82" i="80"/>
  <c r="P82" i="80"/>
  <c r="Q82" i="80"/>
  <c r="R82" i="80"/>
  <c r="S82" i="80"/>
  <c r="T82" i="80"/>
  <c r="O83" i="80"/>
  <c r="P83" i="80"/>
  <c r="Q83" i="80"/>
  <c r="R83" i="80"/>
  <c r="S83" i="80"/>
  <c r="T83" i="80"/>
  <c r="O84" i="80"/>
  <c r="P84" i="80"/>
  <c r="Q84" i="80"/>
  <c r="R84" i="80"/>
  <c r="S84" i="80"/>
  <c r="T84" i="80"/>
  <c r="O85" i="80"/>
  <c r="P85" i="80"/>
  <c r="Q85" i="80"/>
  <c r="R85" i="80"/>
  <c r="S85" i="80"/>
  <c r="T85" i="80"/>
  <c r="O86" i="80"/>
  <c r="P86" i="80"/>
  <c r="Q86" i="80"/>
  <c r="R86" i="80"/>
  <c r="S86" i="80"/>
  <c r="T86" i="80"/>
  <c r="O87" i="80"/>
  <c r="P87" i="80"/>
  <c r="Q87" i="80"/>
  <c r="R87" i="80"/>
  <c r="S87" i="80"/>
  <c r="T87" i="80"/>
  <c r="O88" i="80"/>
  <c r="P88" i="80"/>
  <c r="Q88" i="80"/>
  <c r="R88" i="80"/>
  <c r="S88" i="80"/>
  <c r="T88" i="80"/>
  <c r="O89" i="80"/>
  <c r="P89" i="80"/>
  <c r="Q89" i="80"/>
  <c r="R89" i="80"/>
  <c r="S89" i="80"/>
  <c r="T89" i="80"/>
  <c r="O90" i="80"/>
  <c r="P90" i="80"/>
  <c r="Q90" i="80"/>
  <c r="R90" i="80"/>
  <c r="S90" i="80"/>
  <c r="T90" i="80"/>
  <c r="O91" i="80"/>
  <c r="P91" i="80"/>
  <c r="Q91" i="80"/>
  <c r="R91" i="80"/>
  <c r="S91" i="80"/>
  <c r="T91" i="80"/>
  <c r="O92" i="80"/>
  <c r="P92" i="80"/>
  <c r="Q92" i="80"/>
  <c r="R92" i="80"/>
  <c r="S92" i="80"/>
  <c r="T92" i="80"/>
  <c r="O93" i="80"/>
  <c r="P93" i="80"/>
  <c r="Q93" i="80"/>
  <c r="R93" i="80"/>
  <c r="S93" i="80"/>
  <c r="T93" i="80"/>
  <c r="O94" i="80"/>
  <c r="P94" i="80"/>
  <c r="Q94" i="80"/>
  <c r="R94" i="80"/>
  <c r="S94" i="80"/>
  <c r="T94" i="80"/>
  <c r="O95" i="80"/>
  <c r="P95" i="80"/>
  <c r="Q95" i="80"/>
  <c r="R95" i="80"/>
  <c r="S95" i="80"/>
  <c r="T95" i="80"/>
  <c r="O96" i="80"/>
  <c r="P96" i="80"/>
  <c r="Q96" i="80"/>
  <c r="R96" i="80"/>
  <c r="S96" i="80"/>
  <c r="T96" i="80"/>
  <c r="O97" i="80"/>
  <c r="P97" i="80"/>
  <c r="Q97" i="80"/>
  <c r="R97" i="80"/>
  <c r="S97" i="80"/>
  <c r="T97" i="80"/>
  <c r="O98" i="80"/>
  <c r="P98" i="80"/>
  <c r="Q98" i="80"/>
  <c r="R98" i="80"/>
  <c r="S98" i="80"/>
  <c r="T98" i="80"/>
  <c r="O99" i="80"/>
  <c r="P99" i="80"/>
  <c r="Q99" i="80"/>
  <c r="R99" i="80"/>
  <c r="S99" i="80"/>
  <c r="T99" i="80"/>
  <c r="O100" i="80"/>
  <c r="P100" i="80"/>
  <c r="Q100" i="80"/>
  <c r="R100" i="80"/>
  <c r="S100" i="80"/>
  <c r="T100" i="80"/>
  <c r="O101" i="80"/>
  <c r="P101" i="80"/>
  <c r="Q101" i="80"/>
  <c r="R101" i="80"/>
  <c r="S101" i="80"/>
  <c r="T101" i="80"/>
  <c r="O102" i="80"/>
  <c r="P102" i="80"/>
  <c r="Q102" i="80"/>
  <c r="R102" i="80"/>
  <c r="S102" i="80"/>
  <c r="T102" i="80"/>
  <c r="O103" i="80"/>
  <c r="P103" i="80"/>
  <c r="Q103" i="80"/>
  <c r="R103" i="80"/>
  <c r="S103" i="80"/>
  <c r="T103" i="80"/>
  <c r="O104" i="80"/>
  <c r="P104" i="80"/>
  <c r="Q104" i="80"/>
  <c r="R104" i="80"/>
  <c r="S104" i="80"/>
  <c r="T104" i="80"/>
  <c r="O105" i="80"/>
  <c r="P105" i="80"/>
  <c r="Q105" i="80"/>
  <c r="R105" i="80"/>
  <c r="S105" i="80"/>
  <c r="T105" i="80"/>
  <c r="O106" i="80"/>
  <c r="P106" i="80"/>
  <c r="Q106" i="80"/>
  <c r="R106" i="80"/>
  <c r="S106" i="80"/>
  <c r="T106" i="80"/>
  <c r="O107" i="80"/>
  <c r="P107" i="80"/>
  <c r="Q107" i="80"/>
  <c r="R107" i="80"/>
  <c r="S107" i="80"/>
  <c r="T107" i="80"/>
  <c r="O108" i="80"/>
  <c r="P108" i="80"/>
  <c r="Q108" i="80"/>
  <c r="R108" i="80"/>
  <c r="S108" i="80"/>
  <c r="T108" i="80"/>
  <c r="O109" i="80"/>
  <c r="P109" i="80"/>
  <c r="Q109" i="80"/>
  <c r="R109" i="80"/>
  <c r="S109" i="80"/>
  <c r="T109" i="80"/>
  <c r="O110" i="80"/>
  <c r="P110" i="80"/>
  <c r="Q110" i="80"/>
  <c r="R110" i="80"/>
  <c r="S110" i="80"/>
  <c r="T110" i="80"/>
  <c r="O111" i="80"/>
  <c r="P111" i="80"/>
  <c r="Q111" i="80"/>
  <c r="R111" i="80"/>
  <c r="S111" i="80"/>
  <c r="T111" i="80"/>
  <c r="O112" i="80"/>
  <c r="P112" i="80"/>
  <c r="Q112" i="80"/>
  <c r="R112" i="80"/>
  <c r="S112" i="80"/>
  <c r="T112" i="80"/>
  <c r="O113" i="80"/>
  <c r="P113" i="80"/>
  <c r="Q113" i="80"/>
  <c r="R113" i="80"/>
  <c r="S113" i="80"/>
  <c r="T113" i="80"/>
  <c r="P4" i="80"/>
  <c r="Q4" i="80"/>
  <c r="R4" i="80"/>
  <c r="S4" i="80"/>
  <c r="T4" i="80"/>
  <c r="O4" i="80"/>
  <c r="K4" i="80"/>
  <c r="K5" i="80"/>
  <c r="K6" i="80"/>
  <c r="K7" i="80"/>
  <c r="K8" i="80"/>
  <c r="K9" i="80"/>
  <c r="K10" i="80"/>
  <c r="K11" i="80"/>
  <c r="K12" i="80"/>
  <c r="K13" i="80"/>
  <c r="K14" i="80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K33" i="80"/>
  <c r="K34" i="80"/>
  <c r="K35" i="80"/>
  <c r="K36" i="80"/>
  <c r="K37" i="80"/>
  <c r="K38" i="80"/>
  <c r="K39" i="80"/>
  <c r="K40" i="80"/>
  <c r="K41" i="80"/>
  <c r="K42" i="80"/>
  <c r="K43" i="80"/>
  <c r="K44" i="80"/>
  <c r="K45" i="80"/>
  <c r="K46" i="80"/>
  <c r="K47" i="80"/>
  <c r="K48" i="80"/>
  <c r="K49" i="80"/>
  <c r="K50" i="80"/>
  <c r="K51" i="80"/>
  <c r="K52" i="80"/>
  <c r="I4" i="80"/>
  <c r="J4" i="80"/>
  <c r="I5" i="80"/>
  <c r="J5" i="80"/>
  <c r="I6" i="80"/>
  <c r="J6" i="80"/>
  <c r="I7" i="80"/>
  <c r="J7" i="80"/>
  <c r="I8" i="80"/>
  <c r="J8" i="80"/>
  <c r="I9" i="80"/>
  <c r="J9" i="80"/>
  <c r="I10" i="80"/>
  <c r="J10" i="80"/>
  <c r="I11" i="80"/>
  <c r="J11" i="80"/>
  <c r="I12" i="80"/>
  <c r="J12" i="80"/>
  <c r="I13" i="80"/>
  <c r="J13" i="80"/>
  <c r="I14" i="80"/>
  <c r="J14" i="80"/>
  <c r="I15" i="80"/>
  <c r="J15" i="80"/>
  <c r="I16" i="80"/>
  <c r="J16" i="80"/>
  <c r="I17" i="80"/>
  <c r="J17" i="80"/>
  <c r="I18" i="80"/>
  <c r="J18" i="80"/>
  <c r="I19" i="80"/>
  <c r="J19" i="80"/>
  <c r="I20" i="80"/>
  <c r="J20" i="80"/>
  <c r="I21" i="80"/>
  <c r="J21" i="80"/>
  <c r="I22" i="80"/>
  <c r="J22" i="80"/>
  <c r="I23" i="80"/>
  <c r="J23" i="80"/>
  <c r="I24" i="80"/>
  <c r="J24" i="80"/>
  <c r="I25" i="80"/>
  <c r="J25" i="80"/>
  <c r="I26" i="80"/>
  <c r="J26" i="80"/>
  <c r="I27" i="80"/>
  <c r="J27" i="80"/>
  <c r="I28" i="80"/>
  <c r="J28" i="80"/>
  <c r="I29" i="80"/>
  <c r="J29" i="80"/>
  <c r="I30" i="80"/>
  <c r="J30" i="80"/>
  <c r="I31" i="80"/>
  <c r="J31" i="80"/>
  <c r="I32" i="80"/>
  <c r="J32" i="80"/>
  <c r="I33" i="80"/>
  <c r="J33" i="80"/>
  <c r="I34" i="80"/>
  <c r="J34" i="80"/>
  <c r="I35" i="80"/>
  <c r="J35" i="80"/>
  <c r="I36" i="80"/>
  <c r="J36" i="80"/>
  <c r="I37" i="80"/>
  <c r="J37" i="80"/>
  <c r="I38" i="80"/>
  <c r="J38" i="80"/>
  <c r="I39" i="80"/>
  <c r="J39" i="80"/>
  <c r="I40" i="80"/>
  <c r="J40" i="80"/>
  <c r="I41" i="80"/>
  <c r="J41" i="80"/>
  <c r="I42" i="80"/>
  <c r="J42" i="80"/>
  <c r="I43" i="80"/>
  <c r="J43" i="80"/>
  <c r="I44" i="80"/>
  <c r="J44" i="80"/>
  <c r="I45" i="80"/>
  <c r="J45" i="80"/>
  <c r="I46" i="80"/>
  <c r="J46" i="80"/>
  <c r="I47" i="80"/>
  <c r="J47" i="80"/>
  <c r="I48" i="80"/>
  <c r="J48" i="80"/>
  <c r="I49" i="80"/>
  <c r="J49" i="80"/>
  <c r="I50" i="80"/>
  <c r="J50" i="80"/>
  <c r="I51" i="80"/>
  <c r="J51" i="80"/>
  <c r="I52" i="80"/>
  <c r="J52" i="80"/>
  <c r="K3" i="80"/>
  <c r="J3" i="80"/>
  <c r="I3" i="80"/>
  <c r="F4" i="80"/>
  <c r="G4" i="80"/>
  <c r="F5" i="80"/>
  <c r="G5" i="80"/>
  <c r="F6" i="80"/>
  <c r="G6" i="80"/>
  <c r="F7" i="80"/>
  <c r="G7" i="80"/>
  <c r="F8" i="80"/>
  <c r="G8" i="80"/>
  <c r="F9" i="80"/>
  <c r="G9" i="80"/>
  <c r="F10" i="80"/>
  <c r="G10" i="80"/>
  <c r="F11" i="80"/>
  <c r="G11" i="80"/>
  <c r="F12" i="80"/>
  <c r="G12" i="80"/>
  <c r="F13" i="80"/>
  <c r="G13" i="80"/>
  <c r="F14" i="80"/>
  <c r="G14" i="80"/>
  <c r="F15" i="80"/>
  <c r="G15" i="80"/>
  <c r="F16" i="80"/>
  <c r="G16" i="80"/>
  <c r="F17" i="80"/>
  <c r="G17" i="80"/>
  <c r="F18" i="80"/>
  <c r="G18" i="80"/>
  <c r="F19" i="80"/>
  <c r="G19" i="80"/>
  <c r="F20" i="80"/>
  <c r="G20" i="80"/>
  <c r="F21" i="80"/>
  <c r="G21" i="80"/>
  <c r="F22" i="80"/>
  <c r="G22" i="80"/>
  <c r="F23" i="80"/>
  <c r="G23" i="80"/>
  <c r="F24" i="80"/>
  <c r="G24" i="80"/>
  <c r="F25" i="80"/>
  <c r="G25" i="80"/>
  <c r="F26" i="80"/>
  <c r="G26" i="80"/>
  <c r="F27" i="80"/>
  <c r="G27" i="80"/>
  <c r="F28" i="80"/>
  <c r="G28" i="80"/>
  <c r="F29" i="80"/>
  <c r="G29" i="80"/>
  <c r="F30" i="80"/>
  <c r="G30" i="80"/>
  <c r="F31" i="80"/>
  <c r="G31" i="80"/>
  <c r="F32" i="80"/>
  <c r="G32" i="80"/>
  <c r="F33" i="80"/>
  <c r="G33" i="80"/>
  <c r="F34" i="80"/>
  <c r="G34" i="80"/>
  <c r="F35" i="80"/>
  <c r="G35" i="80"/>
  <c r="F36" i="80"/>
  <c r="G36" i="80"/>
  <c r="F37" i="80"/>
  <c r="G37" i="80"/>
  <c r="F38" i="80"/>
  <c r="G38" i="80"/>
  <c r="F39" i="80"/>
  <c r="G39" i="80"/>
  <c r="F40" i="80"/>
  <c r="G40" i="80"/>
  <c r="F41" i="80"/>
  <c r="G41" i="80"/>
  <c r="F42" i="80"/>
  <c r="G42" i="80"/>
  <c r="F43" i="80"/>
  <c r="G43" i="80"/>
  <c r="F44" i="80"/>
  <c r="G44" i="80"/>
  <c r="F45" i="80"/>
  <c r="G45" i="80"/>
  <c r="F46" i="80"/>
  <c r="G46" i="80"/>
  <c r="F47" i="80"/>
  <c r="G47" i="80"/>
  <c r="F48" i="80"/>
  <c r="G48" i="80"/>
  <c r="F49" i="80"/>
  <c r="G49" i="80"/>
  <c r="F50" i="80"/>
  <c r="G50" i="80"/>
  <c r="F51" i="80"/>
  <c r="G51" i="80"/>
  <c r="F52" i="80"/>
  <c r="G52" i="80"/>
  <c r="F53" i="80"/>
  <c r="G53" i="80"/>
  <c r="F54" i="80"/>
  <c r="G54" i="80"/>
  <c r="F55" i="80"/>
  <c r="G55" i="80"/>
  <c r="F56" i="80"/>
  <c r="G56" i="80"/>
  <c r="F57" i="80"/>
  <c r="G57" i="80"/>
  <c r="F58" i="80"/>
  <c r="G58" i="80"/>
  <c r="F59" i="80"/>
  <c r="G59" i="80"/>
  <c r="F60" i="80"/>
  <c r="G60" i="80"/>
  <c r="F61" i="80"/>
  <c r="G61" i="80"/>
  <c r="F62" i="80"/>
  <c r="G62" i="80"/>
  <c r="F63" i="80"/>
  <c r="G63" i="80"/>
  <c r="F64" i="80"/>
  <c r="G64" i="80"/>
  <c r="F65" i="80"/>
  <c r="G65" i="80"/>
  <c r="F66" i="80"/>
  <c r="G66" i="80"/>
  <c r="F67" i="80"/>
  <c r="G67" i="80"/>
  <c r="F68" i="80"/>
  <c r="G68" i="80"/>
  <c r="F69" i="80"/>
  <c r="G69" i="80"/>
  <c r="F70" i="80"/>
  <c r="G70" i="80"/>
  <c r="F71" i="80"/>
  <c r="G71" i="80"/>
  <c r="F72" i="80"/>
  <c r="G72" i="80"/>
  <c r="F73" i="80"/>
  <c r="G73" i="80"/>
  <c r="F74" i="80"/>
  <c r="G74" i="80"/>
  <c r="F75" i="80"/>
  <c r="G75" i="80"/>
  <c r="F76" i="80"/>
  <c r="G76" i="80"/>
  <c r="F77" i="80"/>
  <c r="G77" i="80"/>
  <c r="F78" i="80"/>
  <c r="G78" i="80"/>
  <c r="F79" i="80"/>
  <c r="G79" i="80"/>
  <c r="F80" i="80"/>
  <c r="G80" i="80"/>
  <c r="F81" i="80"/>
  <c r="G81" i="80"/>
  <c r="F82" i="80"/>
  <c r="G82" i="80"/>
  <c r="F83" i="80"/>
  <c r="G83" i="80"/>
  <c r="F84" i="80"/>
  <c r="G84" i="80"/>
  <c r="F85" i="80"/>
  <c r="G85" i="80"/>
  <c r="F86" i="80"/>
  <c r="G86" i="80"/>
  <c r="F87" i="80"/>
  <c r="G87" i="80"/>
  <c r="F88" i="80"/>
  <c r="G88" i="80"/>
  <c r="F89" i="80"/>
  <c r="G89" i="80"/>
  <c r="F90" i="80"/>
  <c r="G90" i="80"/>
  <c r="F91" i="80"/>
  <c r="G91" i="80"/>
  <c r="F92" i="80"/>
  <c r="G92" i="80"/>
  <c r="F93" i="80"/>
  <c r="G93" i="80"/>
  <c r="F94" i="80"/>
  <c r="G94" i="80"/>
  <c r="F95" i="80"/>
  <c r="G95" i="80"/>
  <c r="F96" i="80"/>
  <c r="G96" i="80"/>
  <c r="F97" i="80"/>
  <c r="G97" i="80"/>
  <c r="F98" i="80"/>
  <c r="G98" i="80"/>
  <c r="F99" i="80"/>
  <c r="G99" i="80"/>
  <c r="F100" i="80"/>
  <c r="G100" i="80"/>
  <c r="F101" i="80"/>
  <c r="G101" i="80"/>
  <c r="F102" i="80"/>
  <c r="G102" i="80"/>
  <c r="F103" i="80"/>
  <c r="G103" i="80"/>
  <c r="F104" i="80"/>
  <c r="G104" i="80"/>
  <c r="F105" i="80"/>
  <c r="G105" i="80"/>
  <c r="F106" i="80"/>
  <c r="G106" i="80"/>
  <c r="F107" i="80"/>
  <c r="G107" i="80"/>
  <c r="F108" i="80"/>
  <c r="G108" i="80"/>
  <c r="F109" i="80"/>
  <c r="G109" i="80"/>
  <c r="F110" i="80"/>
  <c r="G110" i="80"/>
  <c r="F111" i="80"/>
  <c r="G111" i="80"/>
  <c r="F112" i="80"/>
  <c r="G112" i="80"/>
  <c r="F113" i="80"/>
  <c r="G113" i="80"/>
  <c r="F114" i="80"/>
  <c r="G114" i="80"/>
  <c r="F115" i="80"/>
  <c r="G115" i="80"/>
  <c r="F116" i="80"/>
  <c r="G116" i="80"/>
  <c r="F117" i="80"/>
  <c r="G117" i="80"/>
  <c r="F118" i="80"/>
  <c r="G118" i="80"/>
  <c r="F119" i="80"/>
  <c r="G119" i="80"/>
  <c r="F120" i="80"/>
  <c r="G120" i="80"/>
  <c r="F121" i="80"/>
  <c r="G121" i="80"/>
  <c r="F122" i="80"/>
  <c r="G122" i="80"/>
  <c r="F123" i="80"/>
  <c r="G123" i="80"/>
  <c r="F124" i="80"/>
  <c r="G124" i="80"/>
  <c r="F125" i="80"/>
  <c r="G125" i="80"/>
  <c r="F126" i="80"/>
  <c r="G126" i="80"/>
  <c r="F127" i="80"/>
  <c r="G127" i="80"/>
  <c r="F128" i="80"/>
  <c r="G128" i="80"/>
  <c r="F129" i="80"/>
  <c r="G129" i="80"/>
  <c r="F130" i="80"/>
  <c r="G130" i="80"/>
  <c r="F131" i="80"/>
  <c r="G131" i="80"/>
  <c r="F132" i="80"/>
  <c r="G132" i="80"/>
  <c r="F133" i="80"/>
  <c r="G133" i="80"/>
  <c r="F134" i="80"/>
  <c r="G134" i="80"/>
  <c r="F135" i="80"/>
  <c r="G135" i="80"/>
  <c r="F136" i="80"/>
  <c r="G136" i="80"/>
  <c r="F137" i="80"/>
  <c r="G137" i="80"/>
  <c r="F138" i="80"/>
  <c r="G138" i="80"/>
  <c r="F139" i="80"/>
  <c r="G139" i="80"/>
  <c r="F140" i="80"/>
  <c r="G140" i="80"/>
  <c r="F141" i="80"/>
  <c r="G141" i="80"/>
  <c r="F142" i="80"/>
  <c r="G142" i="80"/>
  <c r="F143" i="80"/>
  <c r="G143" i="80"/>
  <c r="F144" i="80"/>
  <c r="G144" i="80"/>
  <c r="F145" i="80"/>
  <c r="G145" i="80"/>
  <c r="F146" i="80"/>
  <c r="G146" i="80"/>
  <c r="F147" i="80"/>
  <c r="G147" i="80"/>
  <c r="F148" i="80"/>
  <c r="G148" i="80"/>
  <c r="F149" i="80"/>
  <c r="G149" i="80"/>
  <c r="F150" i="80"/>
  <c r="G150" i="80"/>
  <c r="F151" i="80"/>
  <c r="G151" i="80"/>
  <c r="F152" i="80"/>
  <c r="G152" i="80"/>
  <c r="G3" i="80"/>
  <c r="F3" i="80"/>
  <c r="B34" i="80"/>
  <c r="C34" i="80"/>
  <c r="D34" i="80"/>
  <c r="B35" i="80"/>
  <c r="C35" i="80"/>
  <c r="D35" i="80"/>
  <c r="D33" i="80"/>
  <c r="C33" i="80"/>
  <c r="B33" i="80"/>
  <c r="D32" i="80"/>
  <c r="C32" i="80"/>
  <c r="B32" i="80"/>
  <c r="D31" i="80"/>
  <c r="C31" i="80"/>
  <c r="B31" i="80"/>
  <c r="D30" i="80"/>
  <c r="C30" i="80"/>
  <c r="B30" i="80"/>
  <c r="D29" i="80"/>
  <c r="C29" i="80"/>
  <c r="B29" i="80"/>
  <c r="D28" i="80"/>
  <c r="C28" i="80"/>
  <c r="B28" i="80"/>
  <c r="D27" i="80"/>
  <c r="C27" i="80"/>
  <c r="B27" i="80"/>
  <c r="D26" i="80"/>
  <c r="C26" i="80"/>
  <c r="B26" i="80"/>
  <c r="D25" i="80"/>
  <c r="C25" i="80"/>
  <c r="B25" i="80"/>
  <c r="D24" i="80"/>
  <c r="C24" i="80"/>
  <c r="B24" i="80"/>
  <c r="B9" i="80"/>
  <c r="C9" i="80"/>
  <c r="D9" i="80"/>
  <c r="B10" i="80"/>
  <c r="C10" i="80"/>
  <c r="D10" i="80"/>
  <c r="B11" i="80"/>
  <c r="C11" i="80"/>
  <c r="D11" i="80"/>
  <c r="B12" i="80"/>
  <c r="C12" i="80"/>
  <c r="D12" i="80"/>
  <c r="B13" i="80"/>
  <c r="C13" i="80"/>
  <c r="D13" i="80"/>
  <c r="B14" i="80"/>
  <c r="C14" i="80"/>
  <c r="D14" i="80"/>
  <c r="B15" i="80"/>
  <c r="C15" i="80"/>
  <c r="D15" i="80"/>
  <c r="B16" i="80"/>
  <c r="C16" i="80"/>
  <c r="D16" i="80"/>
  <c r="B17" i="80"/>
  <c r="C17" i="80"/>
  <c r="D17" i="80"/>
  <c r="C8" i="80"/>
  <c r="D8" i="80"/>
  <c r="B8" i="80"/>
  <c r="O6" i="55"/>
  <c r="U6" i="55"/>
  <c r="P6" i="55"/>
  <c r="V6" i="55"/>
  <c r="Q6" i="55"/>
  <c r="W6" i="55" s="1"/>
  <c r="R6" i="55"/>
  <c r="X6" i="55"/>
  <c r="S6" i="55"/>
  <c r="Y6" i="55"/>
  <c r="O7" i="55"/>
  <c r="U7" i="55"/>
  <c r="P7" i="55"/>
  <c r="V7" i="55" s="1"/>
  <c r="Q7" i="55"/>
  <c r="W7" i="55"/>
  <c r="R7" i="55"/>
  <c r="X7" i="55"/>
  <c r="S7" i="55"/>
  <c r="Y7" i="55"/>
  <c r="O8" i="55"/>
  <c r="U8" i="55" s="1"/>
  <c r="P8" i="55"/>
  <c r="V8" i="55"/>
  <c r="Q8" i="55"/>
  <c r="W8" i="55"/>
  <c r="R8" i="55"/>
  <c r="X8" i="55"/>
  <c r="S8" i="55"/>
  <c r="Y8" i="55" s="1"/>
  <c r="O9" i="55"/>
  <c r="U9" i="55"/>
  <c r="P9" i="55"/>
  <c r="V9" i="55"/>
  <c r="Q9" i="55"/>
  <c r="W9" i="55"/>
  <c r="R9" i="55"/>
  <c r="X9" i="55" s="1"/>
  <c r="S9" i="55"/>
  <c r="Y9" i="55"/>
  <c r="O10" i="55"/>
  <c r="U10" i="55"/>
  <c r="P10" i="55"/>
  <c r="V10" i="55"/>
  <c r="Q10" i="55"/>
  <c r="W10" i="55" s="1"/>
  <c r="R10" i="55"/>
  <c r="X10" i="55"/>
  <c r="S10" i="55"/>
  <c r="Y10" i="55"/>
  <c r="O11" i="55"/>
  <c r="U11" i="55"/>
  <c r="P11" i="55"/>
  <c r="V11" i="55" s="1"/>
  <c r="Q11" i="55"/>
  <c r="W11" i="55"/>
  <c r="R11" i="55"/>
  <c r="X11" i="55"/>
  <c r="S11" i="55"/>
  <c r="Y11" i="55"/>
  <c r="O12" i="55"/>
  <c r="U12" i="55" s="1"/>
  <c r="P12" i="55"/>
  <c r="V12" i="55"/>
  <c r="Q12" i="55"/>
  <c r="W12" i="55"/>
  <c r="R12" i="55"/>
  <c r="X12" i="55"/>
  <c r="S12" i="55"/>
  <c r="Y12" i="55" s="1"/>
  <c r="O13" i="55"/>
  <c r="U13" i="55"/>
  <c r="P13" i="55"/>
  <c r="V13" i="55"/>
  <c r="Q13" i="55"/>
  <c r="W13" i="55"/>
  <c r="R13" i="55"/>
  <c r="X13" i="55" s="1"/>
  <c r="S13" i="55"/>
  <c r="Y13" i="55"/>
  <c r="O14" i="55"/>
  <c r="U14" i="55"/>
  <c r="P14" i="55"/>
  <c r="V14" i="55"/>
  <c r="Q14" i="55"/>
  <c r="W14" i="55" s="1"/>
  <c r="R14" i="55"/>
  <c r="X14" i="55"/>
  <c r="S14" i="55"/>
  <c r="Y14" i="55" s="1"/>
  <c r="O15" i="55"/>
  <c r="U15" i="55"/>
  <c r="P15" i="55"/>
  <c r="V15" i="55" s="1"/>
  <c r="Q15" i="55"/>
  <c r="W15" i="55"/>
  <c r="R15" i="55"/>
  <c r="X15" i="55"/>
  <c r="S15" i="55"/>
  <c r="Y15" i="55"/>
  <c r="O16" i="55"/>
  <c r="U16" i="55" s="1"/>
  <c r="P16" i="55"/>
  <c r="V16" i="55"/>
  <c r="Q16" i="55"/>
  <c r="W16" i="55"/>
  <c r="R16" i="55"/>
  <c r="X16" i="55"/>
  <c r="S16" i="55"/>
  <c r="Y16" i="55" s="1"/>
  <c r="O17" i="55"/>
  <c r="U17" i="55"/>
  <c r="P17" i="55"/>
  <c r="V17" i="55" s="1"/>
  <c r="Q17" i="55"/>
  <c r="W17" i="55"/>
  <c r="R17" i="55"/>
  <c r="X17" i="55" s="1"/>
  <c r="S17" i="55"/>
  <c r="Y17" i="55"/>
  <c r="O18" i="55"/>
  <c r="U18" i="55" s="1"/>
  <c r="P18" i="55"/>
  <c r="V18" i="55"/>
  <c r="Q18" i="55"/>
  <c r="W18" i="55" s="1"/>
  <c r="R18" i="55"/>
  <c r="X18" i="55"/>
  <c r="S18" i="55"/>
  <c r="Y18" i="55" s="1"/>
  <c r="O19" i="55"/>
  <c r="U19" i="55"/>
  <c r="P19" i="55"/>
  <c r="V19" i="55" s="1"/>
  <c r="Q19" i="55"/>
  <c r="W19" i="55"/>
  <c r="R19" i="55"/>
  <c r="X19" i="55" s="1"/>
  <c r="S19" i="55"/>
  <c r="Y19" i="55"/>
  <c r="O20" i="55"/>
  <c r="U20" i="55" s="1"/>
  <c r="P20" i="55"/>
  <c r="V20" i="55"/>
  <c r="Q20" i="55"/>
  <c r="W20" i="55" s="1"/>
  <c r="R20" i="55"/>
  <c r="X20" i="55"/>
  <c r="S20" i="55"/>
  <c r="Y20" i="55" s="1"/>
  <c r="O21" i="55"/>
  <c r="U21" i="55"/>
  <c r="P21" i="55"/>
  <c r="V21" i="55" s="1"/>
  <c r="Q21" i="55"/>
  <c r="W21" i="55"/>
  <c r="R21" i="55"/>
  <c r="X21" i="55" s="1"/>
  <c r="S21" i="55"/>
  <c r="Y21" i="55"/>
  <c r="O22" i="55"/>
  <c r="U22" i="55" s="1"/>
  <c r="P22" i="55"/>
  <c r="V22" i="55"/>
  <c r="Q22" i="55"/>
  <c r="W22" i="55" s="1"/>
  <c r="R22" i="55"/>
  <c r="X22" i="55"/>
  <c r="S22" i="55"/>
  <c r="Y22" i="55" s="1"/>
  <c r="O23" i="55"/>
  <c r="U23" i="55"/>
  <c r="P23" i="55"/>
  <c r="V23" i="55" s="1"/>
  <c r="Q23" i="55"/>
  <c r="W23" i="55"/>
  <c r="R23" i="55"/>
  <c r="X23" i="55" s="1"/>
  <c r="S23" i="55"/>
  <c r="Y23" i="55"/>
  <c r="O24" i="55"/>
  <c r="U24" i="55" s="1"/>
  <c r="P24" i="55"/>
  <c r="V24" i="55"/>
  <c r="Q24" i="55"/>
  <c r="W24" i="55" s="1"/>
  <c r="R24" i="55"/>
  <c r="X24" i="55"/>
  <c r="S24" i="55"/>
  <c r="Y24" i="55" s="1"/>
  <c r="O25" i="55"/>
  <c r="U25" i="55"/>
  <c r="P25" i="55"/>
  <c r="V25" i="55" s="1"/>
  <c r="Q25" i="55"/>
  <c r="W25" i="55"/>
  <c r="R25" i="55"/>
  <c r="X25" i="55" s="1"/>
  <c r="S25" i="55"/>
  <c r="Y25" i="55"/>
  <c r="O26" i="55"/>
  <c r="U26" i="55" s="1"/>
  <c r="P26" i="55"/>
  <c r="V26" i="55"/>
  <c r="Q26" i="55"/>
  <c r="W26" i="55" s="1"/>
  <c r="R26" i="55"/>
  <c r="X26" i="55"/>
  <c r="S26" i="55"/>
  <c r="Y26" i="55"/>
  <c r="O27" i="55"/>
  <c r="U27" i="55"/>
  <c r="P27" i="55"/>
  <c r="V27" i="55" s="1"/>
  <c r="Q27" i="55"/>
  <c r="W27" i="55"/>
  <c r="R27" i="55"/>
  <c r="X27" i="55"/>
  <c r="S27" i="55"/>
  <c r="Y27" i="55"/>
  <c r="O28" i="55"/>
  <c r="U28" i="55" s="1"/>
  <c r="P28" i="55"/>
  <c r="V28" i="55"/>
  <c r="Q28" i="55"/>
  <c r="W28" i="55"/>
  <c r="R28" i="55"/>
  <c r="X28" i="55"/>
  <c r="S28" i="55"/>
  <c r="Y28" i="55" s="1"/>
  <c r="O29" i="55"/>
  <c r="U29" i="55"/>
  <c r="P29" i="55"/>
  <c r="V29" i="55"/>
  <c r="Q29" i="55"/>
  <c r="W29" i="55"/>
  <c r="R29" i="55"/>
  <c r="X29" i="55" s="1"/>
  <c r="S29" i="55"/>
  <c r="Y29" i="55"/>
  <c r="O30" i="55"/>
  <c r="U30" i="55"/>
  <c r="P30" i="55"/>
  <c r="V30" i="55"/>
  <c r="Q30" i="55"/>
  <c r="W30" i="55" s="1"/>
  <c r="R30" i="55"/>
  <c r="X30" i="55"/>
  <c r="S30" i="55"/>
  <c r="Y30" i="55" s="1"/>
  <c r="O31" i="55"/>
  <c r="U31" i="55"/>
  <c r="P31" i="55"/>
  <c r="V31" i="55" s="1"/>
  <c r="Q31" i="55"/>
  <c r="W31" i="55"/>
  <c r="R31" i="55"/>
  <c r="X31" i="55" s="1"/>
  <c r="S31" i="55"/>
  <c r="Y31" i="55"/>
  <c r="O32" i="55"/>
  <c r="U32" i="55" s="1"/>
  <c r="P32" i="55"/>
  <c r="V32" i="55"/>
  <c r="Q32" i="55"/>
  <c r="W32" i="55" s="1"/>
  <c r="R32" i="55"/>
  <c r="X32" i="55"/>
  <c r="S32" i="55"/>
  <c r="Y32" i="55" s="1"/>
  <c r="O33" i="55"/>
  <c r="U33" i="55"/>
  <c r="P33" i="55"/>
  <c r="V33" i="55"/>
  <c r="Q33" i="55"/>
  <c r="W33" i="55"/>
  <c r="R33" i="55"/>
  <c r="X33" i="55" s="1"/>
  <c r="S33" i="55"/>
  <c r="Y33" i="55"/>
  <c r="O34" i="55"/>
  <c r="U34" i="55"/>
  <c r="P34" i="55"/>
  <c r="V34" i="55"/>
  <c r="Q34" i="55"/>
  <c r="W34" i="55" s="1"/>
  <c r="R34" i="55"/>
  <c r="X34" i="55"/>
  <c r="S34" i="55"/>
  <c r="Y34" i="55" s="1"/>
  <c r="O35" i="55"/>
  <c r="U35" i="55"/>
  <c r="P35" i="55"/>
  <c r="V35" i="55" s="1"/>
  <c r="Q35" i="55"/>
  <c r="W35" i="55"/>
  <c r="R35" i="55"/>
  <c r="X35" i="55" s="1"/>
  <c r="S35" i="55"/>
  <c r="Y35" i="55"/>
  <c r="O36" i="55"/>
  <c r="U36" i="55" s="1"/>
  <c r="P36" i="55"/>
  <c r="V36" i="55"/>
  <c r="Q36" i="55"/>
  <c r="W36" i="55" s="1"/>
  <c r="R36" i="55"/>
  <c r="X36" i="55"/>
  <c r="S36" i="55"/>
  <c r="Y36" i="55" s="1"/>
  <c r="O37" i="55"/>
  <c r="U37" i="55"/>
  <c r="P37" i="55"/>
  <c r="V37" i="55" s="1"/>
  <c r="Q37" i="55"/>
  <c r="W37" i="55"/>
  <c r="R37" i="55"/>
  <c r="X37" i="55" s="1"/>
  <c r="S37" i="55"/>
  <c r="Y37" i="55"/>
  <c r="O38" i="55"/>
  <c r="U38" i="55" s="1"/>
  <c r="P38" i="55"/>
  <c r="V38" i="55"/>
  <c r="Q38" i="55"/>
  <c r="W38" i="55" s="1"/>
  <c r="R38" i="55"/>
  <c r="X38" i="55"/>
  <c r="S38" i="55"/>
  <c r="Y38" i="55"/>
  <c r="O39" i="55"/>
  <c r="U39" i="55"/>
  <c r="P39" i="55"/>
  <c r="V39" i="55" s="1"/>
  <c r="Q39" i="55"/>
  <c r="W39" i="55"/>
  <c r="R39" i="55"/>
  <c r="X39" i="55" s="1"/>
  <c r="S39" i="55"/>
  <c r="Y39" i="55"/>
  <c r="O40" i="55"/>
  <c r="U40" i="55" s="1"/>
  <c r="P40" i="55"/>
  <c r="V40" i="55"/>
  <c r="Q40" i="55"/>
  <c r="W40" i="55" s="1"/>
  <c r="R40" i="55"/>
  <c r="X40" i="55"/>
  <c r="S40" i="55"/>
  <c r="Y40" i="55" s="1"/>
  <c r="O41" i="55"/>
  <c r="U41" i="55"/>
  <c r="P41" i="55"/>
  <c r="V41" i="55" s="1"/>
  <c r="Q41" i="55"/>
  <c r="W41" i="55"/>
  <c r="R41" i="55"/>
  <c r="X41" i="55" s="1"/>
  <c r="S41" i="55"/>
  <c r="Y41" i="55"/>
  <c r="O42" i="55"/>
  <c r="U42" i="55" s="1"/>
  <c r="P42" i="55"/>
  <c r="V42" i="55"/>
  <c r="Q42" i="55"/>
  <c r="W42" i="55" s="1"/>
  <c r="R42" i="55"/>
  <c r="X42" i="55"/>
  <c r="S42" i="55"/>
  <c r="Y42" i="55"/>
  <c r="O43" i="55"/>
  <c r="U43" i="55"/>
  <c r="P43" i="55"/>
  <c r="V43" i="55" s="1"/>
  <c r="Q43" i="55"/>
  <c r="W43" i="55"/>
  <c r="R43" i="55"/>
  <c r="X43" i="55"/>
  <c r="S43" i="55"/>
  <c r="Y43" i="55"/>
  <c r="O44" i="55"/>
  <c r="U44" i="55" s="1"/>
  <c r="P44" i="55"/>
  <c r="V44" i="55"/>
  <c r="Q44" i="55"/>
  <c r="W44" i="55" s="1"/>
  <c r="R44" i="55"/>
  <c r="X44" i="55"/>
  <c r="S44" i="55"/>
  <c r="Y44" i="55" s="1"/>
  <c r="O45" i="55"/>
  <c r="U45" i="55"/>
  <c r="P45" i="55"/>
  <c r="V45" i="55" s="1"/>
  <c r="Q45" i="55"/>
  <c r="W45" i="55"/>
  <c r="R45" i="55"/>
  <c r="X45" i="55" s="1"/>
  <c r="S45" i="55"/>
  <c r="Y45" i="55"/>
  <c r="O46" i="55"/>
  <c r="U46" i="55"/>
  <c r="P46" i="55"/>
  <c r="V46" i="55"/>
  <c r="Q46" i="55"/>
  <c r="W46" i="55" s="1"/>
  <c r="R46" i="55"/>
  <c r="X46" i="55"/>
  <c r="S46" i="55"/>
  <c r="Y46" i="55"/>
  <c r="O47" i="55"/>
  <c r="U47" i="55"/>
  <c r="P47" i="55"/>
  <c r="V47" i="55" s="1"/>
  <c r="Q47" i="55"/>
  <c r="W47" i="55"/>
  <c r="R47" i="55"/>
  <c r="X47" i="55"/>
  <c r="S47" i="55"/>
  <c r="Y47" i="55"/>
  <c r="O48" i="55"/>
  <c r="U48" i="55" s="1"/>
  <c r="P48" i="55"/>
  <c r="V48" i="55"/>
  <c r="Q48" i="55"/>
  <c r="W48" i="55" s="1"/>
  <c r="R48" i="55"/>
  <c r="X48" i="55"/>
  <c r="S48" i="55"/>
  <c r="Y48" i="55" s="1"/>
  <c r="O49" i="55"/>
  <c r="U49" i="55"/>
  <c r="P49" i="55"/>
  <c r="V49" i="55" s="1"/>
  <c r="Q49" i="55"/>
  <c r="W49" i="55"/>
  <c r="R49" i="55"/>
  <c r="X49" i="55" s="1"/>
  <c r="S49" i="55"/>
  <c r="Y49" i="55"/>
  <c r="O50" i="55"/>
  <c r="U50" i="55" s="1"/>
  <c r="P50" i="55"/>
  <c r="V50" i="55"/>
  <c r="Q50" i="55"/>
  <c r="W50" i="55" s="1"/>
  <c r="R50" i="55"/>
  <c r="X50" i="55"/>
  <c r="S50" i="55"/>
  <c r="Y50" i="55" s="1"/>
  <c r="O51" i="55"/>
  <c r="U51" i="55"/>
  <c r="P51" i="55"/>
  <c r="V51" i="55" s="1"/>
  <c r="Q51" i="55"/>
  <c r="W51" i="55"/>
  <c r="R51" i="55"/>
  <c r="X51" i="55" s="1"/>
  <c r="S51" i="55"/>
  <c r="Y51" i="55"/>
  <c r="O52" i="55"/>
  <c r="U52" i="55" s="1"/>
  <c r="P52" i="55"/>
  <c r="V52" i="55"/>
  <c r="Q52" i="55"/>
  <c r="W52" i="55" s="1"/>
  <c r="R52" i="55"/>
  <c r="X52" i="55"/>
  <c r="S52" i="55"/>
  <c r="Y52" i="55" s="1"/>
  <c r="O53" i="55"/>
  <c r="U53" i="55"/>
  <c r="P53" i="55"/>
  <c r="V53" i="55" s="1"/>
  <c r="Q53" i="55"/>
  <c r="W53" i="55"/>
  <c r="R53" i="55"/>
  <c r="X53" i="55" s="1"/>
  <c r="S53" i="55"/>
  <c r="Y53" i="55"/>
  <c r="O54" i="55"/>
  <c r="U54" i="55"/>
  <c r="P54" i="55"/>
  <c r="V54" i="55"/>
  <c r="Q54" i="55"/>
  <c r="W54" i="55" s="1"/>
  <c r="R54" i="55"/>
  <c r="X54" i="55"/>
  <c r="S54" i="55"/>
  <c r="Y54" i="55"/>
  <c r="O55" i="55"/>
  <c r="U55" i="55"/>
  <c r="P55" i="55"/>
  <c r="V55" i="55" s="1"/>
  <c r="Q55" i="55"/>
  <c r="W55" i="55"/>
  <c r="R55" i="55"/>
  <c r="X55" i="55"/>
  <c r="S55" i="55"/>
  <c r="Y55" i="55"/>
  <c r="O56" i="55"/>
  <c r="U56" i="55" s="1"/>
  <c r="P56" i="55"/>
  <c r="V56" i="55"/>
  <c r="Q56" i="55"/>
  <c r="W56" i="55" s="1"/>
  <c r="R56" i="55"/>
  <c r="X56" i="55"/>
  <c r="S56" i="55"/>
  <c r="Y56" i="55" s="1"/>
  <c r="O57" i="55"/>
  <c r="U57" i="55"/>
  <c r="P57" i="55"/>
  <c r="V57" i="55" s="1"/>
  <c r="Q57" i="55"/>
  <c r="W57" i="55"/>
  <c r="R57" i="55"/>
  <c r="X57" i="55" s="1"/>
  <c r="S57" i="55"/>
  <c r="Y57" i="55"/>
  <c r="O58" i="55"/>
  <c r="U58" i="55" s="1"/>
  <c r="P58" i="55"/>
  <c r="V58" i="55"/>
  <c r="Q58" i="55"/>
  <c r="W58" i="55" s="1"/>
  <c r="R58" i="55"/>
  <c r="X58" i="55"/>
  <c r="S58" i="55"/>
  <c r="Y58" i="55" s="1"/>
  <c r="O59" i="55"/>
  <c r="U59" i="55"/>
  <c r="P59" i="55"/>
  <c r="V59" i="55" s="1"/>
  <c r="Q59" i="55"/>
  <c r="W59" i="55"/>
  <c r="R59" i="55"/>
  <c r="X59" i="55" s="1"/>
  <c r="S59" i="55"/>
  <c r="Y59" i="55"/>
  <c r="O60" i="55"/>
  <c r="U60" i="55" s="1"/>
  <c r="P60" i="55"/>
  <c r="V60" i="55"/>
  <c r="Q60" i="55"/>
  <c r="W60" i="55" s="1"/>
  <c r="R60" i="55"/>
  <c r="X60" i="55"/>
  <c r="S60" i="55"/>
  <c r="Y60" i="55" s="1"/>
  <c r="O61" i="55"/>
  <c r="U61" i="55"/>
  <c r="P61" i="55"/>
  <c r="V61" i="55"/>
  <c r="Q61" i="55"/>
  <c r="W61" i="55"/>
  <c r="R61" i="55"/>
  <c r="X61" i="55" s="1"/>
  <c r="S61" i="55"/>
  <c r="Y61" i="55"/>
  <c r="O62" i="55"/>
  <c r="U62" i="55"/>
  <c r="P62" i="55"/>
  <c r="V62" i="55"/>
  <c r="Q62" i="55"/>
  <c r="W62" i="55" s="1"/>
  <c r="R62" i="55"/>
  <c r="X62" i="55"/>
  <c r="S62" i="55"/>
  <c r="Y62" i="55" s="1"/>
  <c r="O63" i="55"/>
  <c r="U63" i="55"/>
  <c r="P63" i="55"/>
  <c r="V63" i="55" s="1"/>
  <c r="Q63" i="55"/>
  <c r="W63" i="55"/>
  <c r="R63" i="55"/>
  <c r="X63" i="55" s="1"/>
  <c r="S63" i="55"/>
  <c r="Y63" i="55"/>
  <c r="O64" i="55"/>
  <c r="U64" i="55" s="1"/>
  <c r="P64" i="55"/>
  <c r="V64" i="55"/>
  <c r="Q64" i="55"/>
  <c r="W64" i="55" s="1"/>
  <c r="R64" i="55"/>
  <c r="X64" i="55"/>
  <c r="S64" i="55"/>
  <c r="Y64" i="55" s="1"/>
  <c r="O65" i="55"/>
  <c r="U65" i="55"/>
  <c r="P65" i="55"/>
  <c r="V65" i="55" s="1"/>
  <c r="Q65" i="55"/>
  <c r="W65" i="55"/>
  <c r="R65" i="55"/>
  <c r="X65" i="55" s="1"/>
  <c r="S65" i="55"/>
  <c r="Y65" i="55"/>
  <c r="O66" i="55"/>
  <c r="U66" i="55"/>
  <c r="P66" i="55"/>
  <c r="V66" i="55"/>
  <c r="Q66" i="55"/>
  <c r="W66" i="55" s="1"/>
  <c r="R66" i="55"/>
  <c r="X66" i="55"/>
  <c r="S66" i="55"/>
  <c r="Y66" i="55"/>
  <c r="O67" i="55"/>
  <c r="U67" i="55"/>
  <c r="P67" i="55"/>
  <c r="V67" i="55" s="1"/>
  <c r="Q67" i="55"/>
  <c r="W67" i="55"/>
  <c r="R67" i="55"/>
  <c r="X67" i="55" s="1"/>
  <c r="S67" i="55"/>
  <c r="Y67" i="55"/>
  <c r="O68" i="55"/>
  <c r="U68" i="55" s="1"/>
  <c r="P68" i="55"/>
  <c r="V68" i="55"/>
  <c r="Q68" i="55"/>
  <c r="W68" i="55" s="1"/>
  <c r="R68" i="55"/>
  <c r="X68" i="55"/>
  <c r="S68" i="55"/>
  <c r="Y68" i="55" s="1"/>
  <c r="O69" i="55"/>
  <c r="U69" i="55"/>
  <c r="P69" i="55"/>
  <c r="AB69" i="55" s="1"/>
  <c r="V69" i="55"/>
  <c r="Q69" i="55"/>
  <c r="W69" i="55"/>
  <c r="R69" i="55"/>
  <c r="X69" i="55"/>
  <c r="S69" i="55"/>
  <c r="Y69" i="55"/>
  <c r="O70" i="55"/>
  <c r="U70" i="55"/>
  <c r="P70" i="55"/>
  <c r="AB70" i="55" s="1"/>
  <c r="V70" i="55"/>
  <c r="Q70" i="55"/>
  <c r="W70" i="55"/>
  <c r="R70" i="55"/>
  <c r="X70" i="55"/>
  <c r="S70" i="55"/>
  <c r="Y70" i="55"/>
  <c r="O71" i="55"/>
  <c r="AA71" i="55" s="1"/>
  <c r="U71" i="55"/>
  <c r="P71" i="55"/>
  <c r="V71" i="55"/>
  <c r="Q71" i="55"/>
  <c r="W71" i="55"/>
  <c r="R71" i="55"/>
  <c r="X71" i="55"/>
  <c r="S71" i="55"/>
  <c r="Y71" i="55"/>
  <c r="O72" i="55"/>
  <c r="U72" i="55" s="1"/>
  <c r="P72" i="55"/>
  <c r="V72" i="55"/>
  <c r="Q72" i="55"/>
  <c r="W72" i="55"/>
  <c r="R72" i="55"/>
  <c r="AD72" i="55" s="1"/>
  <c r="X72" i="55"/>
  <c r="S72" i="55"/>
  <c r="Y72" i="55" s="1"/>
  <c r="O73" i="55"/>
  <c r="U73" i="55"/>
  <c r="P73" i="55"/>
  <c r="V73" i="55"/>
  <c r="Q73" i="55"/>
  <c r="W73" i="55"/>
  <c r="R73" i="55"/>
  <c r="X73" i="55" s="1"/>
  <c r="S73" i="55"/>
  <c r="Y73" i="55"/>
  <c r="O74" i="55"/>
  <c r="AA74" i="55" s="1"/>
  <c r="U74" i="55"/>
  <c r="P74" i="55"/>
  <c r="AB74" i="55" s="1"/>
  <c r="V74" i="55"/>
  <c r="Q74" i="55"/>
  <c r="W74" i="55" s="1"/>
  <c r="R74" i="55"/>
  <c r="X74" i="55"/>
  <c r="S74" i="55"/>
  <c r="Y74" i="55"/>
  <c r="O75" i="55"/>
  <c r="U75" i="55"/>
  <c r="P75" i="55"/>
  <c r="V75" i="55" s="1"/>
  <c r="Q75" i="55"/>
  <c r="W75" i="55"/>
  <c r="R75" i="55"/>
  <c r="AD75" i="55" s="1"/>
  <c r="X75" i="55"/>
  <c r="S75" i="55"/>
  <c r="Y75" i="55"/>
  <c r="O76" i="55"/>
  <c r="U76" i="55" s="1"/>
  <c r="P76" i="55"/>
  <c r="V76" i="55"/>
  <c r="Q76" i="55"/>
  <c r="AC76" i="55" s="1"/>
  <c r="W76" i="55"/>
  <c r="R76" i="55"/>
  <c r="X76" i="55"/>
  <c r="S76" i="55"/>
  <c r="Y76" i="55"/>
  <c r="O77" i="55"/>
  <c r="U77" i="55"/>
  <c r="P77" i="55"/>
  <c r="AB77" i="55" s="1"/>
  <c r="V77" i="55"/>
  <c r="Q77" i="55"/>
  <c r="W77" i="55"/>
  <c r="R77" i="55"/>
  <c r="X77" i="55"/>
  <c r="S77" i="55"/>
  <c r="Y77" i="55"/>
  <c r="O78" i="55"/>
  <c r="AA78" i="55" s="1"/>
  <c r="U78" i="55"/>
  <c r="P78" i="55"/>
  <c r="V78" i="55"/>
  <c r="Q78" i="55"/>
  <c r="AC78" i="55" s="1"/>
  <c r="W78" i="55"/>
  <c r="R78" i="55"/>
  <c r="X78" i="55"/>
  <c r="S78" i="55"/>
  <c r="AE78" i="55" s="1"/>
  <c r="Y78" i="55"/>
  <c r="O79" i="55"/>
  <c r="U79" i="55"/>
  <c r="P79" i="55"/>
  <c r="V79" i="55"/>
  <c r="Q79" i="55"/>
  <c r="W79" i="55"/>
  <c r="R79" i="55"/>
  <c r="AD79" i="55" s="1"/>
  <c r="X79" i="55"/>
  <c r="S79" i="55"/>
  <c r="AE79" i="55" s="1"/>
  <c r="Y79" i="55"/>
  <c r="O80" i="55"/>
  <c r="U80" i="55"/>
  <c r="P80" i="55"/>
  <c r="V80" i="55"/>
  <c r="Q80" i="55"/>
  <c r="W80" i="55"/>
  <c r="R80" i="55"/>
  <c r="X80" i="55"/>
  <c r="S80" i="55"/>
  <c r="AE80" i="55" s="1"/>
  <c r="Y80" i="55"/>
  <c r="O81" i="55"/>
  <c r="U81" i="55"/>
  <c r="P81" i="55"/>
  <c r="AB81" i="55" s="1"/>
  <c r="V81" i="55"/>
  <c r="Q81" i="55"/>
  <c r="AC81" i="55" s="1"/>
  <c r="W81" i="55"/>
  <c r="R81" i="55"/>
  <c r="X81" i="55"/>
  <c r="S81" i="55"/>
  <c r="Y81" i="55"/>
  <c r="O82" i="55"/>
  <c r="AA82" i="55" s="1"/>
  <c r="U82" i="55"/>
  <c r="P82" i="55"/>
  <c r="V82" i="55"/>
  <c r="Q82" i="55"/>
  <c r="W82" i="55"/>
  <c r="R82" i="55"/>
  <c r="X82" i="55"/>
  <c r="S82" i="55"/>
  <c r="AE82" i="55" s="1"/>
  <c r="Y82" i="55"/>
  <c r="O83" i="55"/>
  <c r="AA83" i="55" s="1"/>
  <c r="U83" i="55"/>
  <c r="P83" i="55"/>
  <c r="V83" i="55"/>
  <c r="Q83" i="55"/>
  <c r="W83" i="55"/>
  <c r="R83" i="55"/>
  <c r="X83" i="55"/>
  <c r="S83" i="55"/>
  <c r="AE83" i="55" s="1"/>
  <c r="Y83" i="55"/>
  <c r="O84" i="55"/>
  <c r="U84" i="55"/>
  <c r="P84" i="55"/>
  <c r="V84" i="55"/>
  <c r="Q84" i="55"/>
  <c r="AC84" i="55" s="1"/>
  <c r="W84" i="55"/>
  <c r="R84" i="55"/>
  <c r="X84" i="55"/>
  <c r="S84" i="55"/>
  <c r="Y84" i="55"/>
  <c r="O85" i="55"/>
  <c r="U85" i="55"/>
  <c r="P85" i="55"/>
  <c r="V85" i="55"/>
  <c r="Q85" i="55"/>
  <c r="AC85" i="55" s="1"/>
  <c r="W85" i="55"/>
  <c r="R85" i="55"/>
  <c r="X85" i="55"/>
  <c r="S85" i="55"/>
  <c r="Y85" i="55"/>
  <c r="O86" i="55"/>
  <c r="AA86" i="55" s="1"/>
  <c r="U86" i="55"/>
  <c r="P86" i="55"/>
  <c r="V86" i="55"/>
  <c r="Q86" i="55"/>
  <c r="W86" i="55"/>
  <c r="R86" i="55"/>
  <c r="X86" i="55"/>
  <c r="S86" i="55"/>
  <c r="AE86" i="55" s="1"/>
  <c r="Y86" i="55"/>
  <c r="O87" i="55"/>
  <c r="AA87" i="55" s="1"/>
  <c r="U87" i="55"/>
  <c r="P87" i="55"/>
  <c r="V87" i="55"/>
  <c r="Q87" i="55"/>
  <c r="W87" i="55"/>
  <c r="R87" i="55"/>
  <c r="AD87" i="55" s="1"/>
  <c r="X87" i="55"/>
  <c r="S87" i="55"/>
  <c r="Y87" i="55"/>
  <c r="O88" i="55"/>
  <c r="U88" i="55"/>
  <c r="P88" i="55"/>
  <c r="V88" i="55"/>
  <c r="Q88" i="55"/>
  <c r="AC88" i="55" s="1"/>
  <c r="W88" i="55"/>
  <c r="R88" i="55"/>
  <c r="X88" i="55"/>
  <c r="S88" i="55"/>
  <c r="Y88" i="55"/>
  <c r="O89" i="55"/>
  <c r="U89" i="55"/>
  <c r="P89" i="55"/>
  <c r="V89" i="55"/>
  <c r="Q89" i="55"/>
  <c r="W89" i="55"/>
  <c r="R89" i="55"/>
  <c r="X89" i="55"/>
  <c r="S89" i="55"/>
  <c r="Y89" i="55"/>
  <c r="O90" i="55"/>
  <c r="AA90" i="55" s="1"/>
  <c r="U90" i="55"/>
  <c r="P90" i="55"/>
  <c r="V90" i="55"/>
  <c r="Q90" i="55"/>
  <c r="W90" i="55"/>
  <c r="R90" i="55"/>
  <c r="X90" i="55"/>
  <c r="S90" i="55"/>
  <c r="Y90" i="55"/>
  <c r="O91" i="55"/>
  <c r="U91" i="55"/>
  <c r="P91" i="55"/>
  <c r="AB91" i="55" s="1"/>
  <c r="V91" i="55"/>
  <c r="Q91" i="55"/>
  <c r="W91" i="55"/>
  <c r="R91" i="55"/>
  <c r="AD91" i="55" s="1"/>
  <c r="X91" i="55"/>
  <c r="S91" i="55"/>
  <c r="Y91" i="55"/>
  <c r="O92" i="55"/>
  <c r="U92" i="55"/>
  <c r="P92" i="55"/>
  <c r="V92" i="55"/>
  <c r="Q92" i="55"/>
  <c r="AC92" i="55" s="1"/>
  <c r="W92" i="55"/>
  <c r="R92" i="55"/>
  <c r="AD92" i="55" s="1"/>
  <c r="X92" i="55"/>
  <c r="S92" i="55"/>
  <c r="Y92" i="55"/>
  <c r="O93" i="55"/>
  <c r="U93" i="55"/>
  <c r="P93" i="55"/>
  <c r="V93" i="55"/>
  <c r="Q93" i="55"/>
  <c r="W93" i="55"/>
  <c r="R93" i="55"/>
  <c r="AD93" i="55" s="1"/>
  <c r="X93" i="55"/>
  <c r="S93" i="55"/>
  <c r="Y93" i="55"/>
  <c r="O94" i="55"/>
  <c r="AA94" i="55" s="1"/>
  <c r="U94" i="55"/>
  <c r="P94" i="55"/>
  <c r="AB94" i="55" s="1"/>
  <c r="V94" i="55"/>
  <c r="Q94" i="55"/>
  <c r="W94" i="55"/>
  <c r="R94" i="55"/>
  <c r="X94" i="55"/>
  <c r="S94" i="55"/>
  <c r="AE94" i="55" s="1"/>
  <c r="Y94" i="55"/>
  <c r="O95" i="55"/>
  <c r="U95" i="55"/>
  <c r="P95" i="55"/>
  <c r="V95" i="55"/>
  <c r="Q95" i="55"/>
  <c r="W95" i="55"/>
  <c r="R95" i="55"/>
  <c r="X95" i="55"/>
  <c r="S95" i="55"/>
  <c r="AE95" i="55" s="1"/>
  <c r="Y95" i="55"/>
  <c r="O96" i="55"/>
  <c r="U96" i="55"/>
  <c r="P96" i="55"/>
  <c r="V96" i="55"/>
  <c r="Q96" i="55"/>
  <c r="W96" i="55"/>
  <c r="R96" i="55"/>
  <c r="AD96" i="55" s="1"/>
  <c r="X96" i="55"/>
  <c r="S96" i="55"/>
  <c r="Y96" i="55"/>
  <c r="O97" i="55"/>
  <c r="U97" i="55"/>
  <c r="P97" i="55"/>
  <c r="V97" i="55"/>
  <c r="Q97" i="55"/>
  <c r="W97" i="55"/>
  <c r="R97" i="55"/>
  <c r="X97" i="55"/>
  <c r="S97" i="55"/>
  <c r="Y97" i="55"/>
  <c r="O98" i="55"/>
  <c r="U98" i="55"/>
  <c r="P98" i="55"/>
  <c r="AB98" i="55" s="1"/>
  <c r="V98" i="55"/>
  <c r="Q98" i="55"/>
  <c r="W98" i="55"/>
  <c r="R98" i="55"/>
  <c r="X98" i="55"/>
  <c r="S98" i="55"/>
  <c r="Y98" i="55"/>
  <c r="O99" i="55"/>
  <c r="U99" i="55"/>
  <c r="P99" i="55"/>
  <c r="V99" i="55"/>
  <c r="Q99" i="55"/>
  <c r="W99" i="55"/>
  <c r="R99" i="55"/>
  <c r="AD99" i="55" s="1"/>
  <c r="X99" i="55"/>
  <c r="S99" i="55"/>
  <c r="AE99" i="55" s="1"/>
  <c r="Y99" i="55"/>
  <c r="O100" i="55"/>
  <c r="U100" i="55"/>
  <c r="P100" i="55"/>
  <c r="V100" i="55"/>
  <c r="Q100" i="55"/>
  <c r="W100" i="55"/>
  <c r="R100" i="55"/>
  <c r="X100" i="55"/>
  <c r="S100" i="55"/>
  <c r="Y100" i="55"/>
  <c r="O101" i="55"/>
  <c r="U101" i="55"/>
  <c r="P101" i="55"/>
  <c r="AB101" i="55" s="1"/>
  <c r="V101" i="55"/>
  <c r="Q101" i="55"/>
  <c r="AC101" i="55" s="1"/>
  <c r="W101" i="55"/>
  <c r="R101" i="55"/>
  <c r="X101" i="55"/>
  <c r="S101" i="55"/>
  <c r="Y101" i="55"/>
  <c r="O102" i="55"/>
  <c r="AA102" i="55" s="1"/>
  <c r="U102" i="55"/>
  <c r="P102" i="55"/>
  <c r="V102" i="55"/>
  <c r="Q102" i="55"/>
  <c r="W102" i="55"/>
  <c r="R102" i="55"/>
  <c r="X102" i="55"/>
  <c r="S102" i="55"/>
  <c r="AE102" i="55" s="1"/>
  <c r="Y102" i="55"/>
  <c r="O103" i="55"/>
  <c r="U103" i="55"/>
  <c r="P103" i="55"/>
  <c r="V103" i="55"/>
  <c r="Q103" i="55"/>
  <c r="W103" i="55"/>
  <c r="R103" i="55"/>
  <c r="AD103" i="55" s="1"/>
  <c r="X103" i="55"/>
  <c r="S103" i="55"/>
  <c r="Y103" i="55"/>
  <c r="O104" i="55"/>
  <c r="AA104" i="55" s="1"/>
  <c r="U104" i="55"/>
  <c r="P104" i="55"/>
  <c r="V104" i="55"/>
  <c r="Q104" i="55"/>
  <c r="AC104" i="55" s="1"/>
  <c r="W104" i="55"/>
  <c r="R104" i="55"/>
  <c r="X104" i="55"/>
  <c r="S104" i="55"/>
  <c r="Y104" i="55"/>
  <c r="P5" i="55"/>
  <c r="V5" i="55"/>
  <c r="Q5" i="55"/>
  <c r="AC5" i="55" s="1"/>
  <c r="W5" i="55"/>
  <c r="R5" i="55"/>
  <c r="AD5" i="55" s="1"/>
  <c r="X5" i="55"/>
  <c r="S5" i="55"/>
  <c r="Y5" i="55"/>
  <c r="O5" i="55"/>
  <c r="U5" i="55"/>
  <c r="AB104" i="55"/>
  <c r="AA101" i="55"/>
  <c r="AE97" i="55"/>
  <c r="AD94" i="55"/>
  <c r="AC91" i="55"/>
  <c r="AB88" i="55"/>
  <c r="AA85" i="55"/>
  <c r="AE81" i="55"/>
  <c r="AD78" i="55"/>
  <c r="AC75" i="55"/>
  <c r="AB72" i="55"/>
  <c r="AA69" i="55"/>
  <c r="AE65" i="55"/>
  <c r="AD62" i="55"/>
  <c r="AC59" i="55"/>
  <c r="AB56" i="55"/>
  <c r="AA53" i="55"/>
  <c r="AE49" i="55"/>
  <c r="AD46" i="55"/>
  <c r="AC43" i="55"/>
  <c r="AB40" i="55"/>
  <c r="AA37" i="55"/>
  <c r="AE33" i="55"/>
  <c r="AD30" i="55"/>
  <c r="AC27" i="55"/>
  <c r="AB24" i="55"/>
  <c r="AA21" i="55"/>
  <c r="AE17" i="55"/>
  <c r="AD14" i="55"/>
  <c r="AC11" i="55"/>
  <c r="AB8" i="55"/>
  <c r="AC100" i="55"/>
  <c r="AB97" i="55"/>
  <c r="AE90" i="55"/>
  <c r="AE74" i="55"/>
  <c r="AD71" i="55"/>
  <c r="AC68" i="55"/>
  <c r="AB65" i="55"/>
  <c r="AA62" i="55"/>
  <c r="AE58" i="55"/>
  <c r="AD55" i="55"/>
  <c r="AC52" i="55"/>
  <c r="AB49" i="55"/>
  <c r="AA46" i="55"/>
  <c r="AE42" i="55"/>
  <c r="AD39" i="55"/>
  <c r="AC36" i="55"/>
  <c r="AB33" i="55"/>
  <c r="AA30" i="55"/>
  <c r="AE26" i="55"/>
  <c r="AD23" i="55"/>
  <c r="AC20" i="55"/>
  <c r="AB17" i="55"/>
  <c r="AA14" i="55"/>
  <c r="AE10" i="55"/>
  <c r="AD7" i="55"/>
  <c r="AA5" i="55"/>
  <c r="AD102" i="55"/>
  <c r="AC99" i="55"/>
  <c r="AB96" i="55"/>
  <c r="AA93" i="55"/>
  <c r="AE89" i="55"/>
  <c r="AD86" i="55"/>
  <c r="AC83" i="55"/>
  <c r="AB80" i="55"/>
  <c r="AA77" i="55"/>
  <c r="AE73" i="55"/>
  <c r="AD70" i="55"/>
  <c r="AC67" i="55"/>
  <c r="AB64" i="55"/>
  <c r="AA61" i="55"/>
  <c r="AE57" i="55"/>
  <c r="AD54" i="55"/>
  <c r="AC51" i="55"/>
  <c r="AB48" i="55"/>
  <c r="AA45" i="55"/>
  <c r="AE41" i="55"/>
  <c r="AD38" i="55"/>
  <c r="AC35" i="55"/>
  <c r="AB32" i="55"/>
  <c r="AA29" i="55"/>
  <c r="AE25" i="55"/>
  <c r="AD22" i="55"/>
  <c r="AC19" i="55"/>
  <c r="AB16" i="55"/>
  <c r="AA13" i="55"/>
  <c r="AE9" i="55"/>
  <c r="AD6" i="55"/>
  <c r="AE98" i="55"/>
  <c r="AD95" i="55"/>
  <c r="AB89" i="55"/>
  <c r="AB73" i="55"/>
  <c r="AA70" i="55"/>
  <c r="AE66" i="55"/>
  <c r="AD63" i="55"/>
  <c r="AC60" i="55"/>
  <c r="AB57" i="55"/>
  <c r="AA54" i="55"/>
  <c r="AE50" i="55"/>
  <c r="AD47" i="55"/>
  <c r="AC44" i="55"/>
  <c r="AB41" i="55"/>
  <c r="AA38" i="55"/>
  <c r="AE34" i="55"/>
  <c r="AD31" i="55"/>
  <c r="AC28" i="55"/>
  <c r="AB25" i="55"/>
  <c r="AA22" i="55"/>
  <c r="AE18" i="55"/>
  <c r="AD15" i="55"/>
  <c r="AC12" i="55"/>
  <c r="AB9" i="55"/>
  <c r="AA6" i="55"/>
  <c r="AE103" i="55"/>
  <c r="AB102" i="55"/>
  <c r="AD100" i="55"/>
  <c r="AA99" i="55"/>
  <c r="AC97" i="55"/>
  <c r="AA91" i="55"/>
  <c r="AC89" i="55"/>
  <c r="AE87" i="55"/>
  <c r="AB86" i="55"/>
  <c r="AD84" i="55"/>
  <c r="AB78" i="55"/>
  <c r="AD76" i="55"/>
  <c r="AA75" i="55"/>
  <c r="AC73" i="55"/>
  <c r="AE71" i="55"/>
  <c r="AD68" i="55"/>
  <c r="AA67" i="55"/>
  <c r="AC65" i="55"/>
  <c r="AE63" i="55"/>
  <c r="AB62" i="55"/>
  <c r="AD60" i="55"/>
  <c r="AA59" i="55"/>
  <c r="AC57" i="55"/>
  <c r="AE55" i="55"/>
  <c r="AB54" i="55"/>
  <c r="AD52" i="55"/>
  <c r="AA51" i="55"/>
  <c r="AC49" i="55"/>
  <c r="AE47" i="55"/>
  <c r="AB46" i="55"/>
  <c r="AD44" i="55"/>
  <c r="AA43" i="55"/>
  <c r="AC41" i="55"/>
  <c r="AE39" i="55"/>
  <c r="AB38" i="55"/>
  <c r="AD36" i="55"/>
  <c r="AA35" i="55"/>
  <c r="AC33" i="55"/>
  <c r="AE31" i="55"/>
  <c r="AB30" i="55"/>
  <c r="AD28" i="55"/>
  <c r="AA27" i="55"/>
  <c r="AC25" i="55"/>
  <c r="AE23" i="55"/>
  <c r="AB22" i="55"/>
  <c r="AD20" i="55"/>
  <c r="AA19" i="55"/>
  <c r="AC17" i="55"/>
  <c r="AE15" i="55"/>
  <c r="AB14" i="55"/>
  <c r="AD12" i="55"/>
  <c r="AA11" i="55"/>
  <c r="AC9" i="55"/>
  <c r="AE7" i="55"/>
  <c r="AB6" i="55"/>
  <c r="AE5" i="55"/>
  <c r="AC102" i="55"/>
  <c r="AE100" i="55"/>
  <c r="AB99" i="55"/>
  <c r="AD97" i="55"/>
  <c r="AA96" i="55"/>
  <c r="AC94" i="55"/>
  <c r="AE92" i="55"/>
  <c r="AD89" i="55"/>
  <c r="AA88" i="55"/>
  <c r="AC86" i="55"/>
  <c r="AE84" i="55"/>
  <c r="AB83" i="55"/>
  <c r="AD81" i="55"/>
  <c r="AA80" i="55"/>
  <c r="AE76" i="55"/>
  <c r="AB75" i="55"/>
  <c r="AD73" i="55"/>
  <c r="AA72" i="55"/>
  <c r="AC70" i="55"/>
  <c r="AE68" i="55"/>
  <c r="AA64" i="55"/>
  <c r="AC62" i="55"/>
  <c r="AE60" i="55"/>
  <c r="AD57" i="55"/>
  <c r="AD49" i="55"/>
  <c r="AA48" i="55"/>
  <c r="AE44" i="55"/>
  <c r="AD41" i="55"/>
  <c r="AE36" i="55"/>
  <c r="AB35" i="55"/>
  <c r="AD33" i="55"/>
  <c r="AC30" i="55"/>
  <c r="AD25" i="55"/>
  <c r="AA24" i="55"/>
  <c r="AC22" i="55"/>
  <c r="AB19" i="55"/>
  <c r="AC14" i="55"/>
  <c r="AB11" i="55"/>
  <c r="AD9" i="55"/>
  <c r="AA8" i="55"/>
  <c r="AC6" i="55"/>
  <c r="AA98" i="55"/>
  <c r="AC96" i="55"/>
  <c r="AB93" i="55"/>
  <c r="AB85" i="55"/>
  <c r="AD83" i="55"/>
  <c r="AC80" i="55"/>
  <c r="AC72" i="55"/>
  <c r="AE70" i="55"/>
  <c r="AD67" i="55"/>
  <c r="AA66" i="55"/>
  <c r="AC64" i="55"/>
  <c r="AE62" i="55"/>
  <c r="AB61" i="55"/>
  <c r="AD59" i="55"/>
  <c r="AA58" i="55"/>
  <c r="AC56" i="55"/>
  <c r="AE54" i="55"/>
  <c r="AB53" i="55"/>
  <c r="AD51" i="55"/>
  <c r="AA50" i="55"/>
  <c r="AC48" i="55"/>
  <c r="AE46" i="55"/>
  <c r="AB45" i="55"/>
  <c r="AD43" i="55"/>
  <c r="AA42" i="55"/>
  <c r="AC40" i="55"/>
  <c r="AE38" i="55"/>
  <c r="AB37" i="55"/>
  <c r="AD35" i="55"/>
  <c r="AA34" i="55"/>
  <c r="AC32" i="55"/>
  <c r="AE30" i="55"/>
  <c r="AB29" i="55"/>
  <c r="AD27" i="55"/>
  <c r="AA26" i="55"/>
  <c r="AC24" i="55"/>
  <c r="AE22" i="55"/>
  <c r="AB21" i="55"/>
  <c r="AD19" i="55"/>
  <c r="AA18" i="55"/>
  <c r="AC16" i="55"/>
  <c r="AE14" i="55"/>
  <c r="AB13" i="55"/>
  <c r="AD11" i="55"/>
  <c r="AA10" i="55"/>
  <c r="AC8" i="55"/>
  <c r="AE6" i="55"/>
  <c r="AD104" i="55"/>
  <c r="AA103" i="55"/>
  <c r="AA95" i="55"/>
  <c r="AC93" i="55"/>
  <c r="AE91" i="55"/>
  <c r="AB90" i="55"/>
  <c r="AD88" i="55"/>
  <c r="AB82" i="55"/>
  <c r="AD80" i="55"/>
  <c r="AA79" i="55"/>
  <c r="AC77" i="55"/>
  <c r="AE75" i="55"/>
  <c r="AC69" i="55"/>
  <c r="AE67" i="55"/>
  <c r="AB66" i="55"/>
  <c r="AD64" i="55"/>
  <c r="AA63" i="55"/>
  <c r="AC61" i="55"/>
  <c r="AE59" i="55"/>
  <c r="AB58" i="55"/>
  <c r="AD56" i="55"/>
  <c r="AA55" i="55"/>
  <c r="AC53" i="55"/>
  <c r="AE51" i="55"/>
  <c r="AB50" i="55"/>
  <c r="AD48" i="55"/>
  <c r="AA47" i="55"/>
  <c r="AC45" i="55"/>
  <c r="AE43" i="55"/>
  <c r="AB42" i="55"/>
  <c r="AD40" i="55"/>
  <c r="AA39" i="55"/>
  <c r="AC37" i="55"/>
  <c r="AE35" i="55"/>
  <c r="AB34" i="55"/>
  <c r="AD32" i="55"/>
  <c r="AA31" i="55"/>
  <c r="AC29" i="55"/>
  <c r="AE27" i="55"/>
  <c r="AB26" i="55"/>
  <c r="AD24" i="55"/>
  <c r="AA23" i="55"/>
  <c r="AC21" i="55"/>
  <c r="AE19" i="55"/>
  <c r="AB18" i="55"/>
  <c r="AD16" i="55"/>
  <c r="AA15" i="55"/>
  <c r="AC13" i="55"/>
  <c r="AE11" i="55"/>
  <c r="AB10" i="55"/>
  <c r="AD8" i="55"/>
  <c r="AA7" i="55"/>
  <c r="AE104" i="55"/>
  <c r="AB103" i="55"/>
  <c r="AD101" i="55"/>
  <c r="AA100" i="55"/>
  <c r="AC98" i="55"/>
  <c r="AE96" i="55"/>
  <c r="AB95" i="55"/>
  <c r="AA92" i="55"/>
  <c r="AC90" i="55"/>
  <c r="AE88" i="55"/>
  <c r="AB87" i="55"/>
  <c r="AD85" i="55"/>
  <c r="AA84" i="55"/>
  <c r="AC82" i="55"/>
  <c r="AB79" i="55"/>
  <c r="AD77" i="55"/>
  <c r="AA76" i="55"/>
  <c r="AC74" i="55"/>
  <c r="AE72" i="55"/>
  <c r="AB71" i="55"/>
  <c r="AD69" i="55"/>
  <c r="AA68" i="55"/>
  <c r="AE64" i="55"/>
  <c r="AB63" i="55"/>
  <c r="AA60" i="55"/>
  <c r="AE56" i="55"/>
  <c r="AA52" i="55"/>
  <c r="AC50" i="55"/>
  <c r="AB47" i="55"/>
  <c r="AD45" i="55"/>
  <c r="AE40" i="55"/>
  <c r="AB39" i="55"/>
  <c r="AD37" i="55"/>
  <c r="AC34" i="55"/>
  <c r="AD29" i="55"/>
  <c r="AC26" i="55"/>
  <c r="AE24" i="55"/>
  <c r="AB23" i="55"/>
  <c r="AD21" i="55"/>
  <c r="AC18" i="55"/>
  <c r="AB15" i="55"/>
  <c r="AD13" i="55"/>
  <c r="AA12" i="55"/>
  <c r="AE8" i="55"/>
  <c r="AB5" i="55"/>
  <c r="AC103" i="55"/>
  <c r="AE101" i="55"/>
  <c r="AB100" i="55"/>
  <c r="AD98" i="55"/>
  <c r="AA97" i="55"/>
  <c r="AC95" i="55"/>
  <c r="AE93" i="55"/>
  <c r="AB92" i="55"/>
  <c r="AD90" i="55"/>
  <c r="AA89" i="55"/>
  <c r="AC87" i="55"/>
  <c r="AE85" i="55"/>
  <c r="AB84" i="55"/>
  <c r="AD82" i="55"/>
  <c r="AA81" i="55"/>
  <c r="AC79" i="55"/>
  <c r="AE77" i="55"/>
  <c r="AB76" i="55"/>
  <c r="AD74" i="55"/>
  <c r="AA73" i="55"/>
  <c r="AC71" i="55"/>
  <c r="AE69" i="55"/>
  <c r="AB68" i="55"/>
  <c r="AD66" i="55"/>
  <c r="AA65" i="55"/>
  <c r="AC63" i="55"/>
  <c r="AE61" i="55"/>
  <c r="AB60" i="55"/>
  <c r="AD58" i="55"/>
  <c r="AA57" i="55"/>
  <c r="AC55" i="55"/>
  <c r="AE53" i="55"/>
  <c r="AB52" i="55"/>
  <c r="AD50" i="55"/>
  <c r="AA49" i="55"/>
  <c r="AC47" i="55"/>
  <c r="AE45" i="55"/>
  <c r="AB44" i="55"/>
  <c r="AD42" i="55"/>
  <c r="AA41" i="55"/>
  <c r="AC39" i="55"/>
  <c r="AE37" i="55"/>
  <c r="AB36" i="55"/>
  <c r="AD34" i="55"/>
  <c r="AA33" i="55"/>
  <c r="AC31" i="55"/>
  <c r="AE29" i="55"/>
  <c r="AB28" i="55"/>
  <c r="AD26" i="55"/>
  <c r="AA25" i="55"/>
  <c r="AC23" i="55"/>
  <c r="AE21" i="55"/>
  <c r="AB20" i="55"/>
  <c r="AD18" i="55"/>
  <c r="AA17" i="55"/>
  <c r="AC15" i="55"/>
  <c r="AE13" i="55"/>
  <c r="AB12" i="55"/>
  <c r="AD10" i="55"/>
  <c r="AA9" i="55"/>
  <c r="AC7" i="55"/>
  <c r="AS6" i="55"/>
  <c r="AT6" i="55"/>
  <c r="AU6" i="55"/>
  <c r="AV6" i="55"/>
  <c r="AW6" i="55"/>
  <c r="AS7" i="55"/>
  <c r="AT7" i="55"/>
  <c r="AU7" i="55"/>
  <c r="AV7" i="55"/>
  <c r="AW7" i="55"/>
  <c r="AS8" i="55"/>
  <c r="AT8" i="55"/>
  <c r="AU8" i="55"/>
  <c r="AV8" i="55"/>
  <c r="AW8" i="55"/>
  <c r="AS9" i="55"/>
  <c r="AT9" i="55"/>
  <c r="AU9" i="55"/>
  <c r="AV9" i="55"/>
  <c r="AW9" i="55"/>
  <c r="AS10" i="55"/>
  <c r="AT10" i="55"/>
  <c r="AU10" i="55"/>
  <c r="AV10" i="55"/>
  <c r="AW10" i="55"/>
  <c r="AS11" i="55"/>
  <c r="AT11" i="55"/>
  <c r="AU11" i="55"/>
  <c r="AV11" i="55"/>
  <c r="AW11" i="55"/>
  <c r="AS12" i="55"/>
  <c r="AT12" i="55"/>
  <c r="AU12" i="55"/>
  <c r="AV12" i="55"/>
  <c r="AW12" i="55"/>
  <c r="AS13" i="55"/>
  <c r="AT13" i="55"/>
  <c r="AU13" i="55"/>
  <c r="AV13" i="55"/>
  <c r="AW13" i="55"/>
  <c r="AS14" i="55"/>
  <c r="AT14" i="55"/>
  <c r="AU14" i="55"/>
  <c r="AV14" i="55"/>
  <c r="AW14" i="55"/>
  <c r="AS15" i="55"/>
  <c r="AT15" i="55"/>
  <c r="AU15" i="55"/>
  <c r="AV15" i="55"/>
  <c r="AW15" i="55"/>
  <c r="AS16" i="55"/>
  <c r="AT16" i="55"/>
  <c r="AU16" i="55"/>
  <c r="AV16" i="55"/>
  <c r="AW16" i="55"/>
  <c r="AS17" i="55"/>
  <c r="AT17" i="55"/>
  <c r="AU17" i="55"/>
  <c r="AV17" i="55"/>
  <c r="AW17" i="55"/>
  <c r="AS18" i="55"/>
  <c r="AT18" i="55"/>
  <c r="AU18" i="55"/>
  <c r="AV18" i="55"/>
  <c r="AW18" i="55"/>
  <c r="AS19" i="55"/>
  <c r="AT19" i="55"/>
  <c r="AU19" i="55"/>
  <c r="AV19" i="55"/>
  <c r="AW19" i="55"/>
  <c r="AS20" i="55"/>
  <c r="AT20" i="55"/>
  <c r="AU20" i="55"/>
  <c r="AV20" i="55"/>
  <c r="AW20" i="55"/>
  <c r="AS21" i="55"/>
  <c r="AT21" i="55"/>
  <c r="AU21" i="55"/>
  <c r="AV21" i="55"/>
  <c r="AW21" i="55"/>
  <c r="AS22" i="55"/>
  <c r="AT22" i="55"/>
  <c r="AU22" i="55"/>
  <c r="AV22" i="55"/>
  <c r="AW22" i="55"/>
  <c r="AS23" i="55"/>
  <c r="AT23" i="55"/>
  <c r="AU23" i="55"/>
  <c r="AV23" i="55"/>
  <c r="AW23" i="55"/>
  <c r="AS24" i="55"/>
  <c r="AT24" i="55"/>
  <c r="AU24" i="55"/>
  <c r="AV24" i="55"/>
  <c r="AW24" i="55"/>
  <c r="AS25" i="55"/>
  <c r="AT25" i="55"/>
  <c r="AU25" i="55"/>
  <c r="AV25" i="55"/>
  <c r="AW25" i="55"/>
  <c r="AS26" i="55"/>
  <c r="AT26" i="55"/>
  <c r="AU26" i="55"/>
  <c r="AV26" i="55"/>
  <c r="AW26" i="55"/>
  <c r="AS27" i="55"/>
  <c r="AT27" i="55"/>
  <c r="AU27" i="55"/>
  <c r="AV27" i="55"/>
  <c r="AW27" i="55"/>
  <c r="AS28" i="55"/>
  <c r="AT28" i="55"/>
  <c r="AU28" i="55"/>
  <c r="AV28" i="55"/>
  <c r="AW28" i="55"/>
  <c r="AS29" i="55"/>
  <c r="AT29" i="55"/>
  <c r="AU29" i="55"/>
  <c r="AV29" i="55"/>
  <c r="AW29" i="55"/>
  <c r="AS30" i="55"/>
  <c r="AT30" i="55"/>
  <c r="AU30" i="55"/>
  <c r="AV30" i="55"/>
  <c r="AW30" i="55"/>
  <c r="AS31" i="55"/>
  <c r="AT31" i="55"/>
  <c r="AU31" i="55"/>
  <c r="AV31" i="55"/>
  <c r="AW31" i="55"/>
  <c r="AS32" i="55"/>
  <c r="AT32" i="55"/>
  <c r="AU32" i="55"/>
  <c r="AV32" i="55"/>
  <c r="AW32" i="55"/>
  <c r="AS33" i="55"/>
  <c r="AT33" i="55"/>
  <c r="AU33" i="55"/>
  <c r="AV33" i="55"/>
  <c r="AW33" i="55"/>
  <c r="AS34" i="55"/>
  <c r="AT34" i="55"/>
  <c r="AU34" i="55"/>
  <c r="AV34" i="55"/>
  <c r="AW34" i="55"/>
  <c r="AS35" i="55"/>
  <c r="AT35" i="55"/>
  <c r="AU35" i="55"/>
  <c r="AV35" i="55"/>
  <c r="AW35" i="55"/>
  <c r="AS36" i="55"/>
  <c r="AT36" i="55"/>
  <c r="AU36" i="55"/>
  <c r="AV36" i="55"/>
  <c r="AW36" i="55"/>
  <c r="AS37" i="55"/>
  <c r="AT37" i="55"/>
  <c r="AU37" i="55"/>
  <c r="AV37" i="55"/>
  <c r="AW37" i="55"/>
  <c r="AS38" i="55"/>
  <c r="AT38" i="55"/>
  <c r="AU38" i="55"/>
  <c r="AV38" i="55"/>
  <c r="AW38" i="55"/>
  <c r="AS39" i="55"/>
  <c r="AT39" i="55"/>
  <c r="AU39" i="55"/>
  <c r="AV39" i="55"/>
  <c r="AW39" i="55"/>
  <c r="AS40" i="55"/>
  <c r="AT40" i="55"/>
  <c r="AU40" i="55"/>
  <c r="AV40" i="55"/>
  <c r="AW40" i="55"/>
  <c r="AS41" i="55"/>
  <c r="AT41" i="55"/>
  <c r="AU41" i="55"/>
  <c r="AV41" i="55"/>
  <c r="AW41" i="55"/>
  <c r="AS42" i="55"/>
  <c r="AT42" i="55"/>
  <c r="AU42" i="55"/>
  <c r="AV42" i="55"/>
  <c r="AW42" i="55"/>
  <c r="AS43" i="55"/>
  <c r="AT43" i="55"/>
  <c r="AU43" i="55"/>
  <c r="AV43" i="55"/>
  <c r="AW43" i="55"/>
  <c r="AS44" i="55"/>
  <c r="AT44" i="55"/>
  <c r="AU44" i="55"/>
  <c r="AV44" i="55"/>
  <c r="AW44" i="55"/>
  <c r="AS45" i="55"/>
  <c r="AT45" i="55"/>
  <c r="AU45" i="55"/>
  <c r="AV45" i="55"/>
  <c r="AW45" i="55"/>
  <c r="AS46" i="55"/>
  <c r="AT46" i="55"/>
  <c r="AU46" i="55"/>
  <c r="AV46" i="55"/>
  <c r="AW46" i="55"/>
  <c r="AS47" i="55"/>
  <c r="AT47" i="55"/>
  <c r="AU47" i="55"/>
  <c r="AV47" i="55"/>
  <c r="AW47" i="55"/>
  <c r="AS48" i="55"/>
  <c r="AT48" i="55"/>
  <c r="AU48" i="55"/>
  <c r="AV48" i="55"/>
  <c r="AW48" i="55"/>
  <c r="AS49" i="55"/>
  <c r="AT49" i="55"/>
  <c r="AU49" i="55"/>
  <c r="AV49" i="55"/>
  <c r="AW49" i="55"/>
  <c r="AS50" i="55"/>
  <c r="AT50" i="55"/>
  <c r="AU50" i="55"/>
  <c r="AV50" i="55"/>
  <c r="AW50" i="55"/>
  <c r="AS51" i="55"/>
  <c r="AT51" i="55"/>
  <c r="AU51" i="55"/>
  <c r="AV51" i="55"/>
  <c r="AW51" i="55"/>
  <c r="AS52" i="55"/>
  <c r="AT52" i="55"/>
  <c r="AU52" i="55"/>
  <c r="AV52" i="55"/>
  <c r="AW52" i="55"/>
  <c r="AS53" i="55"/>
  <c r="AT53" i="55"/>
  <c r="AU53" i="55"/>
  <c r="AV53" i="55"/>
  <c r="AW53" i="55"/>
  <c r="AS54" i="55"/>
  <c r="AT54" i="55"/>
  <c r="AU54" i="55"/>
  <c r="AV54" i="55"/>
  <c r="AW54" i="55"/>
  <c r="AS55" i="55"/>
  <c r="AT55" i="55"/>
  <c r="AU55" i="55"/>
  <c r="AV55" i="55"/>
  <c r="AW55" i="55"/>
  <c r="AS56" i="55"/>
  <c r="AT56" i="55"/>
  <c r="AU56" i="55"/>
  <c r="AV56" i="55"/>
  <c r="AW56" i="55"/>
  <c r="AS57" i="55"/>
  <c r="AT57" i="55"/>
  <c r="AU57" i="55"/>
  <c r="AV57" i="55"/>
  <c r="AW57" i="55"/>
  <c r="AS58" i="55"/>
  <c r="AT58" i="55"/>
  <c r="AU58" i="55"/>
  <c r="AV58" i="55"/>
  <c r="AW58" i="55"/>
  <c r="AS59" i="55"/>
  <c r="AT59" i="55"/>
  <c r="AU59" i="55"/>
  <c r="AV59" i="55"/>
  <c r="AW59" i="55"/>
  <c r="AS60" i="55"/>
  <c r="AT60" i="55"/>
  <c r="AU60" i="55"/>
  <c r="AV60" i="55"/>
  <c r="AW60" i="55"/>
  <c r="AS61" i="55"/>
  <c r="AT61" i="55"/>
  <c r="AU61" i="55"/>
  <c r="AV61" i="55"/>
  <c r="AW61" i="55"/>
  <c r="AS62" i="55"/>
  <c r="AT62" i="55"/>
  <c r="AU62" i="55"/>
  <c r="AV62" i="55"/>
  <c r="AW62" i="55"/>
  <c r="AS63" i="55"/>
  <c r="AT63" i="55"/>
  <c r="AU63" i="55"/>
  <c r="AV63" i="55"/>
  <c r="AW63" i="55"/>
  <c r="AS64" i="55"/>
  <c r="AT64" i="55"/>
  <c r="AU64" i="55"/>
  <c r="AV64" i="55"/>
  <c r="AW64" i="55"/>
  <c r="AS65" i="55"/>
  <c r="AT65" i="55"/>
  <c r="AU65" i="55"/>
  <c r="AV65" i="55"/>
  <c r="AW65" i="55"/>
  <c r="AS66" i="55"/>
  <c r="AT66" i="55"/>
  <c r="AU66" i="55"/>
  <c r="AV66" i="55"/>
  <c r="AW66" i="55"/>
  <c r="AS67" i="55"/>
  <c r="AT67" i="55"/>
  <c r="AU67" i="55"/>
  <c r="AV67" i="55"/>
  <c r="AW67" i="55"/>
  <c r="AS68" i="55"/>
  <c r="AT68" i="55"/>
  <c r="AU68" i="55"/>
  <c r="AV68" i="55"/>
  <c r="AW68" i="55"/>
  <c r="AS69" i="55"/>
  <c r="AT69" i="55"/>
  <c r="AU69" i="55"/>
  <c r="AV69" i="55"/>
  <c r="AW69" i="55"/>
  <c r="AS70" i="55"/>
  <c r="AT70" i="55"/>
  <c r="AU70" i="55"/>
  <c r="AV70" i="55"/>
  <c r="AW70" i="55"/>
  <c r="AS71" i="55"/>
  <c r="AT71" i="55"/>
  <c r="AU71" i="55"/>
  <c r="AV71" i="55"/>
  <c r="AW71" i="55"/>
  <c r="AS72" i="55"/>
  <c r="AT72" i="55"/>
  <c r="AU72" i="55"/>
  <c r="AV72" i="55"/>
  <c r="AW72" i="55"/>
  <c r="AS73" i="55"/>
  <c r="AT73" i="55"/>
  <c r="AU73" i="55"/>
  <c r="AV73" i="55"/>
  <c r="AW73" i="55"/>
  <c r="AS74" i="55"/>
  <c r="AT74" i="55"/>
  <c r="AU74" i="55"/>
  <c r="AV74" i="55"/>
  <c r="AW74" i="55"/>
  <c r="AS75" i="55"/>
  <c r="AT75" i="55"/>
  <c r="AU75" i="55"/>
  <c r="AV75" i="55"/>
  <c r="AW75" i="55"/>
  <c r="AS76" i="55"/>
  <c r="AT76" i="55"/>
  <c r="AU76" i="55"/>
  <c r="AV76" i="55"/>
  <c r="AW76" i="55"/>
  <c r="AS77" i="55"/>
  <c r="AT77" i="55"/>
  <c r="AU77" i="55"/>
  <c r="AV77" i="55"/>
  <c r="AW77" i="55"/>
  <c r="AS78" i="55"/>
  <c r="AT78" i="55"/>
  <c r="AU78" i="55"/>
  <c r="AV78" i="55"/>
  <c r="AW78" i="55"/>
  <c r="AS79" i="55"/>
  <c r="AT79" i="55"/>
  <c r="AU79" i="55"/>
  <c r="AV79" i="55"/>
  <c r="AW79" i="55"/>
  <c r="AS80" i="55"/>
  <c r="AT80" i="55"/>
  <c r="AU80" i="55"/>
  <c r="AV80" i="55"/>
  <c r="AW80" i="55"/>
  <c r="AS81" i="55"/>
  <c r="AT81" i="55"/>
  <c r="AU81" i="55"/>
  <c r="AV81" i="55"/>
  <c r="AW81" i="55"/>
  <c r="AS82" i="55"/>
  <c r="AT82" i="55"/>
  <c r="AU82" i="55"/>
  <c r="AV82" i="55"/>
  <c r="AW82" i="55"/>
  <c r="AS83" i="55"/>
  <c r="AT83" i="55"/>
  <c r="AU83" i="55"/>
  <c r="AV83" i="55"/>
  <c r="AW83" i="55"/>
  <c r="AS84" i="55"/>
  <c r="AT84" i="55"/>
  <c r="AU84" i="55"/>
  <c r="AV84" i="55"/>
  <c r="AW84" i="55"/>
  <c r="AS85" i="55"/>
  <c r="AT85" i="55"/>
  <c r="AU85" i="55"/>
  <c r="AV85" i="55"/>
  <c r="AW85" i="55"/>
  <c r="AS86" i="55"/>
  <c r="AT86" i="55"/>
  <c r="AU86" i="55"/>
  <c r="AV86" i="55"/>
  <c r="AW86" i="55"/>
  <c r="AS87" i="55"/>
  <c r="AT87" i="55"/>
  <c r="AU87" i="55"/>
  <c r="AV87" i="55"/>
  <c r="AW87" i="55"/>
  <c r="AS88" i="55"/>
  <c r="AT88" i="55"/>
  <c r="AU88" i="55"/>
  <c r="AV88" i="55"/>
  <c r="AW88" i="55"/>
  <c r="AS89" i="55"/>
  <c r="AT89" i="55"/>
  <c r="AU89" i="55"/>
  <c r="AV89" i="55"/>
  <c r="AW89" i="55"/>
  <c r="AS90" i="55"/>
  <c r="AT90" i="55"/>
  <c r="AU90" i="55"/>
  <c r="AV90" i="55"/>
  <c r="AW90" i="55"/>
  <c r="AS91" i="55"/>
  <c r="AT91" i="55"/>
  <c r="AU91" i="55"/>
  <c r="AV91" i="55"/>
  <c r="AW91" i="55"/>
  <c r="AS92" i="55"/>
  <c r="AT92" i="55"/>
  <c r="AU92" i="55"/>
  <c r="AV92" i="55"/>
  <c r="AW92" i="55"/>
  <c r="AS93" i="55"/>
  <c r="AT93" i="55"/>
  <c r="AU93" i="55"/>
  <c r="AV93" i="55"/>
  <c r="AW93" i="55"/>
  <c r="AS94" i="55"/>
  <c r="AT94" i="55"/>
  <c r="AU94" i="55"/>
  <c r="AV94" i="55"/>
  <c r="AW94" i="55"/>
  <c r="AS95" i="55"/>
  <c r="AT95" i="55"/>
  <c r="AU95" i="55"/>
  <c r="AV95" i="55"/>
  <c r="AW95" i="55"/>
  <c r="AS96" i="55"/>
  <c r="AT96" i="55"/>
  <c r="AU96" i="55"/>
  <c r="AV96" i="55"/>
  <c r="AW96" i="55"/>
  <c r="AS97" i="55"/>
  <c r="AT97" i="55"/>
  <c r="AU97" i="55"/>
  <c r="AV97" i="55"/>
  <c r="AW97" i="55"/>
  <c r="AS98" i="55"/>
  <c r="AT98" i="55"/>
  <c r="AU98" i="55"/>
  <c r="AV98" i="55"/>
  <c r="AW98" i="55"/>
  <c r="AS99" i="55"/>
  <c r="AT99" i="55"/>
  <c r="AU99" i="55"/>
  <c r="AV99" i="55"/>
  <c r="AW99" i="55"/>
  <c r="AS100" i="55"/>
  <c r="AT100" i="55"/>
  <c r="AU100" i="55"/>
  <c r="AV100" i="55"/>
  <c r="AW100" i="55"/>
  <c r="AS101" i="55"/>
  <c r="AT101" i="55"/>
  <c r="AU101" i="55"/>
  <c r="AV101" i="55"/>
  <c r="AW101" i="55"/>
  <c r="AS102" i="55"/>
  <c r="AT102" i="55"/>
  <c r="AU102" i="55"/>
  <c r="AV102" i="55"/>
  <c r="AW102" i="55"/>
  <c r="AS103" i="55"/>
  <c r="AT103" i="55"/>
  <c r="AU103" i="55"/>
  <c r="AV103" i="55"/>
  <c r="AW103" i="55"/>
  <c r="AS104" i="55"/>
  <c r="AT104" i="55"/>
  <c r="AU104" i="55"/>
  <c r="AV104" i="55"/>
  <c r="AW104" i="55"/>
  <c r="AT5" i="55"/>
  <c r="AU5" i="55"/>
  <c r="AV5" i="55"/>
  <c r="AW5" i="55"/>
  <c r="AS5" i="55"/>
  <c r="AM6" i="55"/>
  <c r="AN6" i="55"/>
  <c r="AO6" i="55"/>
  <c r="AP6" i="55"/>
  <c r="AQ6" i="55"/>
  <c r="AM7" i="55"/>
  <c r="AN7" i="55"/>
  <c r="AO7" i="55"/>
  <c r="AP7" i="55"/>
  <c r="AQ7" i="55"/>
  <c r="AM8" i="55"/>
  <c r="AN8" i="55"/>
  <c r="AO8" i="55"/>
  <c r="AP8" i="55"/>
  <c r="AQ8" i="55"/>
  <c r="AM9" i="55"/>
  <c r="AN9" i="55"/>
  <c r="AO9" i="55"/>
  <c r="AP9" i="55"/>
  <c r="AQ9" i="55"/>
  <c r="AM10" i="55"/>
  <c r="AN10" i="55"/>
  <c r="AO10" i="55"/>
  <c r="AP10" i="55"/>
  <c r="AQ10" i="55"/>
  <c r="AM11" i="55"/>
  <c r="AN11" i="55"/>
  <c r="AO11" i="55"/>
  <c r="AP11" i="55"/>
  <c r="AQ11" i="55"/>
  <c r="AM12" i="55"/>
  <c r="AN12" i="55"/>
  <c r="AO12" i="55"/>
  <c r="AP12" i="55"/>
  <c r="AQ12" i="55"/>
  <c r="AM13" i="55"/>
  <c r="AN13" i="55"/>
  <c r="AO13" i="55"/>
  <c r="AP13" i="55"/>
  <c r="AQ13" i="55"/>
  <c r="AM14" i="55"/>
  <c r="AN14" i="55"/>
  <c r="AO14" i="55"/>
  <c r="AP14" i="55"/>
  <c r="AQ14" i="55"/>
  <c r="AM15" i="55"/>
  <c r="AN15" i="55"/>
  <c r="AO15" i="55"/>
  <c r="AP15" i="55"/>
  <c r="AQ15" i="55"/>
  <c r="AM16" i="55"/>
  <c r="AN16" i="55"/>
  <c r="AO16" i="55"/>
  <c r="AP16" i="55"/>
  <c r="AQ16" i="55"/>
  <c r="AM17" i="55"/>
  <c r="AN17" i="55"/>
  <c r="AO17" i="55"/>
  <c r="AP17" i="55"/>
  <c r="AQ17" i="55"/>
  <c r="AM18" i="55"/>
  <c r="AN18" i="55"/>
  <c r="AO18" i="55"/>
  <c r="AP18" i="55"/>
  <c r="AQ18" i="55"/>
  <c r="AM19" i="55"/>
  <c r="AN19" i="55"/>
  <c r="AO19" i="55"/>
  <c r="AP19" i="55"/>
  <c r="AQ19" i="55"/>
  <c r="AM20" i="55"/>
  <c r="AN20" i="55"/>
  <c r="AO20" i="55"/>
  <c r="AP20" i="55"/>
  <c r="AQ20" i="55"/>
  <c r="AM21" i="55"/>
  <c r="AN21" i="55"/>
  <c r="AO21" i="55"/>
  <c r="AP21" i="55"/>
  <c r="AQ21" i="55"/>
  <c r="AM22" i="55"/>
  <c r="AN22" i="55"/>
  <c r="AO22" i="55"/>
  <c r="AP22" i="55"/>
  <c r="AQ22" i="55"/>
  <c r="AM23" i="55"/>
  <c r="AN23" i="55"/>
  <c r="AO23" i="55"/>
  <c r="AP23" i="55"/>
  <c r="AQ23" i="55"/>
  <c r="AM24" i="55"/>
  <c r="AN24" i="55"/>
  <c r="AO24" i="55"/>
  <c r="AP24" i="55"/>
  <c r="AQ24" i="55"/>
  <c r="AM25" i="55"/>
  <c r="AN25" i="55"/>
  <c r="AO25" i="55"/>
  <c r="AP25" i="55"/>
  <c r="AQ25" i="55"/>
  <c r="AM26" i="55"/>
  <c r="AN26" i="55"/>
  <c r="AO26" i="55"/>
  <c r="AP26" i="55"/>
  <c r="AQ26" i="55"/>
  <c r="AM27" i="55"/>
  <c r="AN27" i="55"/>
  <c r="AO27" i="55"/>
  <c r="AP27" i="55"/>
  <c r="AQ27" i="55"/>
  <c r="AM28" i="55"/>
  <c r="AN28" i="55"/>
  <c r="AO28" i="55"/>
  <c r="AP28" i="55"/>
  <c r="AQ28" i="55"/>
  <c r="AM29" i="55"/>
  <c r="AN29" i="55"/>
  <c r="AO29" i="55"/>
  <c r="AP29" i="55"/>
  <c r="AQ29" i="55"/>
  <c r="AM30" i="55"/>
  <c r="AN30" i="55"/>
  <c r="AO30" i="55"/>
  <c r="AP30" i="55"/>
  <c r="AQ30" i="55"/>
  <c r="AM31" i="55"/>
  <c r="AN31" i="55"/>
  <c r="AO31" i="55"/>
  <c r="AP31" i="55"/>
  <c r="AQ31" i="55"/>
  <c r="AM32" i="55"/>
  <c r="AN32" i="55"/>
  <c r="AO32" i="55"/>
  <c r="AP32" i="55"/>
  <c r="AQ32" i="55"/>
  <c r="AM33" i="55"/>
  <c r="AN33" i="55"/>
  <c r="AO33" i="55"/>
  <c r="AP33" i="55"/>
  <c r="AQ33" i="55"/>
  <c r="AM34" i="55"/>
  <c r="AN34" i="55"/>
  <c r="AO34" i="55"/>
  <c r="AP34" i="55"/>
  <c r="AQ34" i="55"/>
  <c r="AM35" i="55"/>
  <c r="AN35" i="55"/>
  <c r="AO35" i="55"/>
  <c r="AP35" i="55"/>
  <c r="AQ35" i="55"/>
  <c r="AM36" i="55"/>
  <c r="AN36" i="55"/>
  <c r="AO36" i="55"/>
  <c r="AP36" i="55"/>
  <c r="AQ36" i="55"/>
  <c r="AM37" i="55"/>
  <c r="AN37" i="55"/>
  <c r="AO37" i="55"/>
  <c r="AP37" i="55"/>
  <c r="AQ37" i="55"/>
  <c r="AM38" i="55"/>
  <c r="AN38" i="55"/>
  <c r="AO38" i="55"/>
  <c r="AP38" i="55"/>
  <c r="AQ38" i="55"/>
  <c r="AM39" i="55"/>
  <c r="AN39" i="55"/>
  <c r="AO39" i="55"/>
  <c r="AP39" i="55"/>
  <c r="AQ39" i="55"/>
  <c r="AM40" i="55"/>
  <c r="AN40" i="55"/>
  <c r="AO40" i="55"/>
  <c r="AP40" i="55"/>
  <c r="AQ40" i="55"/>
  <c r="AM41" i="55"/>
  <c r="AN41" i="55"/>
  <c r="AO41" i="55"/>
  <c r="AP41" i="55"/>
  <c r="AQ41" i="55"/>
  <c r="AM42" i="55"/>
  <c r="AN42" i="55"/>
  <c r="AO42" i="55"/>
  <c r="AP42" i="55"/>
  <c r="AQ42" i="55"/>
  <c r="AM43" i="55"/>
  <c r="AN43" i="55"/>
  <c r="AO43" i="55"/>
  <c r="AP43" i="55"/>
  <c r="AQ43" i="55"/>
  <c r="AM44" i="55"/>
  <c r="AN44" i="55"/>
  <c r="AO44" i="55"/>
  <c r="AP44" i="55"/>
  <c r="AQ44" i="55"/>
  <c r="AM45" i="55"/>
  <c r="AN45" i="55"/>
  <c r="AO45" i="55"/>
  <c r="AP45" i="55"/>
  <c r="AQ45" i="55"/>
  <c r="AM46" i="55"/>
  <c r="AN46" i="55"/>
  <c r="AO46" i="55"/>
  <c r="AP46" i="55"/>
  <c r="AQ46" i="55"/>
  <c r="AM47" i="55"/>
  <c r="AN47" i="55"/>
  <c r="AO47" i="55"/>
  <c r="AP47" i="55"/>
  <c r="AQ47" i="55"/>
  <c r="AM48" i="55"/>
  <c r="AN48" i="55"/>
  <c r="AO48" i="55"/>
  <c r="AP48" i="55"/>
  <c r="AQ48" i="55"/>
  <c r="AM49" i="55"/>
  <c r="AN49" i="55"/>
  <c r="AO49" i="55"/>
  <c r="AP49" i="55"/>
  <c r="AQ49" i="55"/>
  <c r="AM50" i="55"/>
  <c r="AN50" i="55"/>
  <c r="AO50" i="55"/>
  <c r="AP50" i="55"/>
  <c r="AQ50" i="55"/>
  <c r="AM51" i="55"/>
  <c r="AN51" i="55"/>
  <c r="AO51" i="55"/>
  <c r="AP51" i="55"/>
  <c r="AQ51" i="55"/>
  <c r="AM52" i="55"/>
  <c r="AN52" i="55"/>
  <c r="AO52" i="55"/>
  <c r="AP52" i="55"/>
  <c r="AQ52" i="55"/>
  <c r="AM53" i="55"/>
  <c r="AN53" i="55"/>
  <c r="AO53" i="55"/>
  <c r="AP53" i="55"/>
  <c r="AQ53" i="55"/>
  <c r="AM54" i="55"/>
  <c r="AN54" i="55"/>
  <c r="AO54" i="55"/>
  <c r="AP54" i="55"/>
  <c r="AQ54" i="55"/>
  <c r="AM55" i="55"/>
  <c r="AN55" i="55"/>
  <c r="AO55" i="55"/>
  <c r="AP55" i="55"/>
  <c r="AQ55" i="55"/>
  <c r="AM56" i="55"/>
  <c r="AN56" i="55"/>
  <c r="AO56" i="55"/>
  <c r="AP56" i="55"/>
  <c r="AQ56" i="55"/>
  <c r="AM57" i="55"/>
  <c r="AN57" i="55"/>
  <c r="AO57" i="55"/>
  <c r="AP57" i="55"/>
  <c r="AQ57" i="55"/>
  <c r="AM58" i="55"/>
  <c r="AN58" i="55"/>
  <c r="AO58" i="55"/>
  <c r="AP58" i="55"/>
  <c r="AQ58" i="55"/>
  <c r="AM59" i="55"/>
  <c r="AN59" i="55"/>
  <c r="AO59" i="55"/>
  <c r="AP59" i="55"/>
  <c r="AQ59" i="55"/>
  <c r="AM60" i="55"/>
  <c r="AN60" i="55"/>
  <c r="AO60" i="55"/>
  <c r="AP60" i="55"/>
  <c r="AQ60" i="55"/>
  <c r="AM61" i="55"/>
  <c r="AN61" i="55"/>
  <c r="AO61" i="55"/>
  <c r="AP61" i="55"/>
  <c r="AQ61" i="55"/>
  <c r="AM62" i="55"/>
  <c r="AN62" i="55"/>
  <c r="AO62" i="55"/>
  <c r="AP62" i="55"/>
  <c r="AQ62" i="55"/>
  <c r="AM63" i="55"/>
  <c r="AN63" i="55"/>
  <c r="AO63" i="55"/>
  <c r="AP63" i="55"/>
  <c r="AQ63" i="55"/>
  <c r="AM64" i="55"/>
  <c r="AN64" i="55"/>
  <c r="AO64" i="55"/>
  <c r="AP64" i="55"/>
  <c r="AQ64" i="55"/>
  <c r="AM65" i="55"/>
  <c r="AN65" i="55"/>
  <c r="AO65" i="55"/>
  <c r="AP65" i="55"/>
  <c r="AQ65" i="55"/>
  <c r="AM66" i="55"/>
  <c r="AN66" i="55"/>
  <c r="AO66" i="55"/>
  <c r="AP66" i="55"/>
  <c r="AQ66" i="55"/>
  <c r="AM67" i="55"/>
  <c r="AN67" i="55"/>
  <c r="AO67" i="55"/>
  <c r="AP67" i="55"/>
  <c r="AQ67" i="55"/>
  <c r="AM68" i="55"/>
  <c r="AN68" i="55"/>
  <c r="AO68" i="55"/>
  <c r="AP68" i="55"/>
  <c r="AQ68" i="55"/>
  <c r="AM69" i="55"/>
  <c r="AN69" i="55"/>
  <c r="AO69" i="55"/>
  <c r="AP69" i="55"/>
  <c r="AQ69" i="55"/>
  <c r="AM70" i="55"/>
  <c r="AN70" i="55"/>
  <c r="AO70" i="55"/>
  <c r="AP70" i="55"/>
  <c r="AQ70" i="55"/>
  <c r="AM71" i="55"/>
  <c r="AN71" i="55"/>
  <c r="AO71" i="55"/>
  <c r="AP71" i="55"/>
  <c r="AQ71" i="55"/>
  <c r="AM72" i="55"/>
  <c r="AN72" i="55"/>
  <c r="AO72" i="55"/>
  <c r="AP72" i="55"/>
  <c r="AQ72" i="55"/>
  <c r="AM73" i="55"/>
  <c r="AN73" i="55"/>
  <c r="AO73" i="55"/>
  <c r="AP73" i="55"/>
  <c r="AQ73" i="55"/>
  <c r="AM74" i="55"/>
  <c r="AN74" i="55"/>
  <c r="AO74" i="55"/>
  <c r="AP74" i="55"/>
  <c r="AQ74" i="55"/>
  <c r="AM75" i="55"/>
  <c r="AN75" i="55"/>
  <c r="AO75" i="55"/>
  <c r="AP75" i="55"/>
  <c r="AQ75" i="55"/>
  <c r="AM76" i="55"/>
  <c r="AN76" i="55"/>
  <c r="AO76" i="55"/>
  <c r="AP76" i="55"/>
  <c r="AQ76" i="55"/>
  <c r="AM77" i="55"/>
  <c r="AN77" i="55"/>
  <c r="AO77" i="55"/>
  <c r="AP77" i="55"/>
  <c r="AQ77" i="55"/>
  <c r="AM78" i="55"/>
  <c r="AN78" i="55"/>
  <c r="AO78" i="55"/>
  <c r="AP78" i="55"/>
  <c r="AQ78" i="55"/>
  <c r="AM79" i="55"/>
  <c r="AN79" i="55"/>
  <c r="AO79" i="55"/>
  <c r="AP79" i="55"/>
  <c r="AQ79" i="55"/>
  <c r="AM80" i="55"/>
  <c r="AN80" i="55"/>
  <c r="AO80" i="55"/>
  <c r="AP80" i="55"/>
  <c r="AQ80" i="55"/>
  <c r="AM81" i="55"/>
  <c r="AN81" i="55"/>
  <c r="AO81" i="55"/>
  <c r="AP81" i="55"/>
  <c r="AQ81" i="55"/>
  <c r="AM82" i="55"/>
  <c r="AN82" i="55"/>
  <c r="AO82" i="55"/>
  <c r="AP82" i="55"/>
  <c r="AQ82" i="55"/>
  <c r="AM83" i="55"/>
  <c r="AN83" i="55"/>
  <c r="AO83" i="55"/>
  <c r="AP83" i="55"/>
  <c r="AQ83" i="55"/>
  <c r="AM84" i="55"/>
  <c r="AN84" i="55"/>
  <c r="AO84" i="55"/>
  <c r="AP84" i="55"/>
  <c r="AQ84" i="55"/>
  <c r="AM85" i="55"/>
  <c r="AN85" i="55"/>
  <c r="AO85" i="55"/>
  <c r="AP85" i="55"/>
  <c r="AQ85" i="55"/>
  <c r="AM86" i="55"/>
  <c r="AN86" i="55"/>
  <c r="AO86" i="55"/>
  <c r="AP86" i="55"/>
  <c r="AQ86" i="55"/>
  <c r="AM87" i="55"/>
  <c r="AN87" i="55"/>
  <c r="AO87" i="55"/>
  <c r="AP87" i="55"/>
  <c r="AQ87" i="55"/>
  <c r="AM88" i="55"/>
  <c r="AN88" i="55"/>
  <c r="AO88" i="55"/>
  <c r="AP88" i="55"/>
  <c r="AQ88" i="55"/>
  <c r="AM89" i="55"/>
  <c r="AN89" i="55"/>
  <c r="AO89" i="55"/>
  <c r="AP89" i="55"/>
  <c r="AQ89" i="55"/>
  <c r="AM90" i="55"/>
  <c r="AN90" i="55"/>
  <c r="AO90" i="55"/>
  <c r="AP90" i="55"/>
  <c r="AQ90" i="55"/>
  <c r="AM91" i="55"/>
  <c r="AN91" i="55"/>
  <c r="AO91" i="55"/>
  <c r="AP91" i="55"/>
  <c r="AQ91" i="55"/>
  <c r="AM92" i="55"/>
  <c r="AN92" i="55"/>
  <c r="AO92" i="55"/>
  <c r="AP92" i="55"/>
  <c r="AQ92" i="55"/>
  <c r="AM93" i="55"/>
  <c r="AN93" i="55"/>
  <c r="AO93" i="55"/>
  <c r="AP93" i="55"/>
  <c r="AQ93" i="55"/>
  <c r="AM94" i="55"/>
  <c r="AN94" i="55"/>
  <c r="AO94" i="55"/>
  <c r="AP94" i="55"/>
  <c r="AQ94" i="55"/>
  <c r="AM95" i="55"/>
  <c r="AN95" i="55"/>
  <c r="AO95" i="55"/>
  <c r="AP95" i="55"/>
  <c r="AQ95" i="55"/>
  <c r="AM96" i="55"/>
  <c r="AN96" i="55"/>
  <c r="AO96" i="55"/>
  <c r="AP96" i="55"/>
  <c r="AQ96" i="55"/>
  <c r="AM97" i="55"/>
  <c r="AN97" i="55"/>
  <c r="AO97" i="55"/>
  <c r="AP97" i="55"/>
  <c r="AQ97" i="55"/>
  <c r="AM98" i="55"/>
  <c r="AN98" i="55"/>
  <c r="AO98" i="55"/>
  <c r="AP98" i="55"/>
  <c r="AQ98" i="55"/>
  <c r="AM99" i="55"/>
  <c r="AN99" i="55"/>
  <c r="AO99" i="55"/>
  <c r="AP99" i="55"/>
  <c r="AQ99" i="55"/>
  <c r="AM100" i="55"/>
  <c r="AN100" i="55"/>
  <c r="AO100" i="55"/>
  <c r="AP100" i="55"/>
  <c r="AQ100" i="55"/>
  <c r="AM101" i="55"/>
  <c r="AN101" i="55"/>
  <c r="AO101" i="55"/>
  <c r="AP101" i="55"/>
  <c r="AQ101" i="55"/>
  <c r="AM102" i="55"/>
  <c r="AN102" i="55"/>
  <c r="AO102" i="55"/>
  <c r="AP102" i="55"/>
  <c r="AQ102" i="55"/>
  <c r="AM103" i="55"/>
  <c r="AN103" i="55"/>
  <c r="AO103" i="55"/>
  <c r="AP103" i="55"/>
  <c r="AQ103" i="55"/>
  <c r="AM104" i="55"/>
  <c r="AN104" i="55"/>
  <c r="AO104" i="55"/>
  <c r="AP104" i="55"/>
  <c r="AQ104" i="55"/>
  <c r="AN5" i="55"/>
  <c r="AO5" i="55"/>
  <c r="AP5" i="55"/>
  <c r="AQ5" i="55"/>
  <c r="AM5" i="55"/>
  <c r="S12" i="80"/>
  <c r="Q6" i="80"/>
  <c r="T8" i="80"/>
  <c r="R10" i="80"/>
  <c r="S11" i="80"/>
  <c r="Q12" i="80"/>
  <c r="S13" i="80"/>
  <c r="T14" i="80"/>
  <c r="R16" i="80"/>
  <c r="R17" i="80"/>
  <c r="S18" i="80"/>
  <c r="S19" i="80"/>
  <c r="T20" i="80"/>
  <c r="S6" i="80"/>
  <c r="Q18" i="80"/>
  <c r="T7" i="80"/>
  <c r="S10" i="80"/>
  <c r="R11" i="80"/>
  <c r="T13" i="80"/>
  <c r="R15" i="80"/>
  <c r="Q16" i="80"/>
  <c r="Q17" i="80"/>
  <c r="T19" i="80"/>
  <c r="T9" i="80"/>
  <c r="T6" i="80"/>
  <c r="R8" i="80"/>
  <c r="S9" i="80"/>
  <c r="Q10" i="80"/>
  <c r="T12" i="80"/>
  <c r="R14" i="80"/>
  <c r="Q15" i="80"/>
  <c r="S16" i="80"/>
  <c r="S17" i="80"/>
  <c r="T18" i="80"/>
  <c r="Q20" i="80"/>
  <c r="Q7" i="80"/>
  <c r="T15" i="80"/>
  <c r="S7" i="80"/>
  <c r="S8" i="80"/>
  <c r="R9" i="80"/>
  <c r="T11" i="80"/>
  <c r="R13" i="80"/>
  <c r="Q14" i="80"/>
  <c r="T17" i="80"/>
  <c r="R19" i="80"/>
  <c r="R20" i="80"/>
  <c r="Q11" i="80"/>
  <c r="R6" i="80"/>
  <c r="R7" i="80"/>
  <c r="Q8" i="80"/>
  <c r="Q9" i="80"/>
  <c r="T10" i="80"/>
  <c r="R12" i="80"/>
  <c r="Q13" i="80"/>
  <c r="S14" i="80"/>
  <c r="S15" i="80"/>
  <c r="T16" i="80"/>
  <c r="R18" i="80"/>
  <c r="Q19" i="80"/>
  <c r="S20" i="80"/>
  <c r="AA6" i="80"/>
  <c r="AA7" i="80"/>
  <c r="AA8" i="80"/>
  <c r="AA9" i="80"/>
  <c r="AA10" i="80"/>
  <c r="AA11" i="80"/>
  <c r="AA12" i="80"/>
  <c r="AA13" i="80"/>
  <c r="AA14" i="80"/>
  <c r="AA15" i="80"/>
  <c r="AA16" i="80"/>
  <c r="AA17" i="80"/>
  <c r="AA18" i="80"/>
  <c r="AA19" i="80"/>
  <c r="AA20" i="80"/>
  <c r="AA21" i="80"/>
  <c r="Z6" i="80"/>
  <c r="Z10" i="80"/>
  <c r="Z13" i="80"/>
  <c r="Z14" i="80"/>
  <c r="Z12" i="80"/>
  <c r="Z17" i="80"/>
  <c r="Z20" i="80"/>
  <c r="Z19" i="80"/>
  <c r="Z15" i="80"/>
  <c r="Z21" i="80"/>
  <c r="Z8" i="80"/>
  <c r="Z11" i="80"/>
  <c r="Z16" i="80"/>
  <c r="Z7" i="80"/>
  <c r="Z9" i="80"/>
  <c r="Z18" i="80"/>
  <c r="BU52" i="80"/>
  <c r="BU12" i="80"/>
  <c r="BU49" i="80"/>
  <c r="CB20" i="80"/>
  <c r="BT34" i="80"/>
  <c r="BU37" i="80"/>
  <c r="CB8" i="80"/>
  <c r="CB19" i="80"/>
  <c r="BU40" i="80"/>
  <c r="BT47" i="80"/>
  <c r="CB9" i="80"/>
  <c r="CA7" i="80"/>
  <c r="CB17" i="80"/>
  <c r="BU39" i="80"/>
  <c r="BU22" i="80"/>
  <c r="CB14" i="80"/>
  <c r="BT15" i="80"/>
  <c r="BT17" i="80"/>
  <c r="BU13" i="80"/>
  <c r="BT9" i="80"/>
  <c r="BU42" i="80"/>
  <c r="BU30" i="80"/>
  <c r="BU25" i="80"/>
  <c r="BT6" i="80"/>
  <c r="CB10" i="80"/>
  <c r="BU15" i="80"/>
  <c r="BT24" i="80"/>
  <c r="BU14" i="80"/>
  <c r="BT35" i="80"/>
  <c r="BT45" i="80"/>
  <c r="BT5" i="80"/>
  <c r="BT16" i="80"/>
  <c r="BT46" i="80"/>
  <c r="BT42" i="80"/>
  <c r="BU29" i="80"/>
  <c r="CA14" i="80"/>
  <c r="BT49" i="80"/>
  <c r="BT31" i="80"/>
  <c r="BT51" i="80"/>
  <c r="BU53" i="80"/>
  <c r="BU38" i="80"/>
  <c r="BT21" i="80"/>
  <c r="BU51" i="80"/>
  <c r="BU4" i="80"/>
  <c r="BT22" i="80"/>
  <c r="CB18" i="80"/>
  <c r="CA15" i="80"/>
  <c r="BU16" i="80"/>
  <c r="BU5" i="80"/>
  <c r="BT27" i="80"/>
  <c r="CB7" i="80"/>
  <c r="CB15" i="80"/>
  <c r="BT30" i="80"/>
  <c r="BU31" i="80"/>
  <c r="BT39" i="80"/>
  <c r="BT38" i="80"/>
  <c r="BT53" i="80"/>
  <c r="BU48" i="80"/>
  <c r="CB6" i="80"/>
  <c r="BU46" i="80"/>
  <c r="BU33" i="80"/>
  <c r="BU21" i="80"/>
  <c r="BT48" i="80"/>
  <c r="BT13" i="80"/>
  <c r="CB16" i="80"/>
  <c r="BT32" i="80"/>
  <c r="BU45" i="80"/>
  <c r="BT12" i="80"/>
  <c r="BU7" i="80"/>
  <c r="BT18" i="80"/>
  <c r="BT8" i="80"/>
  <c r="BT14" i="80"/>
  <c r="CA10" i="80"/>
  <c r="BT37" i="80"/>
  <c r="BU23" i="80"/>
  <c r="CA12" i="80"/>
  <c r="BT10" i="80"/>
  <c r="BU34" i="80"/>
  <c r="BU17" i="80"/>
  <c r="BT50" i="80"/>
  <c r="BT7" i="80"/>
  <c r="BU18" i="80"/>
  <c r="BU32" i="80"/>
  <c r="BU10" i="80"/>
  <c r="BU43" i="80"/>
  <c r="BT20" i="80"/>
  <c r="CA13" i="80"/>
  <c r="BU28" i="80"/>
  <c r="BT41" i="80"/>
  <c r="BU8" i="80"/>
  <c r="BU26" i="80"/>
  <c r="CB11" i="80"/>
  <c r="BU50" i="80"/>
  <c r="BU41" i="80"/>
  <c r="CA8" i="80"/>
  <c r="BU47" i="80"/>
  <c r="BT29" i="80"/>
  <c r="BT26" i="80"/>
  <c r="CA19" i="80"/>
  <c r="BU20" i="80"/>
  <c r="BU6" i="80"/>
  <c r="CA18" i="80"/>
  <c r="BT44" i="80"/>
  <c r="BT4" i="80"/>
  <c r="BT40" i="80"/>
  <c r="BU11" i="80"/>
  <c r="BU44" i="80"/>
  <c r="BU36" i="80"/>
  <c r="CB13" i="80"/>
  <c r="CB12" i="80"/>
  <c r="CA16" i="80"/>
  <c r="BT43" i="80"/>
  <c r="CA6" i="80"/>
  <c r="BT28" i="80"/>
  <c r="CA11" i="80"/>
  <c r="BT36" i="80"/>
  <c r="BU19" i="80"/>
  <c r="BT23" i="80"/>
  <c r="CA9" i="80"/>
  <c r="CA17" i="80"/>
  <c r="CA20" i="80"/>
  <c r="BU27" i="80"/>
  <c r="BT25" i="80"/>
  <c r="BU9" i="80"/>
  <c r="BU35" i="80"/>
  <c r="BT52" i="80"/>
  <c r="BU24" i="80"/>
  <c r="BT19" i="80"/>
  <c r="BT11" i="80"/>
  <c r="BT33" i="80"/>
  <c r="AG326" i="80"/>
  <c r="AH164" i="80"/>
  <c r="AH254" i="80"/>
  <c r="AG269" i="80"/>
  <c r="AH253" i="80"/>
  <c r="AG262" i="80"/>
  <c r="AH133" i="80"/>
  <c r="AG77" i="80"/>
  <c r="AH255" i="80"/>
  <c r="AH360" i="80"/>
  <c r="AG174" i="80"/>
  <c r="AG95" i="80"/>
  <c r="AG83" i="80"/>
  <c r="AH207" i="80"/>
  <c r="AH333" i="80"/>
  <c r="AG104" i="80"/>
  <c r="AG216" i="80"/>
  <c r="AH31" i="80"/>
  <c r="AH337" i="80"/>
  <c r="AH265" i="80"/>
  <c r="AG324" i="80"/>
  <c r="AG65" i="80"/>
  <c r="AH215" i="80"/>
  <c r="AH165" i="80"/>
  <c r="AH294" i="80"/>
  <c r="AH309" i="80"/>
  <c r="AG316" i="80"/>
  <c r="AG16" i="80"/>
  <c r="AG40" i="80"/>
  <c r="AH148" i="80"/>
  <c r="AH151" i="80"/>
  <c r="AH33" i="80"/>
  <c r="AH241" i="80"/>
  <c r="AH209" i="80"/>
  <c r="AG110" i="80"/>
  <c r="AG192" i="80"/>
  <c r="AG236" i="80"/>
  <c r="AH194" i="80"/>
  <c r="AG211" i="80"/>
  <c r="AH304" i="80"/>
  <c r="AH73" i="80"/>
  <c r="AH171" i="80"/>
  <c r="AG164" i="80"/>
  <c r="AG208" i="80"/>
  <c r="AG24" i="80"/>
  <c r="AH144" i="80"/>
  <c r="AG240" i="80"/>
  <c r="AG160" i="80"/>
  <c r="AG340" i="80"/>
  <c r="AH11" i="80"/>
  <c r="AH235" i="80"/>
  <c r="AG206" i="80"/>
  <c r="AG4" i="80"/>
  <c r="AG202" i="80"/>
  <c r="AG286" i="80"/>
  <c r="AH199" i="80"/>
  <c r="AH212" i="80"/>
  <c r="AH208" i="80"/>
  <c r="AG166" i="80"/>
  <c r="AG19" i="80"/>
  <c r="AG62" i="80"/>
  <c r="AG168" i="80"/>
  <c r="AH131" i="80"/>
  <c r="AH295" i="80"/>
  <c r="AH136" i="80"/>
  <c r="AG61" i="80"/>
  <c r="AG120" i="80"/>
  <c r="AG260" i="80"/>
  <c r="AG303" i="80"/>
  <c r="AH310" i="80"/>
  <c r="AH83" i="80"/>
  <c r="AH128" i="80"/>
  <c r="AG220" i="80"/>
  <c r="AH335" i="80"/>
  <c r="AG357" i="80"/>
  <c r="AG169" i="80"/>
  <c r="AG148" i="80"/>
  <c r="AG45" i="80"/>
  <c r="AG293" i="80"/>
  <c r="AH288" i="80"/>
  <c r="AG79" i="80"/>
  <c r="AG224" i="80"/>
  <c r="AG294" i="80"/>
  <c r="AG352" i="80"/>
  <c r="AH42" i="80"/>
  <c r="AG186" i="80"/>
  <c r="AG127" i="80"/>
  <c r="AG196" i="80"/>
  <c r="AG290" i="80"/>
  <c r="AH232" i="80"/>
  <c r="AG78" i="80"/>
  <c r="AG177" i="80"/>
  <c r="AG142" i="80"/>
  <c r="AH244" i="80"/>
  <c r="AG121" i="80"/>
  <c r="AH222" i="80"/>
  <c r="AH308" i="80"/>
  <c r="AH111" i="80"/>
  <c r="AH344" i="80"/>
  <c r="AH330" i="80"/>
  <c r="AG197" i="80"/>
  <c r="AH342" i="80"/>
  <c r="AH88" i="80"/>
  <c r="AG44" i="80"/>
  <c r="AG35" i="80"/>
  <c r="AH362" i="80"/>
  <c r="AG136" i="80"/>
  <c r="AG71" i="80"/>
  <c r="AG48" i="80"/>
  <c r="AH177" i="80"/>
  <c r="AH200" i="80"/>
  <c r="AH158" i="80"/>
  <c r="AG125" i="80"/>
  <c r="AG43" i="80"/>
  <c r="AH292" i="80"/>
  <c r="AG10" i="80"/>
  <c r="AG281" i="80"/>
  <c r="AH116" i="80"/>
  <c r="AG80" i="80"/>
  <c r="AH345" i="80"/>
  <c r="AG149" i="80"/>
  <c r="AH193" i="80"/>
  <c r="AG214" i="80"/>
  <c r="AG30" i="80"/>
  <c r="AH61" i="80"/>
  <c r="AG302" i="80"/>
  <c r="AH338" i="80"/>
  <c r="AG304" i="80"/>
  <c r="AG117" i="80"/>
  <c r="AH120" i="80"/>
  <c r="AH93" i="80"/>
  <c r="AH134" i="80"/>
  <c r="AH281" i="80"/>
  <c r="AH343" i="80"/>
  <c r="AG41" i="80"/>
  <c r="AH84" i="80"/>
  <c r="AG285" i="80"/>
  <c r="AH20" i="80"/>
  <c r="AG158" i="80"/>
  <c r="AG178" i="80"/>
  <c r="AH191" i="80"/>
  <c r="AG217" i="80"/>
  <c r="AG111" i="80"/>
  <c r="AH216" i="80"/>
  <c r="AH272" i="80"/>
  <c r="AH195" i="80"/>
  <c r="AH348" i="80"/>
  <c r="AH30" i="80"/>
  <c r="AH346" i="80"/>
  <c r="AG60" i="80"/>
  <c r="AG85" i="80"/>
  <c r="AH275" i="80"/>
  <c r="AG252" i="80"/>
  <c r="AH149" i="80"/>
  <c r="AG123" i="80"/>
  <c r="AG74" i="80"/>
  <c r="AG132" i="80"/>
  <c r="AH69" i="80"/>
  <c r="AH286" i="80"/>
  <c r="AH266" i="80"/>
  <c r="AH331" i="80"/>
  <c r="AH326" i="80"/>
  <c r="AG317" i="80"/>
  <c r="AG347" i="80"/>
  <c r="AG161" i="80"/>
  <c r="AH318" i="80"/>
  <c r="AH230" i="80"/>
  <c r="AH41" i="80"/>
  <c r="AG145" i="80"/>
  <c r="AH15" i="80"/>
  <c r="AH363" i="80"/>
  <c r="AH70" i="80"/>
  <c r="AG207" i="80"/>
  <c r="AG267" i="80"/>
  <c r="AH289" i="80"/>
  <c r="AG291" i="80"/>
  <c r="AG353" i="80"/>
  <c r="AG134" i="80"/>
  <c r="AG67" i="80"/>
  <c r="AG295" i="80"/>
  <c r="AH178" i="80"/>
  <c r="AH325" i="80"/>
  <c r="AH298" i="80"/>
  <c r="AG143" i="80"/>
  <c r="AH26" i="80"/>
  <c r="AG181" i="80"/>
  <c r="AH72" i="80"/>
  <c r="AG93" i="80"/>
  <c r="AH145" i="80"/>
  <c r="AG218" i="80"/>
  <c r="AH257" i="80"/>
  <c r="AG287" i="80"/>
  <c r="AH19" i="80"/>
  <c r="AG21" i="80"/>
  <c r="AH25" i="80"/>
  <c r="AG219" i="80"/>
  <c r="AG235" i="80"/>
  <c r="AH260" i="80"/>
  <c r="AH54" i="80"/>
  <c r="AH180" i="80"/>
  <c r="AG98" i="80"/>
  <c r="AG244" i="80"/>
  <c r="AH46" i="80"/>
  <c r="AH218" i="80"/>
  <c r="AG29" i="80"/>
  <c r="AG54" i="80"/>
  <c r="AG190" i="80"/>
  <c r="AG130" i="80"/>
  <c r="AG333" i="80"/>
  <c r="AH137" i="80"/>
  <c r="AG273" i="80"/>
  <c r="AH227" i="80"/>
  <c r="AG359" i="80"/>
  <c r="AG266" i="80"/>
  <c r="AG50" i="80"/>
  <c r="AG73" i="80"/>
  <c r="AG106" i="80"/>
  <c r="AG345" i="80"/>
  <c r="AH168" i="80"/>
  <c r="AG247" i="80"/>
  <c r="AG175" i="80"/>
  <c r="AG185" i="80"/>
  <c r="AH9" i="80"/>
  <c r="AH184" i="80"/>
  <c r="AH316" i="80"/>
  <c r="AG126" i="80"/>
  <c r="AH175" i="80"/>
  <c r="AG233" i="80"/>
  <c r="AH202" i="80"/>
  <c r="AH109" i="80"/>
  <c r="AG307" i="80"/>
  <c r="AH320" i="80"/>
  <c r="AH117" i="80"/>
  <c r="AH339" i="80"/>
  <c r="AG25" i="80"/>
  <c r="AG280" i="80"/>
  <c r="AH35" i="80"/>
  <c r="AG222" i="80"/>
  <c r="AH305" i="80"/>
  <c r="AH146" i="80"/>
  <c r="AH359" i="80"/>
  <c r="AH300" i="80"/>
  <c r="AG89" i="80"/>
  <c r="AH87" i="80"/>
  <c r="AG223" i="80"/>
  <c r="AG204" i="80"/>
  <c r="AH187" i="80"/>
  <c r="AG265" i="80"/>
  <c r="AG23" i="80"/>
  <c r="AG28" i="80"/>
  <c r="AH173" i="80"/>
  <c r="AH233" i="80"/>
  <c r="AG159" i="80"/>
  <c r="AG351" i="80"/>
  <c r="AH312" i="80"/>
  <c r="AH210" i="80"/>
  <c r="AH283" i="80"/>
  <c r="AH302" i="80"/>
  <c r="AG282" i="80"/>
  <c r="AG155" i="80"/>
  <c r="AG227" i="80"/>
  <c r="AH142" i="80"/>
  <c r="AH67" i="80"/>
  <c r="AH287" i="80"/>
  <c r="AG138" i="80"/>
  <c r="AH18" i="80"/>
  <c r="AH296" i="80"/>
  <c r="AH228" i="80"/>
  <c r="AG141" i="80"/>
  <c r="AG297" i="80"/>
  <c r="AG319" i="80"/>
  <c r="AG221" i="80"/>
  <c r="AG101" i="80"/>
  <c r="AG171" i="80"/>
  <c r="AG13" i="80"/>
  <c r="AG241" i="80"/>
  <c r="AG107" i="80"/>
  <c r="AH139" i="80"/>
  <c r="AH224" i="80"/>
  <c r="AH217" i="80"/>
  <c r="AH80" i="80"/>
  <c r="AH234" i="80"/>
  <c r="AG212" i="80"/>
  <c r="AG76" i="80"/>
  <c r="AG152" i="80"/>
  <c r="AH143" i="80"/>
  <c r="AG239" i="80"/>
  <c r="AH324" i="80"/>
  <c r="AH99" i="80"/>
  <c r="AH85" i="80"/>
  <c r="AH243" i="80"/>
  <c r="AH71" i="80"/>
  <c r="AG226" i="80"/>
  <c r="AH237" i="80"/>
  <c r="AH357" i="80"/>
  <c r="AG8" i="80"/>
  <c r="AG349" i="80"/>
  <c r="AG199" i="80"/>
  <c r="AG283" i="80"/>
  <c r="AG39" i="80"/>
  <c r="AG310" i="80"/>
  <c r="AG188" i="80"/>
  <c r="AH141" i="80"/>
  <c r="AG103" i="80"/>
  <c r="AG356" i="80"/>
  <c r="AG279" i="80"/>
  <c r="AH167" i="80"/>
  <c r="AG82" i="80"/>
  <c r="AG362" i="80"/>
  <c r="AH341" i="80"/>
  <c r="AH24" i="80"/>
  <c r="AH329" i="80"/>
  <c r="AH43" i="80"/>
  <c r="AG91" i="80"/>
  <c r="AG209" i="80"/>
  <c r="AG311" i="80"/>
  <c r="AH240" i="80"/>
  <c r="AH28" i="80"/>
  <c r="AH301" i="80"/>
  <c r="AH40" i="80"/>
  <c r="AH352" i="80"/>
  <c r="AH34" i="80"/>
  <c r="AG275" i="80"/>
  <c r="AH351" i="80"/>
  <c r="AG131" i="80"/>
  <c r="AH350" i="80"/>
  <c r="AH106" i="80"/>
  <c r="AG51" i="80"/>
  <c r="AG242" i="80"/>
  <c r="AG75" i="80"/>
  <c r="AG194" i="80"/>
  <c r="AG309" i="80"/>
  <c r="AG162" i="80"/>
  <c r="AG329" i="80"/>
  <c r="AH59" i="80"/>
  <c r="AH280" i="80"/>
  <c r="AH248" i="80"/>
  <c r="AG343" i="80"/>
  <c r="AG232" i="80"/>
  <c r="AH53" i="80"/>
  <c r="AH163" i="80"/>
  <c r="AH29" i="80"/>
  <c r="AH160" i="80"/>
  <c r="AG6" i="80"/>
  <c r="AH21" i="80"/>
  <c r="AG229" i="80"/>
  <c r="AG198" i="80"/>
  <c r="AG337" i="80"/>
  <c r="AH127" i="80"/>
  <c r="AH219" i="80"/>
  <c r="AG263" i="80"/>
  <c r="AH105" i="80"/>
  <c r="AH47" i="80"/>
  <c r="AH110" i="80"/>
  <c r="AH256" i="80"/>
  <c r="AG128" i="80"/>
  <c r="AH322" i="80"/>
  <c r="AH152" i="80"/>
  <c r="AG336" i="80"/>
  <c r="AG27" i="80"/>
  <c r="AH95" i="80"/>
  <c r="AH16" i="80"/>
  <c r="AG52" i="80"/>
  <c r="AH135" i="80"/>
  <c r="AH68" i="80"/>
  <c r="AH23" i="80"/>
  <c r="AG55" i="80"/>
  <c r="AG313" i="80"/>
  <c r="AH270" i="80"/>
  <c r="AH114" i="80"/>
  <c r="AG187" i="80"/>
  <c r="AH92" i="80"/>
  <c r="AG5" i="80"/>
  <c r="AG46" i="80"/>
  <c r="AG58" i="80"/>
  <c r="AH13" i="80"/>
  <c r="AH231" i="80"/>
  <c r="AH32" i="80"/>
  <c r="AG258" i="80"/>
  <c r="AG11" i="80"/>
  <c r="AH107" i="80"/>
  <c r="AG276" i="80"/>
  <c r="AG31" i="80"/>
  <c r="AG312" i="80"/>
  <c r="AH225" i="80"/>
  <c r="AG250" i="80"/>
  <c r="AH155" i="80"/>
  <c r="AG56" i="80"/>
  <c r="AH57" i="80"/>
  <c r="AG59" i="80"/>
  <c r="AH81" i="80"/>
  <c r="AG118" i="80"/>
  <c r="AH353" i="80"/>
  <c r="AG300" i="80"/>
  <c r="AG315" i="80"/>
  <c r="AG264" i="80"/>
  <c r="AG179" i="80"/>
  <c r="AH161" i="80"/>
  <c r="AH100" i="80"/>
  <c r="AG72" i="80"/>
  <c r="AH361" i="80"/>
  <c r="AH251" i="80"/>
  <c r="AH62" i="80"/>
  <c r="AH126" i="80"/>
  <c r="AH334" i="80"/>
  <c r="AG332" i="80"/>
  <c r="AH198" i="80"/>
  <c r="AH170" i="80"/>
  <c r="AG173" i="80"/>
  <c r="AG249" i="80"/>
  <c r="AH119" i="80"/>
  <c r="AH249" i="80"/>
  <c r="AG129" i="80"/>
  <c r="AH307" i="80"/>
  <c r="AH269" i="80"/>
  <c r="AG213" i="80"/>
  <c r="AG167" i="80"/>
  <c r="AG33" i="80"/>
  <c r="AG124" i="80"/>
  <c r="AG253" i="80"/>
  <c r="AG184" i="80"/>
  <c r="AH10" i="80"/>
  <c r="AG323" i="80"/>
  <c r="AG172" i="80"/>
  <c r="AG147" i="80"/>
  <c r="AH162" i="80"/>
  <c r="AG272" i="80"/>
  <c r="AG112" i="80"/>
  <c r="AH285" i="80"/>
  <c r="AH273" i="80"/>
  <c r="AG94" i="80"/>
  <c r="AH77" i="80"/>
  <c r="AH86" i="80"/>
  <c r="AH321" i="80"/>
  <c r="AG210" i="80"/>
  <c r="AG339" i="80"/>
  <c r="AH14" i="80"/>
  <c r="AH259" i="80"/>
  <c r="AH166" i="80"/>
  <c r="AG88" i="80"/>
  <c r="AH247" i="80"/>
  <c r="AG314" i="80"/>
  <c r="AG183" i="80"/>
  <c r="AH303" i="80"/>
  <c r="AG284" i="80"/>
  <c r="AG189" i="80"/>
  <c r="AH239" i="80"/>
  <c r="AH78" i="80"/>
  <c r="AH75" i="80"/>
  <c r="AH315" i="80"/>
  <c r="AH282" i="80"/>
  <c r="AG255" i="80"/>
  <c r="AH347" i="80"/>
  <c r="AG325" i="80"/>
  <c r="AH271" i="80"/>
  <c r="AH317" i="80"/>
  <c r="AH51" i="80"/>
  <c r="AH190" i="80"/>
  <c r="AG108" i="80"/>
  <c r="AH262" i="80"/>
  <c r="AG228" i="80"/>
  <c r="AH124" i="80"/>
  <c r="AG246" i="80"/>
  <c r="AH242" i="80"/>
  <c r="AH82" i="80"/>
  <c r="AG296" i="80"/>
  <c r="AG90" i="80"/>
  <c r="AH354" i="80"/>
  <c r="AG301" i="80"/>
  <c r="AG278" i="80"/>
  <c r="AH52" i="80"/>
  <c r="AG205" i="80"/>
  <c r="AG66" i="80"/>
  <c r="AH157" i="80"/>
  <c r="AH196" i="80"/>
  <c r="AG32" i="80"/>
  <c r="AG215" i="80"/>
  <c r="AG109" i="80"/>
  <c r="AH6" i="80"/>
  <c r="AH291" i="80"/>
  <c r="AG116" i="80"/>
  <c r="AH245" i="80"/>
  <c r="AH306" i="80"/>
  <c r="AG271" i="80"/>
  <c r="AH101" i="80"/>
  <c r="AG341" i="80"/>
  <c r="AG259" i="80"/>
  <c r="AG146" i="80"/>
  <c r="AG277" i="80"/>
  <c r="AG361" i="80"/>
  <c r="AG180" i="80"/>
  <c r="AG305" i="80"/>
  <c r="AH264" i="80"/>
  <c r="AH238" i="80"/>
  <c r="AH355" i="80"/>
  <c r="AH7" i="80"/>
  <c r="AG69" i="80"/>
  <c r="AG42" i="80"/>
  <c r="AH96" i="80"/>
  <c r="AH45" i="80"/>
  <c r="AH299" i="80"/>
  <c r="AH60" i="80"/>
  <c r="AH252" i="80"/>
  <c r="AG20" i="80"/>
  <c r="AG70" i="80"/>
  <c r="AG289" i="80"/>
  <c r="AG96" i="80"/>
  <c r="AG26" i="80"/>
  <c r="AG15" i="80"/>
  <c r="AH185" i="80"/>
  <c r="AH108" i="80"/>
  <c r="AH197" i="80"/>
  <c r="AH156" i="80"/>
  <c r="AH213" i="80"/>
  <c r="AH313" i="80"/>
  <c r="AG84" i="80"/>
  <c r="AH48" i="80"/>
  <c r="AH336" i="80"/>
  <c r="AG163" i="80"/>
  <c r="AG176" i="80"/>
  <c r="AG350" i="80"/>
  <c r="AH236" i="80"/>
  <c r="AG14" i="80"/>
  <c r="AG201" i="80"/>
  <c r="AH129" i="80"/>
  <c r="AH332" i="80"/>
  <c r="AH79" i="80"/>
  <c r="AG346" i="80"/>
  <c r="AG203" i="80"/>
  <c r="AH104" i="80"/>
  <c r="AH340" i="80"/>
  <c r="AG344" i="80"/>
  <c r="AH277" i="80"/>
  <c r="AG335" i="80"/>
  <c r="AH278" i="80"/>
  <c r="AH192" i="80"/>
  <c r="AG153" i="80"/>
  <c r="AG133" i="80"/>
  <c r="AH319" i="80"/>
  <c r="AG318" i="80"/>
  <c r="AG154" i="80"/>
  <c r="AG251" i="80"/>
  <c r="AG17" i="80"/>
  <c r="AH186" i="80"/>
  <c r="AH169" i="80"/>
  <c r="AG53" i="80"/>
  <c r="AH159" i="80"/>
  <c r="AH44" i="80"/>
  <c r="AH147" i="80"/>
  <c r="AH65" i="80"/>
  <c r="AH102" i="80"/>
  <c r="AG321" i="80"/>
  <c r="AG330" i="80"/>
  <c r="AH279" i="80"/>
  <c r="AH211" i="80"/>
  <c r="AG182" i="80"/>
  <c r="AH223" i="80"/>
  <c r="AH94" i="80"/>
  <c r="AG328" i="80"/>
  <c r="AH206" i="80"/>
  <c r="AG268" i="80"/>
  <c r="AH349" i="80"/>
  <c r="AG81" i="80"/>
  <c r="AH182" i="80"/>
  <c r="AG274" i="80"/>
  <c r="AG63" i="80"/>
  <c r="AG144" i="80"/>
  <c r="AG100" i="80"/>
  <c r="AH8" i="80"/>
  <c r="AH4" i="80"/>
  <c r="AH58" i="80"/>
  <c r="AG225" i="80"/>
  <c r="AH22" i="80"/>
  <c r="AH284" i="80"/>
  <c r="AH290" i="80"/>
  <c r="AG354" i="80"/>
  <c r="AG115" i="80"/>
  <c r="AH74" i="80"/>
  <c r="AH98" i="80"/>
  <c r="AH328" i="80"/>
  <c r="AG38" i="80"/>
  <c r="AH181" i="80"/>
  <c r="AH55" i="80"/>
  <c r="AG12" i="80"/>
  <c r="AH39" i="80"/>
  <c r="AG331" i="80"/>
  <c r="AG256" i="80"/>
  <c r="AG298" i="80"/>
  <c r="AH174" i="80"/>
  <c r="AH258" i="80"/>
  <c r="AH89" i="80"/>
  <c r="AH36" i="80"/>
  <c r="AH268" i="80"/>
  <c r="AG105" i="80"/>
  <c r="AH261" i="80"/>
  <c r="AG320" i="80"/>
  <c r="AH38" i="80"/>
  <c r="AH122" i="80"/>
  <c r="AG200" i="80"/>
  <c r="AG292" i="80"/>
  <c r="AH140" i="80"/>
  <c r="AG47" i="80"/>
  <c r="AH64" i="80"/>
  <c r="AH201" i="80"/>
  <c r="AG156" i="80"/>
  <c r="AH56" i="80"/>
  <c r="AG360" i="80"/>
  <c r="AG157" i="80"/>
  <c r="AG358" i="80"/>
  <c r="AG254" i="80"/>
  <c r="AH150" i="80"/>
  <c r="AH90" i="80"/>
  <c r="AH130" i="80"/>
  <c r="AH267" i="80"/>
  <c r="AH221" i="80"/>
  <c r="AG7" i="80"/>
  <c r="AH123" i="80"/>
  <c r="AH358" i="80"/>
  <c r="AH66" i="80"/>
  <c r="AH214" i="80"/>
  <c r="AH276" i="80"/>
  <c r="AH63" i="80"/>
  <c r="AH246" i="80"/>
  <c r="AH113" i="80"/>
  <c r="AH12" i="80"/>
  <c r="AH229" i="80"/>
  <c r="AG36" i="80"/>
  <c r="AG150" i="80"/>
  <c r="AG151" i="80"/>
  <c r="AH314" i="80"/>
  <c r="AH172" i="80"/>
  <c r="AG334" i="80"/>
  <c r="AH323" i="80"/>
  <c r="AH27" i="80"/>
  <c r="AG97" i="80"/>
  <c r="AH205" i="80"/>
  <c r="AH154" i="80"/>
  <c r="AG92" i="80"/>
  <c r="AG139" i="80"/>
  <c r="AG34" i="80"/>
  <c r="AH297" i="80"/>
  <c r="AH274" i="80"/>
  <c r="AH91" i="80"/>
  <c r="AH37" i="80"/>
  <c r="AH118" i="80"/>
  <c r="AH179" i="80"/>
  <c r="AG342" i="80"/>
  <c r="AH183" i="80"/>
  <c r="AG245" i="80"/>
  <c r="AH176" i="80"/>
  <c r="AG299" i="80"/>
  <c r="AG237" i="80"/>
  <c r="AG64" i="80"/>
  <c r="AH50" i="80"/>
  <c r="AG195" i="80"/>
  <c r="AG49" i="80"/>
  <c r="AG140" i="80"/>
  <c r="AG102" i="80"/>
  <c r="AH132" i="80"/>
  <c r="AH293" i="80"/>
  <c r="AH125" i="80"/>
  <c r="AG248" i="80"/>
  <c r="AG234" i="80"/>
  <c r="AH188" i="80"/>
  <c r="AG18" i="80"/>
  <c r="AG231" i="80"/>
  <c r="AG37" i="80"/>
  <c r="AH153" i="80"/>
  <c r="AG238" i="80"/>
  <c r="AG87" i="80"/>
  <c r="AH327" i="80"/>
  <c r="AH189" i="80"/>
  <c r="AH311" i="80"/>
  <c r="AG243" i="80"/>
  <c r="AG348" i="80"/>
  <c r="AH226" i="80"/>
  <c r="AG191" i="80"/>
  <c r="AG137" i="80"/>
  <c r="AG99" i="80"/>
  <c r="AH76" i="80"/>
  <c r="AH138" i="80"/>
  <c r="AG230" i="80"/>
  <c r="AG113" i="80"/>
  <c r="AH17" i="80"/>
  <c r="AG261" i="80"/>
  <c r="AG363" i="80"/>
  <c r="AG355" i="80"/>
  <c r="AH112" i="80"/>
  <c r="AH263" i="80"/>
  <c r="AG308" i="80"/>
  <c r="AG122" i="80"/>
  <c r="AG322" i="80"/>
  <c r="AG288" i="80"/>
  <c r="AH220" i="80"/>
  <c r="AG165" i="80"/>
  <c r="AH115" i="80"/>
  <c r="AG327" i="80"/>
  <c r="AG68" i="80"/>
  <c r="AH5" i="80"/>
  <c r="AG57" i="80"/>
  <c r="AG86" i="80"/>
  <c r="AG193" i="80"/>
  <c r="AH103" i="80"/>
  <c r="AG9" i="80"/>
  <c r="AH356" i="80"/>
  <c r="AG257" i="80"/>
  <c r="AH204" i="80"/>
  <c r="AG22" i="80"/>
  <c r="AH203" i="80"/>
  <c r="AG170" i="80"/>
  <c r="AG135" i="80"/>
  <c r="AG338" i="80"/>
  <c r="AG114" i="80"/>
  <c r="AG270" i="80"/>
  <c r="AG119" i="80"/>
  <c r="AG306" i="80"/>
  <c r="AH49" i="80"/>
  <c r="AH121" i="80"/>
  <c r="AH250" i="80"/>
  <c r="AH97" i="80"/>
  <c r="Y17" i="80"/>
  <c r="X15" i="80"/>
  <c r="X16" i="80"/>
  <c r="Y6" i="80"/>
  <c r="Y9" i="80"/>
  <c r="Y10" i="80"/>
  <c r="Y21" i="80"/>
  <c r="Y11" i="80"/>
  <c r="Y18" i="80"/>
  <c r="Y14" i="80"/>
  <c r="Y7" i="80"/>
  <c r="Y15" i="80"/>
  <c r="Y20" i="80"/>
  <c r="Y19" i="80"/>
  <c r="X12" i="80"/>
  <c r="X11" i="80"/>
  <c r="X7" i="80"/>
  <c r="X17" i="80"/>
  <c r="X20" i="80"/>
  <c r="X21" i="80"/>
  <c r="X19" i="80"/>
  <c r="X18" i="80"/>
  <c r="X10" i="80"/>
  <c r="X14" i="80"/>
  <c r="X13" i="80"/>
  <c r="Y16" i="80"/>
  <c r="X9" i="80"/>
  <c r="Y8" i="80"/>
  <c r="Y12" i="80"/>
  <c r="X6" i="80"/>
  <c r="Y13" i="80"/>
  <c r="X8" i="80"/>
  <c r="CF10" i="80"/>
  <c r="CF19" i="80"/>
  <c r="CF15" i="80"/>
  <c r="CF18" i="80"/>
  <c r="CF13" i="80"/>
  <c r="CF16" i="80"/>
  <c r="CF12" i="80"/>
  <c r="CF17" i="80"/>
  <c r="CF9" i="80"/>
  <c r="CF11" i="80"/>
  <c r="CF14" i="80"/>
  <c r="AF126" i="80"/>
  <c r="AE128" i="80"/>
  <c r="BR12" i="80"/>
  <c r="AE303" i="80"/>
  <c r="AF281" i="80"/>
  <c r="AF36" i="80"/>
  <c r="BS17" i="80"/>
  <c r="AE33" i="80"/>
  <c r="AF168" i="80"/>
  <c r="AE138" i="80"/>
  <c r="AE140" i="80"/>
  <c r="AF287" i="80"/>
  <c r="AE58" i="80"/>
  <c r="AF213" i="80"/>
  <c r="AF124" i="80"/>
  <c r="AE152" i="80"/>
  <c r="BZ9" i="80"/>
  <c r="AE278" i="80"/>
  <c r="AF91" i="80"/>
  <c r="BR25" i="80"/>
  <c r="AF277" i="80"/>
  <c r="BZ18" i="80"/>
  <c r="AE153" i="80"/>
  <c r="BR33" i="80"/>
  <c r="AF107" i="80"/>
  <c r="AE322" i="80"/>
  <c r="AF300" i="80"/>
  <c r="AF114" i="80"/>
  <c r="AF338" i="80"/>
  <c r="BS6" i="80"/>
  <c r="AF43" i="80"/>
  <c r="BZ13" i="80"/>
  <c r="AE146" i="80"/>
  <c r="AF357" i="80"/>
  <c r="AF51" i="80"/>
  <c r="AF130" i="80"/>
  <c r="BS50" i="80"/>
  <c r="AF13" i="80"/>
  <c r="AE155" i="80"/>
  <c r="AF148" i="80"/>
  <c r="AF174" i="80"/>
  <c r="BS37" i="80"/>
  <c r="AF120" i="80"/>
  <c r="AF99" i="80"/>
  <c r="AE258" i="80"/>
  <c r="AE71" i="80"/>
  <c r="BR21" i="80"/>
  <c r="AE164" i="80"/>
  <c r="AE241" i="80"/>
  <c r="AF229" i="80"/>
  <c r="AF295" i="80"/>
  <c r="AF8" i="80"/>
  <c r="BS47" i="80"/>
  <c r="AE72" i="80"/>
  <c r="AE65" i="80"/>
  <c r="BS43" i="80"/>
  <c r="AE279" i="80"/>
  <c r="BR38" i="80"/>
  <c r="AF133" i="80"/>
  <c r="AE264" i="80"/>
  <c r="AF111" i="80"/>
  <c r="BZ7" i="80"/>
  <c r="AE287" i="80"/>
  <c r="AF67" i="80"/>
  <c r="AF132" i="80"/>
  <c r="AF283" i="80"/>
  <c r="AF253" i="80"/>
  <c r="AE176" i="80"/>
  <c r="AF85" i="80"/>
  <c r="AE358" i="80"/>
  <c r="AF333" i="80"/>
  <c r="AE268" i="80"/>
  <c r="BS41" i="80"/>
  <c r="AE96" i="80"/>
  <c r="BY8" i="80"/>
  <c r="AE30" i="80"/>
  <c r="AE215" i="80"/>
  <c r="AE328" i="80"/>
  <c r="AE226" i="80"/>
  <c r="AF256" i="80"/>
  <c r="AF96" i="80"/>
  <c r="AF214" i="80"/>
  <c r="BS20" i="80"/>
  <c r="AE229" i="80"/>
  <c r="AF193" i="80"/>
  <c r="AE235" i="80"/>
  <c r="AF123" i="80"/>
  <c r="AF212" i="80"/>
  <c r="AE46" i="80"/>
  <c r="AF119" i="80"/>
  <c r="AF316" i="80"/>
  <c r="AE43" i="80"/>
  <c r="BS15" i="80"/>
  <c r="AF23" i="80"/>
  <c r="BS49" i="80"/>
  <c r="AE183" i="80"/>
  <c r="BR41" i="80"/>
  <c r="AF118" i="80"/>
  <c r="AE242" i="80"/>
  <c r="AF265" i="80"/>
  <c r="AE115" i="80"/>
  <c r="AF197" i="80"/>
  <c r="AE283" i="80"/>
  <c r="AE253" i="80"/>
  <c r="AE261" i="80"/>
  <c r="AF163" i="80"/>
  <c r="AF342" i="80"/>
  <c r="AF106" i="80"/>
  <c r="AE327" i="80"/>
  <c r="AF237" i="80"/>
  <c r="BY7" i="80"/>
  <c r="BS14" i="80"/>
  <c r="AE313" i="80"/>
  <c r="AE105" i="80"/>
  <c r="AF335" i="80"/>
  <c r="AF26" i="80"/>
  <c r="AE231" i="80"/>
  <c r="AE32" i="80"/>
  <c r="AE168" i="80"/>
  <c r="BR4" i="80"/>
  <c r="BY6" i="80"/>
  <c r="BS35" i="80"/>
  <c r="AF135" i="80"/>
  <c r="AE97" i="80"/>
  <c r="AF177" i="80"/>
  <c r="AE248" i="80"/>
  <c r="AE347" i="80"/>
  <c r="BR32" i="80"/>
  <c r="AE104" i="80"/>
  <c r="AE6" i="80"/>
  <c r="AE212" i="80"/>
  <c r="BR44" i="80"/>
  <c r="AE27" i="80"/>
  <c r="AE294" i="80"/>
  <c r="AF29" i="80"/>
  <c r="AF184" i="80"/>
  <c r="AE99" i="80"/>
  <c r="AE222" i="80"/>
  <c r="AE64" i="80"/>
  <c r="AF175" i="80"/>
  <c r="BR19" i="80"/>
  <c r="AF255" i="80"/>
  <c r="AF298" i="80"/>
  <c r="AE23" i="80"/>
  <c r="AF86" i="80"/>
  <c r="BZ14" i="80"/>
  <c r="AE145" i="80"/>
  <c r="AF79" i="80"/>
  <c r="AF280" i="80"/>
  <c r="AE38" i="80"/>
  <c r="AF310" i="80"/>
  <c r="AF271" i="80"/>
  <c r="AF319" i="80"/>
  <c r="AE106" i="80"/>
  <c r="AF165" i="80"/>
  <c r="AF296" i="80"/>
  <c r="BR18" i="80"/>
  <c r="AF171" i="80"/>
  <c r="AE260" i="80"/>
  <c r="AF100" i="80"/>
  <c r="BZ6" i="80"/>
  <c r="AE144" i="80"/>
  <c r="AE202" i="80"/>
  <c r="BY19" i="80"/>
  <c r="AE90" i="80"/>
  <c r="BS9" i="80"/>
  <c r="AF70" i="80"/>
  <c r="BR49" i="80"/>
  <c r="BR46" i="80"/>
  <c r="AE208" i="80"/>
  <c r="AF122" i="80"/>
  <c r="BZ15" i="80"/>
  <c r="AE293" i="80"/>
  <c r="AF258" i="80"/>
  <c r="AE302" i="80"/>
  <c r="AF108" i="80"/>
  <c r="AE362" i="80"/>
  <c r="AE243" i="80"/>
  <c r="AE150" i="80"/>
  <c r="AF88" i="80"/>
  <c r="AF315" i="80"/>
  <c r="AF155" i="80"/>
  <c r="AF284" i="80"/>
  <c r="AF219" i="80"/>
  <c r="AF97" i="80"/>
  <c r="AF198" i="80"/>
  <c r="AF264" i="80"/>
  <c r="AF348" i="80"/>
  <c r="AF28" i="80"/>
  <c r="AF199" i="80"/>
  <c r="AF83" i="80"/>
  <c r="AE137" i="80"/>
  <c r="AF269" i="80"/>
  <c r="AF60" i="80"/>
  <c r="AE126" i="80"/>
  <c r="AE136" i="80"/>
  <c r="AE354" i="80"/>
  <c r="BS7" i="80"/>
  <c r="AE169" i="80"/>
  <c r="BS4" i="80"/>
  <c r="BR22" i="80"/>
  <c r="AF254" i="80"/>
  <c r="AF270" i="80"/>
  <c r="AE173" i="80"/>
  <c r="AF312" i="80"/>
  <c r="AF158" i="80"/>
  <c r="AE182" i="80"/>
  <c r="AE7" i="80"/>
  <c r="AE254" i="80"/>
  <c r="AF220" i="80"/>
  <c r="AF139" i="80"/>
  <c r="AF196" i="80"/>
  <c r="BS26" i="80"/>
  <c r="AF95" i="80"/>
  <c r="AE17" i="80"/>
  <c r="AF313" i="80"/>
  <c r="AF242" i="80"/>
  <c r="AF31" i="80"/>
  <c r="BS42" i="80"/>
  <c r="AF309" i="80"/>
  <c r="BZ11" i="80"/>
  <c r="AE289" i="80"/>
  <c r="AF4" i="80"/>
  <c r="BS19" i="80"/>
  <c r="AE68" i="80"/>
  <c r="AF151" i="80"/>
  <c r="AE186" i="80"/>
  <c r="AF226" i="80"/>
  <c r="AF218" i="80"/>
  <c r="AE267" i="80"/>
  <c r="AE121" i="80"/>
  <c r="AE345" i="80"/>
  <c r="AF360" i="80"/>
  <c r="BS28" i="80"/>
  <c r="AF39" i="80"/>
  <c r="AE266" i="80"/>
  <c r="AF243" i="80"/>
  <c r="AF131" i="80"/>
  <c r="AF278" i="80"/>
  <c r="AE245" i="80"/>
  <c r="AF363" i="80"/>
  <c r="AE69" i="80"/>
  <c r="AE177" i="80"/>
  <c r="AE348" i="80"/>
  <c r="AF5" i="80"/>
  <c r="AE184" i="80"/>
  <c r="AF189" i="80"/>
  <c r="AF346" i="80"/>
  <c r="AF69" i="80"/>
  <c r="AF167" i="80"/>
  <c r="AF304" i="80"/>
  <c r="AF215" i="80"/>
  <c r="BY17" i="80"/>
  <c r="AE154" i="80"/>
  <c r="AE14" i="80"/>
  <c r="AF93" i="80"/>
  <c r="BS29" i="80"/>
  <c r="AE163" i="80"/>
  <c r="AF228" i="80"/>
  <c r="AE280" i="80"/>
  <c r="BR52" i="80"/>
  <c r="BZ17" i="80"/>
  <c r="AF230" i="80"/>
  <c r="BZ16" i="80"/>
  <c r="AF150" i="80"/>
  <c r="BS40" i="80"/>
  <c r="AE34" i="80"/>
  <c r="AE351" i="80"/>
  <c r="BY20" i="80"/>
  <c r="AE309" i="80"/>
  <c r="AE304" i="80"/>
  <c r="AE54" i="80"/>
  <c r="BS5" i="80"/>
  <c r="AF355" i="80"/>
  <c r="AE28" i="80"/>
  <c r="AF77" i="80"/>
  <c r="AE185" i="80"/>
  <c r="AF7" i="80"/>
  <c r="AE156" i="80"/>
  <c r="AE361" i="80"/>
  <c r="AE193" i="80"/>
  <c r="AE53" i="80"/>
  <c r="AF89" i="80"/>
  <c r="BS46" i="80"/>
  <c r="AF11" i="80"/>
  <c r="BY10" i="80"/>
  <c r="AE113" i="80"/>
  <c r="AF64" i="80"/>
  <c r="AF84" i="80"/>
  <c r="AE149" i="80"/>
  <c r="AE211" i="80"/>
  <c r="AF19" i="80"/>
  <c r="AE272" i="80"/>
  <c r="AE270" i="80"/>
  <c r="AF273" i="80"/>
  <c r="AF46" i="80"/>
  <c r="AE198" i="80"/>
  <c r="AE207" i="80"/>
  <c r="BS52" i="80"/>
  <c r="BY11" i="80"/>
  <c r="BR31" i="80"/>
  <c r="AF144" i="80"/>
  <c r="AE286" i="80"/>
  <c r="AF340" i="80"/>
  <c r="AF125" i="80"/>
  <c r="AF18" i="80"/>
  <c r="AE331" i="80"/>
  <c r="AF347" i="80"/>
  <c r="AF288" i="80"/>
  <c r="BR50" i="80"/>
  <c r="AF92" i="80"/>
  <c r="AF112" i="80"/>
  <c r="AE330" i="80"/>
  <c r="AF211" i="80"/>
  <c r="BR5" i="80"/>
  <c r="AF90" i="80"/>
  <c r="BZ8" i="80"/>
  <c r="AF129" i="80"/>
  <c r="BS51" i="80"/>
  <c r="BR10" i="80"/>
  <c r="AF21" i="80"/>
  <c r="AF71" i="80"/>
  <c r="AF274" i="80"/>
  <c r="AF185" i="80"/>
  <c r="AF146" i="80"/>
  <c r="AF207" i="80"/>
  <c r="AF245" i="80"/>
  <c r="AE298" i="80"/>
  <c r="AE197" i="80"/>
  <c r="AF44" i="80"/>
  <c r="AE363" i="80"/>
  <c r="AE288" i="80"/>
  <c r="AF221" i="80"/>
  <c r="BS11" i="80"/>
  <c r="AF345" i="80"/>
  <c r="AF32" i="80"/>
  <c r="AF251" i="80"/>
  <c r="AF183" i="80"/>
  <c r="AE29" i="80"/>
  <c r="AF286" i="80"/>
  <c r="AF227" i="80"/>
  <c r="AE171" i="80"/>
  <c r="AF94" i="80"/>
  <c r="AE51" i="80"/>
  <c r="AF104" i="80"/>
  <c r="AF272" i="80"/>
  <c r="AF250" i="80"/>
  <c r="AE5" i="80"/>
  <c r="AF217" i="80"/>
  <c r="AF323" i="80"/>
  <c r="AE47" i="80"/>
  <c r="AE233" i="80"/>
  <c r="AE359" i="80"/>
  <c r="AF208" i="80"/>
  <c r="AF38" i="80"/>
  <c r="AF35" i="80"/>
  <c r="AF268" i="80"/>
  <c r="AE132" i="80"/>
  <c r="AE61" i="80"/>
  <c r="AE307" i="80"/>
  <c r="AE82" i="80"/>
  <c r="AE251" i="80"/>
  <c r="AF142" i="80"/>
  <c r="AF266" i="80"/>
  <c r="AE122" i="80"/>
  <c r="AF320" i="80"/>
  <c r="AE130" i="80"/>
  <c r="AF307" i="80"/>
  <c r="AE158" i="80"/>
  <c r="AE281" i="80"/>
  <c r="AE66" i="80"/>
  <c r="AF327" i="80"/>
  <c r="BR45" i="80"/>
  <c r="AE123" i="80"/>
  <c r="AF195" i="80"/>
  <c r="AF279" i="80"/>
  <c r="AE360" i="80"/>
  <c r="AF178" i="80"/>
  <c r="AF331" i="80"/>
  <c r="AF156" i="80"/>
  <c r="AE85" i="80"/>
  <c r="AE301" i="80"/>
  <c r="AF262" i="80"/>
  <c r="AF299" i="80"/>
  <c r="AE147" i="80"/>
  <c r="AF339" i="80"/>
  <c r="AE234" i="80"/>
  <c r="AF311" i="80"/>
  <c r="AE339" i="80"/>
  <c r="AF149" i="80"/>
  <c r="AE133" i="80"/>
  <c r="AF232" i="80"/>
  <c r="AE284" i="80"/>
  <c r="AE190" i="80"/>
  <c r="AF34" i="80"/>
  <c r="AE341" i="80"/>
  <c r="AF68" i="80"/>
  <c r="BR6" i="80"/>
  <c r="AE269" i="80"/>
  <c r="AF285" i="80"/>
  <c r="AF222" i="80"/>
  <c r="BS32" i="80"/>
  <c r="AE112" i="80"/>
  <c r="AE67" i="80"/>
  <c r="AE308" i="80"/>
  <c r="AE277" i="80"/>
  <c r="BR17" i="80"/>
  <c r="BS18" i="80"/>
  <c r="AE76" i="80"/>
  <c r="BR42" i="80"/>
  <c r="AE52" i="80"/>
  <c r="AE79" i="80"/>
  <c r="AE317" i="80"/>
  <c r="AE101" i="80"/>
  <c r="AE352" i="80"/>
  <c r="AE165" i="80"/>
  <c r="AE189" i="80"/>
  <c r="BZ10" i="80"/>
  <c r="AF49" i="80"/>
  <c r="BR35" i="80"/>
  <c r="AE219" i="80"/>
  <c r="AF200" i="80"/>
  <c r="AF248" i="80"/>
  <c r="AE44" i="80"/>
  <c r="AE247" i="80"/>
  <c r="AF186" i="80"/>
  <c r="AE306" i="80"/>
  <c r="AE262" i="80"/>
  <c r="AE221" i="80"/>
  <c r="AE346" i="80"/>
  <c r="AF330" i="80"/>
  <c r="AE257" i="80"/>
  <c r="AE312" i="80"/>
  <c r="AF37" i="80"/>
  <c r="AE209" i="80"/>
  <c r="AE336" i="80"/>
  <c r="BZ19" i="80"/>
  <c r="AF209" i="80"/>
  <c r="AE50" i="80"/>
  <c r="AE89" i="80"/>
  <c r="AF140" i="80"/>
  <c r="AF263" i="80"/>
  <c r="AE125" i="80"/>
  <c r="AF27" i="80"/>
  <c r="AE26" i="80"/>
  <c r="AE31" i="80"/>
  <c r="BS13" i="80"/>
  <c r="AE216" i="80"/>
  <c r="AE203" i="80"/>
  <c r="BR36" i="80"/>
  <c r="AE343" i="80"/>
  <c r="AE12" i="80"/>
  <c r="AE159" i="80"/>
  <c r="AE21" i="80"/>
  <c r="AE4" i="80"/>
  <c r="AE340" i="80"/>
  <c r="AF190" i="80"/>
  <c r="AE103" i="80"/>
  <c r="AF353" i="80"/>
  <c r="AF289" i="80"/>
  <c r="BS23" i="80"/>
  <c r="AF290" i="80"/>
  <c r="AE57" i="80"/>
  <c r="AE131" i="80"/>
  <c r="AE217" i="80"/>
  <c r="AF344" i="80"/>
  <c r="AF244" i="80"/>
  <c r="AF204" i="80"/>
  <c r="AE319" i="80"/>
  <c r="AE91" i="80"/>
  <c r="AF121" i="80"/>
  <c r="AF55" i="80"/>
  <c r="AF76" i="80"/>
  <c r="AF179" i="80"/>
  <c r="BR37" i="80"/>
  <c r="AE240" i="80"/>
  <c r="AE315" i="80"/>
  <c r="AE135" i="80"/>
  <c r="AF235" i="80"/>
  <c r="AE230" i="80"/>
  <c r="AE263" i="80"/>
  <c r="AE249" i="80"/>
  <c r="AE172" i="80"/>
  <c r="AF292" i="80"/>
  <c r="AF202" i="80"/>
  <c r="BR27" i="80"/>
  <c r="AF225" i="80"/>
  <c r="AE232" i="80"/>
  <c r="AF138" i="80"/>
  <c r="AE244" i="80"/>
  <c r="AF61" i="80"/>
  <c r="AF334" i="80"/>
  <c r="AF109" i="80"/>
  <c r="AF115" i="80"/>
  <c r="AF12" i="80"/>
  <c r="BZ12" i="80"/>
  <c r="BY14" i="80"/>
  <c r="AF113" i="80"/>
  <c r="AF354" i="80"/>
  <c r="AF188" i="80"/>
  <c r="BY15" i="80"/>
  <c r="AE290" i="80"/>
  <c r="AF166" i="80"/>
  <c r="AF59" i="80"/>
  <c r="AF180" i="80"/>
  <c r="AE80" i="80"/>
  <c r="AE36" i="80"/>
  <c r="AE335" i="80"/>
  <c r="AF238" i="80"/>
  <c r="AF324" i="80"/>
  <c r="AE166" i="80"/>
  <c r="AF82" i="80"/>
  <c r="AE77" i="80"/>
  <c r="AE60" i="80"/>
  <c r="AE83" i="80"/>
  <c r="BY16" i="80"/>
  <c r="AE187" i="80"/>
  <c r="AF293" i="80"/>
  <c r="AF358" i="80"/>
  <c r="AE275" i="80"/>
  <c r="AE143" i="80"/>
  <c r="AF73" i="80"/>
  <c r="AE338" i="80"/>
  <c r="AE87" i="80"/>
  <c r="AF326" i="80"/>
  <c r="AE74" i="80"/>
  <c r="AF87" i="80"/>
  <c r="AF349" i="80"/>
  <c r="AF343" i="80"/>
  <c r="AE228" i="80"/>
  <c r="AF291" i="80"/>
  <c r="AE48" i="80"/>
  <c r="AF176" i="80"/>
  <c r="AF152" i="80"/>
  <c r="AF173" i="80"/>
  <c r="AE329" i="80"/>
  <c r="AF17" i="80"/>
  <c r="BR48" i="80"/>
  <c r="AF282" i="80"/>
  <c r="AE210" i="80"/>
  <c r="AE342" i="80"/>
  <c r="AF56" i="80"/>
  <c r="BS30" i="80"/>
  <c r="AF233" i="80"/>
  <c r="AE117" i="80"/>
  <c r="BR23" i="80"/>
  <c r="BS22" i="80"/>
  <c r="AF134" i="80"/>
  <c r="AF105" i="80"/>
  <c r="AE250" i="80"/>
  <c r="AE273" i="80"/>
  <c r="AF81" i="80"/>
  <c r="AF169" i="80"/>
  <c r="AE314" i="80"/>
  <c r="AE285" i="80"/>
  <c r="AF9" i="80"/>
  <c r="AF305" i="80"/>
  <c r="AE318" i="80"/>
  <c r="AF47" i="80"/>
  <c r="AF301" i="80"/>
  <c r="AE162" i="80"/>
  <c r="AF10" i="80"/>
  <c r="AE157" i="80"/>
  <c r="AE227" i="80"/>
  <c r="AE311" i="80"/>
  <c r="AE109" i="80"/>
  <c r="AF164" i="80"/>
  <c r="AF351" i="80"/>
  <c r="BZ20" i="80"/>
  <c r="AE119" i="80"/>
  <c r="AE116" i="80"/>
  <c r="BR9" i="80"/>
  <c r="AE225" i="80"/>
  <c r="AF350" i="80"/>
  <c r="AF236" i="80"/>
  <c r="AF314" i="80"/>
  <c r="AE84" i="80"/>
  <c r="AE151" i="80"/>
  <c r="AF303" i="80"/>
  <c r="AF317" i="80"/>
  <c r="AE160" i="80"/>
  <c r="AF75" i="80"/>
  <c r="AE55" i="80"/>
  <c r="AE93" i="80"/>
  <c r="BY12" i="80"/>
  <c r="AF192" i="80"/>
  <c r="AE178" i="80"/>
  <c r="AF127" i="80"/>
  <c r="AE324" i="80"/>
  <c r="AE213" i="80"/>
  <c r="AE161" i="80"/>
  <c r="AE134" i="80"/>
  <c r="AF6" i="80"/>
  <c r="BR43" i="80"/>
  <c r="AE180" i="80"/>
  <c r="AE98" i="80"/>
  <c r="AE320" i="80"/>
  <c r="BS45" i="80"/>
  <c r="AE201" i="80"/>
  <c r="AF241" i="80"/>
  <c r="BR24" i="80"/>
  <c r="BR40" i="80"/>
  <c r="AE300" i="80"/>
  <c r="AE22" i="80"/>
  <c r="AE299" i="80"/>
  <c r="AE196" i="80"/>
  <c r="AE124" i="80"/>
  <c r="AE333" i="80"/>
  <c r="AE141" i="80"/>
  <c r="AE181" i="80"/>
  <c r="AF52" i="80"/>
  <c r="AE174" i="80"/>
  <c r="AE218" i="80"/>
  <c r="AF101" i="80"/>
  <c r="AE94" i="80"/>
  <c r="AE356" i="80"/>
  <c r="AF206" i="80"/>
  <c r="AE238" i="80"/>
  <c r="AE81" i="80"/>
  <c r="AF103" i="80"/>
  <c r="AF22" i="80"/>
  <c r="AF58" i="80"/>
  <c r="AF257" i="80"/>
  <c r="AE75" i="80"/>
  <c r="AF20" i="80"/>
  <c r="AF325" i="80"/>
  <c r="AE194" i="80"/>
  <c r="AE108" i="80"/>
  <c r="AF181" i="80"/>
  <c r="BR14" i="80"/>
  <c r="AF50" i="80"/>
  <c r="AF276" i="80"/>
  <c r="AE274" i="80"/>
  <c r="AE86" i="80"/>
  <c r="AE295" i="80"/>
  <c r="AF116" i="80"/>
  <c r="AF302" i="80"/>
  <c r="AE25" i="80"/>
  <c r="BS27" i="80"/>
  <c r="AF294" i="80"/>
  <c r="BY13" i="80"/>
  <c r="AF187" i="80"/>
  <c r="AF25" i="80"/>
  <c r="AE199" i="80"/>
  <c r="AE325" i="80"/>
  <c r="AE200" i="80"/>
  <c r="BS33" i="80"/>
  <c r="AF98" i="80"/>
  <c r="AF318" i="80"/>
  <c r="AE334" i="80"/>
  <c r="AE265" i="80"/>
  <c r="BR16" i="80"/>
  <c r="AE310" i="80"/>
  <c r="AE70" i="80"/>
  <c r="AE349" i="80"/>
  <c r="AF145" i="80"/>
  <c r="AE18" i="80"/>
  <c r="AE204" i="80"/>
  <c r="AE167" i="80"/>
  <c r="AE255" i="80"/>
  <c r="BS16" i="80"/>
  <c r="BS10" i="80"/>
  <c r="AE95" i="80"/>
  <c r="AE142" i="80"/>
  <c r="AE63" i="80"/>
  <c r="BS38" i="80"/>
  <c r="BS53" i="80"/>
  <c r="AE41" i="80"/>
  <c r="BR11" i="80"/>
  <c r="BR8" i="80"/>
  <c r="AE10" i="80"/>
  <c r="AE107" i="80"/>
  <c r="AF57" i="80"/>
  <c r="AE259" i="80"/>
  <c r="AE291" i="80"/>
  <c r="AE45" i="80"/>
  <c r="AE127" i="80"/>
  <c r="AF267" i="80"/>
  <c r="AE37" i="80"/>
  <c r="AF261" i="80"/>
  <c r="AF210" i="80"/>
  <c r="AF194" i="80"/>
  <c r="AF297" i="80"/>
  <c r="AE15" i="80"/>
  <c r="BR20" i="80"/>
  <c r="AE59" i="80"/>
  <c r="AF328" i="80"/>
  <c r="AF337" i="80"/>
  <c r="BS34" i="80"/>
  <c r="BS44" i="80"/>
  <c r="AF205" i="80"/>
  <c r="AF336" i="80"/>
  <c r="AF246" i="80"/>
  <c r="AF78" i="80"/>
  <c r="AF136" i="80"/>
  <c r="AE344" i="80"/>
  <c r="AE292" i="80"/>
  <c r="AF48" i="80"/>
  <c r="AF33" i="80"/>
  <c r="BS25" i="80"/>
  <c r="AE191" i="80"/>
  <c r="AF41" i="80"/>
  <c r="AF42" i="80"/>
  <c r="AE220" i="80"/>
  <c r="AE223" i="80"/>
  <c r="AF332" i="80"/>
  <c r="AE188" i="80"/>
  <c r="AE282" i="80"/>
  <c r="AF170" i="80"/>
  <c r="AF14" i="80"/>
  <c r="AF308" i="80"/>
  <c r="AE148" i="80"/>
  <c r="AE129" i="80"/>
  <c r="AE73" i="80"/>
  <c r="AE276" i="80"/>
  <c r="BR53" i="80"/>
  <c r="AF216" i="80"/>
  <c r="AF203" i="80"/>
  <c r="BY9" i="80"/>
  <c r="AE92" i="80"/>
  <c r="AF153" i="80"/>
  <c r="AF249" i="80"/>
  <c r="BR51" i="80"/>
  <c r="AE236" i="80"/>
  <c r="AE337" i="80"/>
  <c r="AF63" i="80"/>
  <c r="AF352" i="80"/>
  <c r="AF201" i="80"/>
  <c r="AE102" i="80"/>
  <c r="BR28" i="80"/>
  <c r="AF240" i="80"/>
  <c r="AE88" i="80"/>
  <c r="AE24" i="80"/>
  <c r="AF191" i="80"/>
  <c r="AE56" i="80"/>
  <c r="AE11" i="80"/>
  <c r="AE35" i="80"/>
  <c r="AE316" i="80"/>
  <c r="AF172" i="80"/>
  <c r="AF141" i="80"/>
  <c r="AF30" i="80"/>
  <c r="AE100" i="80"/>
  <c r="AF45" i="80"/>
  <c r="AE353" i="80"/>
  <c r="AE326" i="80"/>
  <c r="AE297" i="80"/>
  <c r="AE170" i="80"/>
  <c r="AF306" i="80"/>
  <c r="AE305" i="80"/>
  <c r="AF239" i="80"/>
  <c r="AF62" i="80"/>
  <c r="BR15" i="80"/>
  <c r="AE175" i="80"/>
  <c r="BR29" i="80"/>
  <c r="AF80" i="80"/>
  <c r="AE118" i="80"/>
  <c r="AE357" i="80"/>
  <c r="AE224" i="80"/>
  <c r="AF65" i="80"/>
  <c r="AE8" i="80"/>
  <c r="AF356" i="80"/>
  <c r="AE350" i="80"/>
  <c r="AE49" i="80"/>
  <c r="AF154" i="80"/>
  <c r="BR7" i="80"/>
  <c r="AF159" i="80"/>
  <c r="AF362" i="80"/>
  <c r="AE120" i="80"/>
  <c r="AF260" i="80"/>
  <c r="AF102" i="80"/>
  <c r="BS21" i="80"/>
  <c r="AF224" i="80"/>
  <c r="AE62" i="80"/>
  <c r="AE16" i="80"/>
  <c r="AF322" i="80"/>
  <c r="AF143" i="80"/>
  <c r="AF128" i="80"/>
  <c r="BS39" i="80"/>
  <c r="BR30" i="80"/>
  <c r="AE39" i="80"/>
  <c r="AF54" i="80"/>
  <c r="AF361" i="80"/>
  <c r="AF182" i="80"/>
  <c r="AE20" i="80"/>
  <c r="AE321" i="80"/>
  <c r="AE271" i="80"/>
  <c r="AF16" i="80"/>
  <c r="BS31" i="80"/>
  <c r="BR26" i="80"/>
  <c r="AF157" i="80"/>
  <c r="AF66" i="80"/>
  <c r="AE19" i="80"/>
  <c r="AF247" i="80"/>
  <c r="AE239" i="80"/>
  <c r="AE246" i="80"/>
  <c r="AF231" i="80"/>
  <c r="BR39" i="80"/>
  <c r="AE205" i="80"/>
  <c r="BS24" i="80"/>
  <c r="AE355" i="80"/>
  <c r="BS36" i="80"/>
  <c r="AF147" i="80"/>
  <c r="AE13" i="80"/>
  <c r="AF162" i="80"/>
  <c r="AE332" i="80"/>
  <c r="AF223" i="80"/>
  <c r="AE111" i="80"/>
  <c r="AE323" i="80"/>
  <c r="AE296" i="80"/>
  <c r="AF40" i="80"/>
  <c r="BS12" i="80"/>
  <c r="AF234" i="80"/>
  <c r="AE179" i="80"/>
  <c r="AE110" i="80"/>
  <c r="AE256" i="80"/>
  <c r="BS48" i="80"/>
  <c r="BY18" i="80"/>
  <c r="BS8" i="80"/>
  <c r="AE195" i="80"/>
  <c r="AF329" i="80"/>
  <c r="AF117" i="80"/>
  <c r="AF74" i="80"/>
  <c r="AE237" i="80"/>
  <c r="AE114" i="80"/>
  <c r="AE192" i="80"/>
  <c r="AE78" i="80"/>
  <c r="AE206" i="80"/>
  <c r="AF137" i="80"/>
  <c r="BR47" i="80"/>
  <c r="AE139" i="80"/>
  <c r="AE40" i="80"/>
  <c r="AF275" i="80"/>
  <c r="BR13" i="80"/>
  <c r="AF359" i="80"/>
  <c r="AE252" i="80"/>
  <c r="AE9" i="80"/>
  <c r="AF53" i="80"/>
  <c r="AF259" i="80"/>
  <c r="AE42" i="80"/>
  <c r="AF252" i="80"/>
  <c r="AF24" i="80"/>
  <c r="AF160" i="80"/>
  <c r="AF341" i="80"/>
  <c r="AF15" i="80"/>
  <c r="AF72" i="80"/>
  <c r="AF161" i="80"/>
  <c r="AF110" i="80"/>
  <c r="AE214" i="80"/>
  <c r="AF321" i="80"/>
  <c r="BR34" i="80"/>
  <c r="CC8" i="80"/>
  <c r="CC9" i="80"/>
  <c r="CC19" i="80"/>
  <c r="CC7" i="80"/>
  <c r="CC13" i="80"/>
  <c r="CC20" i="80"/>
  <c r="CC10" i="80"/>
  <c r="CF7" i="80"/>
  <c r="CC18" i="80"/>
  <c r="CF8" i="80"/>
  <c r="CC15" i="80"/>
  <c r="CC14" i="80"/>
  <c r="CC17" i="80"/>
  <c r="CC12" i="80"/>
  <c r="CF6" i="80"/>
  <c r="CC16" i="80"/>
  <c r="CF5" i="80"/>
  <c r="CC11" i="80"/>
  <c r="CF4" i="80"/>
  <c r="CC6" i="80"/>
  <c r="E206" i="77"/>
  <c r="E104" i="77"/>
  <c r="E322" i="77"/>
  <c r="E313" i="77"/>
  <c r="E324" i="77"/>
  <c r="E56" i="77"/>
  <c r="E242" i="77"/>
  <c r="E9" i="77"/>
  <c r="E218" i="77"/>
  <c r="E309" i="77"/>
  <c r="E308" i="77"/>
  <c r="E172" i="77"/>
  <c r="E170" i="77"/>
  <c r="E290" i="77"/>
  <c r="E80" i="77"/>
  <c r="E98" i="77"/>
  <c r="E189" i="77"/>
  <c r="E311" i="77"/>
  <c r="E188" i="77"/>
  <c r="E328" i="77"/>
  <c r="E302" i="77"/>
  <c r="E230" i="77"/>
  <c r="E212" i="77"/>
  <c r="E194" i="77"/>
  <c r="E134" i="77"/>
  <c r="E312" i="77"/>
  <c r="E310" i="77"/>
  <c r="E128" i="77"/>
  <c r="E320" i="77"/>
  <c r="E278" i="77"/>
  <c r="E224" i="77"/>
  <c r="E314" i="77"/>
  <c r="E50" i="77"/>
  <c r="E323" i="77"/>
  <c r="E200" i="77"/>
  <c r="E272" i="77"/>
  <c r="E14" i="77"/>
  <c r="E254" i="77"/>
  <c r="E220" i="77"/>
  <c r="E280" i="77"/>
  <c r="E26" i="77"/>
  <c r="E158" i="77"/>
  <c r="E146" i="77"/>
  <c r="E182" i="77"/>
  <c r="E38" i="77"/>
  <c r="E333" i="77"/>
  <c r="E164" i="77"/>
  <c r="E176" i="77"/>
  <c r="E329" i="77"/>
  <c r="E152" i="77"/>
  <c r="E251" i="77"/>
  <c r="E331" i="77"/>
  <c r="E122" i="77"/>
  <c r="E116" i="77"/>
  <c r="E296" i="77"/>
  <c r="E236" i="77"/>
  <c r="E140" i="77"/>
  <c r="E92" i="77"/>
  <c r="E321" i="77"/>
  <c r="E330" i="77"/>
  <c r="E248" i="77"/>
  <c r="E266" i="77"/>
  <c r="E68" i="77"/>
  <c r="E284" i="77"/>
  <c r="E110" i="77"/>
  <c r="E261" i="77"/>
  <c r="E319" i="77"/>
  <c r="E332" i="77"/>
  <c r="D354" i="77" l="1"/>
  <c r="D355" i="77"/>
  <c r="D356" i="77"/>
  <c r="D357" i="77"/>
  <c r="D358" i="77"/>
  <c r="D344" i="77"/>
  <c r="D348" i="77"/>
  <c r="D345" i="77"/>
  <c r="D346" i="77"/>
  <c r="D347" i="77"/>
  <c r="D335" i="77"/>
  <c r="D336" i="77"/>
  <c r="D337" i="77"/>
  <c r="D338" i="77"/>
  <c r="D334" i="77"/>
  <c r="D351" i="77"/>
  <c r="D350" i="77"/>
  <c r="D352" i="77"/>
  <c r="D353" i="77"/>
  <c r="D349" i="77"/>
  <c r="D343" i="77"/>
  <c r="D342" i="77"/>
  <c r="D340" i="77"/>
  <c r="D339" i="77"/>
  <c r="D341" i="77"/>
  <c r="AB7" i="55"/>
  <c r="AA20" i="55"/>
  <c r="AE32" i="55"/>
  <c r="AC58" i="55"/>
  <c r="AD17" i="55"/>
  <c r="AB43" i="55"/>
  <c r="AA56" i="55"/>
  <c r="AA32" i="55"/>
  <c r="AQ16" i="77"/>
  <c r="AQ24" i="77"/>
  <c r="AQ32" i="77"/>
  <c r="AQ40" i="77"/>
  <c r="AQ48" i="77"/>
  <c r="AQ56" i="77"/>
  <c r="AQ13" i="77"/>
  <c r="AQ21" i="77"/>
  <c r="AQ29" i="77"/>
  <c r="AQ37" i="77"/>
  <c r="AQ45" i="77"/>
  <c r="AQ53" i="77"/>
  <c r="AQ8" i="77"/>
  <c r="AQ39" i="77"/>
  <c r="AQ47" i="77"/>
  <c r="AQ55" i="77"/>
  <c r="AQ10" i="77"/>
  <c r="AQ18" i="77"/>
  <c r="AQ26" i="77"/>
  <c r="AQ34" i="77"/>
  <c r="AQ42" i="77"/>
  <c r="AQ50" i="77"/>
  <c r="AQ15" i="77"/>
  <c r="AQ23" i="77"/>
  <c r="AQ31" i="77"/>
  <c r="AQ12" i="77"/>
  <c r="AQ20" i="77"/>
  <c r="AQ28" i="77"/>
  <c r="AQ36" i="77"/>
  <c r="AQ44" i="77"/>
  <c r="AQ52" i="77"/>
  <c r="AQ9" i="77"/>
  <c r="AQ17" i="77"/>
  <c r="AQ33" i="77"/>
  <c r="AQ14" i="77"/>
  <c r="AQ22" i="77"/>
  <c r="AQ30" i="77"/>
  <c r="AQ38" i="77"/>
  <c r="AQ46" i="77"/>
  <c r="AQ54" i="77"/>
  <c r="AQ41" i="77"/>
  <c r="AQ49" i="77"/>
  <c r="AQ11" i="77"/>
  <c r="AQ19" i="77"/>
  <c r="AQ27" i="77"/>
  <c r="AQ35" i="77"/>
  <c r="AQ43" i="77"/>
  <c r="AQ51" i="77"/>
  <c r="AQ25" i="77"/>
  <c r="AQ57" i="77"/>
  <c r="AC10" i="55"/>
  <c r="AA36" i="55"/>
  <c r="AE48" i="55"/>
  <c r="AD61" i="55"/>
  <c r="AE20" i="55"/>
  <c r="AC46" i="55"/>
  <c r="AB59" i="55"/>
  <c r="AA28" i="55"/>
  <c r="AD53" i="55"/>
  <c r="AC66" i="55"/>
  <c r="AE12" i="55"/>
  <c r="AC38" i="55"/>
  <c r="AB51" i="55"/>
  <c r="AE16" i="55"/>
  <c r="AC42" i="55"/>
  <c r="AB55" i="55"/>
  <c r="AB27" i="55"/>
  <c r="AA40" i="55"/>
  <c r="AE52" i="55"/>
  <c r="AD65" i="55"/>
  <c r="AB31" i="55"/>
  <c r="AA44" i="55"/>
  <c r="AA16" i="55"/>
  <c r="AE28" i="55"/>
  <c r="AC54" i="55"/>
  <c r="AB67" i="55"/>
  <c r="AS9" i="77"/>
  <c r="AS17" i="77"/>
  <c r="AS25" i="77"/>
  <c r="BD25" i="77" s="1"/>
  <c r="AS33" i="77"/>
  <c r="BD33" i="77" s="1"/>
  <c r="AS41" i="77"/>
  <c r="AS49" i="77"/>
  <c r="AS57" i="77"/>
  <c r="AS8" i="77"/>
  <c r="AS12" i="77"/>
  <c r="AS20" i="77"/>
  <c r="AS28" i="77"/>
  <c r="BD28" i="77" s="1"/>
  <c r="AS36" i="77"/>
  <c r="BD36" i="77" s="1"/>
  <c r="AS44" i="77"/>
  <c r="AS52" i="77"/>
  <c r="AS16" i="77"/>
  <c r="AS15" i="77"/>
  <c r="AS23" i="77"/>
  <c r="AS31" i="77"/>
  <c r="AS39" i="77"/>
  <c r="AS47" i="77"/>
  <c r="BD47" i="77" s="1"/>
  <c r="AS55" i="77"/>
  <c r="AS10" i="77"/>
  <c r="AS18" i="77"/>
  <c r="AS26" i="77"/>
  <c r="AS34" i="77"/>
  <c r="AS42" i="77"/>
  <c r="AS50" i="77"/>
  <c r="AS13" i="77"/>
  <c r="BD13" i="77" s="1"/>
  <c r="AS21" i="77"/>
  <c r="AS29" i="77"/>
  <c r="AS37" i="77"/>
  <c r="AS45" i="77"/>
  <c r="AS53" i="77"/>
  <c r="AS24" i="77"/>
  <c r="AS32" i="77"/>
  <c r="BD32" i="77" s="1"/>
  <c r="AS40" i="77"/>
  <c r="BD40" i="77" s="1"/>
  <c r="AS11" i="77"/>
  <c r="AS19" i="77"/>
  <c r="AS27" i="77"/>
  <c r="AS35" i="77"/>
  <c r="AS43" i="77"/>
  <c r="AS51" i="77"/>
  <c r="AS48" i="77"/>
  <c r="BD48" i="77" s="1"/>
  <c r="AS56" i="77"/>
  <c r="BD56" i="77" s="1"/>
  <c r="AS14" i="77"/>
  <c r="AS22" i="77"/>
  <c r="AS30" i="77"/>
  <c r="AS38" i="77"/>
  <c r="AS46" i="77"/>
  <c r="AS54" i="77"/>
  <c r="AU11" i="77"/>
  <c r="AU19" i="77"/>
  <c r="AU27" i="77"/>
  <c r="AU35" i="77"/>
  <c r="AU43" i="77"/>
  <c r="AU51" i="77"/>
  <c r="AU14" i="77"/>
  <c r="AU22" i="77"/>
  <c r="AU30" i="77"/>
  <c r="AU38" i="77"/>
  <c r="AU46" i="77"/>
  <c r="AU54" i="77"/>
  <c r="AU9" i="77"/>
  <c r="AU17" i="77"/>
  <c r="AU25" i="77"/>
  <c r="AU33" i="77"/>
  <c r="AU41" i="77"/>
  <c r="AU49" i="77"/>
  <c r="AU57" i="77"/>
  <c r="AU12" i="77"/>
  <c r="AU20" i="77"/>
  <c r="AU28" i="77"/>
  <c r="AU36" i="77"/>
  <c r="AU44" i="77"/>
  <c r="AU52" i="77"/>
  <c r="AU18" i="77"/>
  <c r="AU15" i="77"/>
  <c r="AU23" i="77"/>
  <c r="AU31" i="77"/>
  <c r="AU39" i="77"/>
  <c r="AU47" i="77"/>
  <c r="AU55" i="77"/>
  <c r="AU10" i="77"/>
  <c r="AU26" i="77"/>
  <c r="AU42" i="77"/>
  <c r="AU13" i="77"/>
  <c r="AU21" i="77"/>
  <c r="AU29" i="77"/>
  <c r="AU37" i="77"/>
  <c r="AU45" i="77"/>
  <c r="AU53" i="77"/>
  <c r="AU8" i="77"/>
  <c r="AU16" i="77"/>
  <c r="AU24" i="77"/>
  <c r="AU32" i="77"/>
  <c r="AU40" i="77"/>
  <c r="AU48" i="77"/>
  <c r="AU56" i="77"/>
  <c r="AU34" i="77"/>
  <c r="AU50" i="77"/>
  <c r="AM12" i="77"/>
  <c r="AM20" i="77"/>
  <c r="AM28" i="77"/>
  <c r="AM36" i="77"/>
  <c r="AM44" i="77"/>
  <c r="AM52" i="77"/>
  <c r="AM57" i="77"/>
  <c r="AX57" i="77" s="1"/>
  <c r="AM35" i="77"/>
  <c r="AX35" i="77" s="1"/>
  <c r="AM43" i="77"/>
  <c r="AM9" i="77"/>
  <c r="AM17" i="77"/>
  <c r="AM25" i="77"/>
  <c r="AM33" i="77"/>
  <c r="AM41" i="77"/>
  <c r="AM49" i="77"/>
  <c r="AX49" i="77" s="1"/>
  <c r="AM21" i="77"/>
  <c r="AX21" i="77" s="1"/>
  <c r="AM29" i="77"/>
  <c r="AX29" i="77" s="1"/>
  <c r="AM53" i="77"/>
  <c r="AM8" i="77"/>
  <c r="AM14" i="77"/>
  <c r="AM22" i="77"/>
  <c r="AM30" i="77"/>
  <c r="AM38" i="77"/>
  <c r="AM46" i="77"/>
  <c r="AX46" i="77" s="1"/>
  <c r="AM54" i="77"/>
  <c r="AX54" i="77" s="1"/>
  <c r="AM11" i="77"/>
  <c r="AX11" i="77" s="1"/>
  <c r="AM19" i="77"/>
  <c r="AM27" i="77"/>
  <c r="AM51" i="77"/>
  <c r="AM16" i="77"/>
  <c r="AM24" i="77"/>
  <c r="AX24" i="77" s="1"/>
  <c r="AM32" i="77"/>
  <c r="AX32" i="77" s="1"/>
  <c r="AM40" i="77"/>
  <c r="AM48" i="77"/>
  <c r="AM56" i="77"/>
  <c r="AM13" i="77"/>
  <c r="AM37" i="77"/>
  <c r="AM10" i="77"/>
  <c r="AM18" i="77"/>
  <c r="AX18" i="77" s="1"/>
  <c r="AM26" i="77"/>
  <c r="AX26" i="77" s="1"/>
  <c r="AM34" i="77"/>
  <c r="AX34" i="77" s="1"/>
  <c r="AM42" i="77"/>
  <c r="AM50" i="77"/>
  <c r="AM15" i="77"/>
  <c r="AM23" i="77"/>
  <c r="AM31" i="77"/>
  <c r="AM39" i="77"/>
  <c r="AX39" i="77" s="1"/>
  <c r="AM47" i="77"/>
  <c r="AX47" i="77" s="1"/>
  <c r="AM55" i="77"/>
  <c r="AX55" i="77" s="1"/>
  <c r="AM45" i="77"/>
  <c r="AO10" i="77"/>
  <c r="AO18" i="77"/>
  <c r="AO26" i="77"/>
  <c r="AO34" i="77"/>
  <c r="AO42" i="77"/>
  <c r="AO50" i="77"/>
  <c r="AO49" i="77"/>
  <c r="AO15" i="77"/>
  <c r="AO23" i="77"/>
  <c r="AO31" i="77"/>
  <c r="AO39" i="77"/>
  <c r="AO47" i="77"/>
  <c r="AO55" i="77"/>
  <c r="AZ55" i="77" s="1"/>
  <c r="AO11" i="77"/>
  <c r="AO35" i="77"/>
  <c r="AO12" i="77"/>
  <c r="AO20" i="77"/>
  <c r="AO28" i="77"/>
  <c r="AO36" i="77"/>
  <c r="AO44" i="77"/>
  <c r="AO52" i="77"/>
  <c r="AO9" i="77"/>
  <c r="AZ9" i="77" s="1"/>
  <c r="AO17" i="77"/>
  <c r="AO33" i="77"/>
  <c r="AO41" i="77"/>
  <c r="AO8" i="77"/>
  <c r="AO25" i="77"/>
  <c r="AO57" i="77"/>
  <c r="AZ57" i="77" s="1"/>
  <c r="AO14" i="77"/>
  <c r="AO22" i="77"/>
  <c r="AO30" i="77"/>
  <c r="AO38" i="77"/>
  <c r="AO46" i="77"/>
  <c r="AO54" i="77"/>
  <c r="AO27" i="77"/>
  <c r="AO43" i="77"/>
  <c r="AO16" i="77"/>
  <c r="AO24" i="77"/>
  <c r="AO32" i="77"/>
  <c r="AO40" i="77"/>
  <c r="AO48" i="77"/>
  <c r="AO56" i="77"/>
  <c r="AO13" i="77"/>
  <c r="AO21" i="77"/>
  <c r="AO29" i="77"/>
  <c r="AO37" i="77"/>
  <c r="AO45" i="77"/>
  <c r="AO53" i="77"/>
  <c r="AO19" i="77"/>
  <c r="AO51" i="77"/>
  <c r="AN15" i="77"/>
  <c r="AN23" i="77"/>
  <c r="AY23" i="77" s="1"/>
  <c r="AN31" i="77"/>
  <c r="AY31" i="77" s="1"/>
  <c r="AN39" i="77"/>
  <c r="AY39" i="77" s="1"/>
  <c r="AN47" i="77"/>
  <c r="AN55" i="77"/>
  <c r="AN54" i="77"/>
  <c r="AN12" i="77"/>
  <c r="AN20" i="77"/>
  <c r="AN28" i="77"/>
  <c r="AY28" i="77" s="1"/>
  <c r="AN36" i="77"/>
  <c r="AY36" i="77" s="1"/>
  <c r="AN44" i="77"/>
  <c r="AY44" i="77" s="1"/>
  <c r="AN52" i="77"/>
  <c r="AY52" i="77" s="1"/>
  <c r="AN16" i="77"/>
  <c r="AN24" i="77"/>
  <c r="AN40" i="77"/>
  <c r="AN9" i="77"/>
  <c r="AN17" i="77"/>
  <c r="AY17" i="77" s="1"/>
  <c r="AN25" i="77"/>
  <c r="AY25" i="77" s="1"/>
  <c r="AN33" i="77"/>
  <c r="AY33" i="77" s="1"/>
  <c r="AN41" i="77"/>
  <c r="AY41" i="77" s="1"/>
  <c r="AN49" i="77"/>
  <c r="AN57" i="77"/>
  <c r="AN14" i="77"/>
  <c r="AN22" i="77"/>
  <c r="AN30" i="77"/>
  <c r="AY30" i="77" s="1"/>
  <c r="AN38" i="77"/>
  <c r="AY38" i="77" s="1"/>
  <c r="AN46" i="77"/>
  <c r="AY46" i="77" s="1"/>
  <c r="AN11" i="77"/>
  <c r="AY11" i="77" s="1"/>
  <c r="AN19" i="77"/>
  <c r="AN27" i="77"/>
  <c r="AN35" i="77"/>
  <c r="AN43" i="77"/>
  <c r="AY43" i="77" s="1"/>
  <c r="AN51" i="77"/>
  <c r="AY51" i="77" s="1"/>
  <c r="AN8" i="77"/>
  <c r="AY8" i="77" s="1"/>
  <c r="AN48" i="77"/>
  <c r="AY48" i="77" s="1"/>
  <c r="AN13" i="77"/>
  <c r="AY13" i="77" s="1"/>
  <c r="AN21" i="77"/>
  <c r="AN29" i="77"/>
  <c r="AN37" i="77"/>
  <c r="AY37" i="77" s="1"/>
  <c r="AN45" i="77"/>
  <c r="AN53" i="77"/>
  <c r="AY53" i="77" s="1"/>
  <c r="AN56" i="77"/>
  <c r="AY56" i="77" s="1"/>
  <c r="AN10" i="77"/>
  <c r="AY10" i="77" s="1"/>
  <c r="AN18" i="77"/>
  <c r="AY18" i="77" s="1"/>
  <c r="AN26" i="77"/>
  <c r="AN34" i="77"/>
  <c r="AN42" i="77"/>
  <c r="AN50" i="77"/>
  <c r="AN32" i="77"/>
  <c r="AY32" i="77" s="1"/>
  <c r="AP13" i="77"/>
  <c r="AP21" i="77"/>
  <c r="AP29" i="77"/>
  <c r="AP37" i="77"/>
  <c r="AP45" i="77"/>
  <c r="AP53" i="77"/>
  <c r="AP10" i="77"/>
  <c r="AP18" i="77"/>
  <c r="AP26" i="77"/>
  <c r="AP34" i="77"/>
  <c r="AP42" i="77"/>
  <c r="AP50" i="77"/>
  <c r="AP46" i="77"/>
  <c r="AP15" i="77"/>
  <c r="AP23" i="77"/>
  <c r="AP31" i="77"/>
  <c r="AP39" i="77"/>
  <c r="AP47" i="77"/>
  <c r="AP55" i="77"/>
  <c r="AP8" i="77"/>
  <c r="AP12" i="77"/>
  <c r="AP20" i="77"/>
  <c r="AP28" i="77"/>
  <c r="AP52" i="77"/>
  <c r="AP36" i="77"/>
  <c r="AP44" i="77"/>
  <c r="AP9" i="77"/>
  <c r="AP17" i="77"/>
  <c r="AP25" i="77"/>
  <c r="AP33" i="77"/>
  <c r="AP41" i="77"/>
  <c r="AP49" i="77"/>
  <c r="AP57" i="77"/>
  <c r="AP14" i="77"/>
  <c r="AP22" i="77"/>
  <c r="AP54" i="77"/>
  <c r="AP11" i="77"/>
  <c r="AP19" i="77"/>
  <c r="AP27" i="77"/>
  <c r="AP35" i="77"/>
  <c r="AP43" i="77"/>
  <c r="AP51" i="77"/>
  <c r="AP30" i="77"/>
  <c r="AP16" i="77"/>
  <c r="AP24" i="77"/>
  <c r="AP32" i="77"/>
  <c r="AP40" i="77"/>
  <c r="AP48" i="77"/>
  <c r="AP56" i="77"/>
  <c r="AP38" i="77"/>
  <c r="AU64" i="77"/>
  <c r="AU72" i="77"/>
  <c r="AU80" i="77"/>
  <c r="AU59" i="77"/>
  <c r="AU67" i="77"/>
  <c r="AU75" i="77"/>
  <c r="AU83" i="77"/>
  <c r="AU62" i="77"/>
  <c r="AU70" i="77"/>
  <c r="AU78" i="77"/>
  <c r="AU86" i="77"/>
  <c r="AU65" i="77"/>
  <c r="AU73" i="77"/>
  <c r="AU81" i="77"/>
  <c r="AU60" i="77"/>
  <c r="AU68" i="77"/>
  <c r="AU76" i="77"/>
  <c r="AU84" i="77"/>
  <c r="AU63" i="77"/>
  <c r="AU71" i="77"/>
  <c r="AU79" i="77"/>
  <c r="AU87" i="77"/>
  <c r="AU58" i="77"/>
  <c r="AU66" i="77"/>
  <c r="AU74" i="77"/>
  <c r="AU82" i="77"/>
  <c r="AU61" i="77"/>
  <c r="AU69" i="77"/>
  <c r="AU77" i="77"/>
  <c r="AU85" i="77"/>
  <c r="AS62" i="77"/>
  <c r="BD62" i="77" s="1"/>
  <c r="AS70" i="77"/>
  <c r="BD70" i="77" s="1"/>
  <c r="AS78" i="77"/>
  <c r="BD78" i="77" s="1"/>
  <c r="AS86" i="77"/>
  <c r="BD86" i="77" s="1"/>
  <c r="AS65" i="77"/>
  <c r="AS73" i="77"/>
  <c r="BD73" i="77" s="1"/>
  <c r="AS81" i="77"/>
  <c r="BD81" i="77" s="1"/>
  <c r="AS60" i="77"/>
  <c r="AS68" i="77"/>
  <c r="BD68" i="77" s="1"/>
  <c r="AS76" i="77"/>
  <c r="BD76" i="77" s="1"/>
  <c r="AS84" i="77"/>
  <c r="BD84" i="77" s="1"/>
  <c r="AS63" i="77"/>
  <c r="BD63" i="77" s="1"/>
  <c r="AS71" i="77"/>
  <c r="BD71" i="77" s="1"/>
  <c r="AS79" i="77"/>
  <c r="AS87" i="77"/>
  <c r="BD87" i="77" s="1"/>
  <c r="AS58" i="77"/>
  <c r="BD58" i="77" s="1"/>
  <c r="AS66" i="77"/>
  <c r="BD66" i="77" s="1"/>
  <c r="AS74" i="77"/>
  <c r="BD74" i="77" s="1"/>
  <c r="AS82" i="77"/>
  <c r="BD82" i="77" s="1"/>
  <c r="AS61" i="77"/>
  <c r="BD61" i="77" s="1"/>
  <c r="AS69" i="77"/>
  <c r="BD69" i="77" s="1"/>
  <c r="AS77" i="77"/>
  <c r="BD77" i="77" s="1"/>
  <c r="AS85" i="77"/>
  <c r="AS64" i="77"/>
  <c r="BD64" i="77" s="1"/>
  <c r="AS72" i="77"/>
  <c r="BD72" i="77" s="1"/>
  <c r="AS80" i="77"/>
  <c r="BD80" i="77" s="1"/>
  <c r="AS59" i="77"/>
  <c r="BD59" i="77" s="1"/>
  <c r="AS67" i="77"/>
  <c r="BD67" i="77" s="1"/>
  <c r="AS75" i="77"/>
  <c r="AS83" i="77"/>
  <c r="BD83" i="77" s="1"/>
  <c r="AQ63" i="77"/>
  <c r="AQ71" i="77"/>
  <c r="BB71" i="77" s="1"/>
  <c r="AQ79" i="77"/>
  <c r="BB79" i="77" s="1"/>
  <c r="AQ60" i="77"/>
  <c r="AQ68" i="77"/>
  <c r="BB68" i="77" s="1"/>
  <c r="AQ76" i="77"/>
  <c r="BB76" i="77" s="1"/>
  <c r="AQ84" i="77"/>
  <c r="BB84" i="77" s="1"/>
  <c r="AQ72" i="77"/>
  <c r="BB72" i="77" s="1"/>
  <c r="AQ80" i="77"/>
  <c r="BB80" i="77" s="1"/>
  <c r="AQ65" i="77"/>
  <c r="AQ73" i="77"/>
  <c r="BB73" i="77" s="1"/>
  <c r="AQ81" i="77"/>
  <c r="BB81" i="77" s="1"/>
  <c r="AQ62" i="77"/>
  <c r="AQ70" i="77"/>
  <c r="BB70" i="77" s="1"/>
  <c r="AQ78" i="77"/>
  <c r="BB78" i="77" s="1"/>
  <c r="AQ86" i="77"/>
  <c r="BB86" i="77" s="1"/>
  <c r="AQ59" i="77"/>
  <c r="AQ67" i="77"/>
  <c r="AQ75" i="77"/>
  <c r="BB75" i="77" s="1"/>
  <c r="AQ83" i="77"/>
  <c r="BB83" i="77" s="1"/>
  <c r="AQ61" i="77"/>
  <c r="AQ69" i="77"/>
  <c r="BB69" i="77" s="1"/>
  <c r="AQ77" i="77"/>
  <c r="AQ85" i="77"/>
  <c r="BB85" i="77" s="1"/>
  <c r="AQ64" i="77"/>
  <c r="AQ58" i="77"/>
  <c r="AQ66" i="77"/>
  <c r="AQ74" i="77"/>
  <c r="BB74" i="77" s="1"/>
  <c r="AQ82" i="77"/>
  <c r="BB82" i="77" s="1"/>
  <c r="AQ87" i="77"/>
  <c r="BB87" i="77" s="1"/>
  <c r="AP60" i="77"/>
  <c r="AP68" i="77"/>
  <c r="BA68" i="77" s="1"/>
  <c r="AP76" i="77"/>
  <c r="BA76" i="77" s="1"/>
  <c r="AP84" i="77"/>
  <c r="BA84" i="77" s="1"/>
  <c r="AP85" i="77"/>
  <c r="BA85" i="77" s="1"/>
  <c r="AP65" i="77"/>
  <c r="AP73" i="77"/>
  <c r="BA73" i="77" s="1"/>
  <c r="AP81" i="77"/>
  <c r="BA81" i="77" s="1"/>
  <c r="AP62" i="77"/>
  <c r="AP70" i="77"/>
  <c r="BA70" i="77" s="1"/>
  <c r="AP78" i="77"/>
  <c r="BA78" i="77" s="1"/>
  <c r="AP86" i="77"/>
  <c r="BA86" i="77" s="1"/>
  <c r="AP59" i="77"/>
  <c r="AP67" i="77"/>
  <c r="AP75" i="77"/>
  <c r="BA75" i="77" s="1"/>
  <c r="AP83" i="77"/>
  <c r="BA83" i="77" s="1"/>
  <c r="AP64" i="77"/>
  <c r="AP72" i="77"/>
  <c r="BA72" i="77" s="1"/>
  <c r="AP80" i="77"/>
  <c r="BA80" i="77" s="1"/>
  <c r="AP61" i="77"/>
  <c r="AP69" i="77"/>
  <c r="BA69" i="77" s="1"/>
  <c r="AP58" i="77"/>
  <c r="AP66" i="77"/>
  <c r="AP74" i="77"/>
  <c r="BA74" i="77" s="1"/>
  <c r="AP82" i="77"/>
  <c r="BA82" i="77" s="1"/>
  <c r="AP87" i="77"/>
  <c r="BA87" i="77" s="1"/>
  <c r="AP77" i="77"/>
  <c r="BA77" i="77" s="1"/>
  <c r="AP63" i="77"/>
  <c r="AP71" i="77"/>
  <c r="BA71" i="77" s="1"/>
  <c r="AP79" i="77"/>
  <c r="BA79" i="77" s="1"/>
  <c r="AO65" i="77"/>
  <c r="AZ65" i="77" s="1"/>
  <c r="AO73" i="77"/>
  <c r="AZ73" i="77" s="1"/>
  <c r="AO62" i="77"/>
  <c r="AZ62" i="77" s="1"/>
  <c r="AO70" i="77"/>
  <c r="AZ70" i="77" s="1"/>
  <c r="AO78" i="77"/>
  <c r="AZ78" i="77" s="1"/>
  <c r="AO86" i="77"/>
  <c r="AZ86" i="77" s="1"/>
  <c r="AO59" i="77"/>
  <c r="AZ59" i="77" s="1"/>
  <c r="AO67" i="77"/>
  <c r="AZ67" i="77" s="1"/>
  <c r="AO75" i="77"/>
  <c r="AZ75" i="77" s="1"/>
  <c r="AO83" i="77"/>
  <c r="AZ83" i="77" s="1"/>
  <c r="AO74" i="77"/>
  <c r="AZ74" i="77" s="1"/>
  <c r="AO64" i="77"/>
  <c r="AZ64" i="77" s="1"/>
  <c r="AO72" i="77"/>
  <c r="AZ72" i="77" s="1"/>
  <c r="AO80" i="77"/>
  <c r="AZ80" i="77" s="1"/>
  <c r="AO61" i="77"/>
  <c r="AZ61" i="77" s="1"/>
  <c r="AO69" i="77"/>
  <c r="AZ69" i="77" s="1"/>
  <c r="AO77" i="77"/>
  <c r="AZ77" i="77" s="1"/>
  <c r="AO85" i="77"/>
  <c r="AZ85" i="77" s="1"/>
  <c r="AO58" i="77"/>
  <c r="AZ58" i="77" s="1"/>
  <c r="AO66" i="77"/>
  <c r="AO82" i="77"/>
  <c r="AZ82" i="77" s="1"/>
  <c r="AO63" i="77"/>
  <c r="AZ63" i="77" s="1"/>
  <c r="AO71" i="77"/>
  <c r="AZ71" i="77" s="1"/>
  <c r="AO79" i="77"/>
  <c r="AZ79" i="77" s="1"/>
  <c r="AO87" i="77"/>
  <c r="AZ87" i="77" s="1"/>
  <c r="AO81" i="77"/>
  <c r="AZ81" i="77" s="1"/>
  <c r="AO60" i="77"/>
  <c r="AZ60" i="77" s="1"/>
  <c r="AO68" i="77"/>
  <c r="AZ68" i="77" s="1"/>
  <c r="AO76" i="77"/>
  <c r="AZ76" i="77" s="1"/>
  <c r="AO84" i="77"/>
  <c r="AZ84" i="77" s="1"/>
  <c r="AN62" i="77"/>
  <c r="AY62" i="77" s="1"/>
  <c r="AN70" i="77"/>
  <c r="AY70" i="77" s="1"/>
  <c r="AN78" i="77"/>
  <c r="AY78" i="77" s="1"/>
  <c r="AN59" i="77"/>
  <c r="AY59" i="77" s="1"/>
  <c r="AN67" i="77"/>
  <c r="AY67" i="77" s="1"/>
  <c r="AN75" i="77"/>
  <c r="AY75" i="77" s="1"/>
  <c r="AN83" i="77"/>
  <c r="AY83" i="77" s="1"/>
  <c r="AN64" i="77"/>
  <c r="AY64" i="77" s="1"/>
  <c r="AN72" i="77"/>
  <c r="AY72" i="77" s="1"/>
  <c r="AN80" i="77"/>
  <c r="AY80" i="77" s="1"/>
  <c r="AN63" i="77"/>
  <c r="AY63" i="77" s="1"/>
  <c r="AN87" i="77"/>
  <c r="AY87" i="77" s="1"/>
  <c r="AN61" i="77"/>
  <c r="AY61" i="77" s="1"/>
  <c r="AN69" i="77"/>
  <c r="AY69" i="77" s="1"/>
  <c r="AN77" i="77"/>
  <c r="AY77" i="77" s="1"/>
  <c r="AN85" i="77"/>
  <c r="AY85" i="77" s="1"/>
  <c r="AN71" i="77"/>
  <c r="AY71" i="77" s="1"/>
  <c r="AN79" i="77"/>
  <c r="AY79" i="77" s="1"/>
  <c r="AN58" i="77"/>
  <c r="AY58" i="77" s="1"/>
  <c r="AN66" i="77"/>
  <c r="AY66" i="77" s="1"/>
  <c r="AN74" i="77"/>
  <c r="AY74" i="77" s="1"/>
  <c r="AN82" i="77"/>
  <c r="AY82" i="77" s="1"/>
  <c r="AN60" i="77"/>
  <c r="AY60" i="77" s="1"/>
  <c r="AN68" i="77"/>
  <c r="AY68" i="77" s="1"/>
  <c r="AN76" i="77"/>
  <c r="AY76" i="77" s="1"/>
  <c r="AN84" i="77"/>
  <c r="AY84" i="77" s="1"/>
  <c r="AN86" i="77"/>
  <c r="AY86" i="77" s="1"/>
  <c r="AN65" i="77"/>
  <c r="AY65" i="77" s="1"/>
  <c r="AN73" i="77"/>
  <c r="AY73" i="77" s="1"/>
  <c r="AN81" i="77"/>
  <c r="AY81" i="77" s="1"/>
  <c r="AM59" i="77"/>
  <c r="AX59" i="77" s="1"/>
  <c r="AM67" i="77"/>
  <c r="AX67" i="77" s="1"/>
  <c r="AM75" i="77"/>
  <c r="AX75" i="77" s="1"/>
  <c r="AM68" i="77"/>
  <c r="AX68" i="77" s="1"/>
  <c r="AM64" i="77"/>
  <c r="AX64" i="77" s="1"/>
  <c r="AM72" i="77"/>
  <c r="AX72" i="77" s="1"/>
  <c r="AM80" i="77"/>
  <c r="AX80" i="77" s="1"/>
  <c r="AM61" i="77"/>
  <c r="AX61" i="77" s="1"/>
  <c r="AM69" i="77"/>
  <c r="AX69" i="77" s="1"/>
  <c r="AM77" i="77"/>
  <c r="AX77" i="77" s="1"/>
  <c r="AM85" i="77"/>
  <c r="AX85" i="77" s="1"/>
  <c r="AM58" i="77"/>
  <c r="AX58" i="77" s="1"/>
  <c r="AM66" i="77"/>
  <c r="AX66" i="77" s="1"/>
  <c r="AM74" i="77"/>
  <c r="AX74" i="77" s="1"/>
  <c r="AM82" i="77"/>
  <c r="AX82" i="77" s="1"/>
  <c r="AM60" i="77"/>
  <c r="AX60" i="77" s="1"/>
  <c r="AM63" i="77"/>
  <c r="AX63" i="77" s="1"/>
  <c r="AM71" i="77"/>
  <c r="AX71" i="77" s="1"/>
  <c r="AM79" i="77"/>
  <c r="AX79" i="77" s="1"/>
  <c r="AM87" i="77"/>
  <c r="AX87" i="77" s="1"/>
  <c r="AM76" i="77"/>
  <c r="AX76" i="77" s="1"/>
  <c r="AM65" i="77"/>
  <c r="AX65" i="77" s="1"/>
  <c r="AM73" i="77"/>
  <c r="AX73" i="77" s="1"/>
  <c r="AM81" i="77"/>
  <c r="AX81" i="77" s="1"/>
  <c r="AM62" i="77"/>
  <c r="AX62" i="77" s="1"/>
  <c r="AM70" i="77"/>
  <c r="AX70" i="77" s="1"/>
  <c r="AM78" i="77"/>
  <c r="AX78" i="77" s="1"/>
  <c r="AM86" i="77"/>
  <c r="AX86" i="77" s="1"/>
  <c r="AM83" i="77"/>
  <c r="AX83" i="77" s="1"/>
  <c r="AM84" i="77"/>
  <c r="AX84" i="77" s="1"/>
  <c r="AX9" i="77"/>
  <c r="BA62" i="77"/>
  <c r="BD85" i="77"/>
  <c r="BD65" i="77"/>
  <c r="BB77" i="77"/>
  <c r="BD79" i="77"/>
  <c r="BD75" i="77"/>
  <c r="BD15" i="77"/>
  <c r="BD60" i="77"/>
  <c r="AZ66" i="77"/>
  <c r="D327" i="77"/>
  <c r="D326" i="77"/>
  <c r="D318" i="77"/>
  <c r="D325" i="77"/>
  <c r="D317" i="77"/>
  <c r="D316" i="77"/>
  <c r="D315" i="77"/>
  <c r="D307" i="77"/>
  <c r="D301" i="77"/>
  <c r="D295" i="77"/>
  <c r="D289" i="77"/>
  <c r="D283" i="77"/>
  <c r="D277" i="77"/>
  <c r="D271" i="77"/>
  <c r="D265" i="77"/>
  <c r="D259" i="77"/>
  <c r="D253" i="77"/>
  <c r="D247" i="77"/>
  <c r="D241" i="77"/>
  <c r="D235" i="77"/>
  <c r="D229" i="77"/>
  <c r="D223" i="77"/>
  <c r="D217" i="77"/>
  <c r="D211" i="77"/>
  <c r="D205" i="77"/>
  <c r="D199" i="77"/>
  <c r="D193" i="77"/>
  <c r="D187" i="77"/>
  <c r="D181" i="77"/>
  <c r="D175" i="77"/>
  <c r="D169" i="77"/>
  <c r="D163" i="77"/>
  <c r="D157" i="77"/>
  <c r="D151" i="77"/>
  <c r="D145" i="77"/>
  <c r="D139" i="77"/>
  <c r="D133" i="77"/>
  <c r="D127" i="77"/>
  <c r="D121" i="77"/>
  <c r="D115" i="77"/>
  <c r="D109" i="77"/>
  <c r="D103" i="77"/>
  <c r="D97" i="77"/>
  <c r="D91" i="77"/>
  <c r="D85" i="77"/>
  <c r="D79" i="77"/>
  <c r="D73" i="77"/>
  <c r="D67" i="77"/>
  <c r="D61" i="77"/>
  <c r="D55" i="77"/>
  <c r="D49" i="77"/>
  <c r="D43" i="77"/>
  <c r="D37" i="77"/>
  <c r="D31" i="77"/>
  <c r="D25" i="77"/>
  <c r="D19" i="77"/>
  <c r="D13" i="77"/>
  <c r="D306" i="77"/>
  <c r="D300" i="77"/>
  <c r="D294" i="77"/>
  <c r="D288" i="77"/>
  <c r="D282" i="77"/>
  <c r="D276" i="77"/>
  <c r="D270" i="77"/>
  <c r="D264" i="77"/>
  <c r="D258" i="77"/>
  <c r="D252" i="77"/>
  <c r="D246" i="77"/>
  <c r="D240" i="77"/>
  <c r="D234" i="77"/>
  <c r="D228" i="77"/>
  <c r="D222" i="77"/>
  <c r="D216" i="77"/>
  <c r="D210" i="77"/>
  <c r="D204" i="77"/>
  <c r="D198" i="77"/>
  <c r="D192" i="77"/>
  <c r="D186" i="77"/>
  <c r="D180" i="77"/>
  <c r="D174" i="77"/>
  <c r="D168" i="77"/>
  <c r="D162" i="77"/>
  <c r="D156" i="77"/>
  <c r="D150" i="77"/>
  <c r="D144" i="77"/>
  <c r="D138" i="77"/>
  <c r="D132" i="77"/>
  <c r="D126" i="77"/>
  <c r="D120" i="77"/>
  <c r="D114" i="77"/>
  <c r="D108" i="77"/>
  <c r="D102" i="77"/>
  <c r="D96" i="77"/>
  <c r="D90" i="77"/>
  <c r="D84" i="77"/>
  <c r="D78" i="77"/>
  <c r="D72" i="77"/>
  <c r="D66" i="77"/>
  <c r="D60" i="77"/>
  <c r="D54" i="77"/>
  <c r="D48" i="77"/>
  <c r="D42" i="77"/>
  <c r="D36" i="77"/>
  <c r="D30" i="77"/>
  <c r="D24" i="77"/>
  <c r="D18" i="77"/>
  <c r="D12" i="77"/>
  <c r="D305" i="77"/>
  <c r="D299" i="77"/>
  <c r="D293" i="77"/>
  <c r="D287" i="77"/>
  <c r="D281" i="77"/>
  <c r="D275" i="77"/>
  <c r="D269" i="77"/>
  <c r="D263" i="77"/>
  <c r="D257" i="77"/>
  <c r="D245" i="77"/>
  <c r="D239" i="77"/>
  <c r="D233" i="77"/>
  <c r="D227" i="77"/>
  <c r="D221" i="77"/>
  <c r="D215" i="77"/>
  <c r="D209" i="77"/>
  <c r="D203" i="77"/>
  <c r="D197" i="77"/>
  <c r="D191" i="77"/>
  <c r="D185" i="77"/>
  <c r="D179" i="77"/>
  <c r="D173" i="77"/>
  <c r="D167" i="77"/>
  <c r="D161" i="77"/>
  <c r="D155" i="77"/>
  <c r="D149" i="77"/>
  <c r="D143" i="77"/>
  <c r="D137" i="77"/>
  <c r="D131" i="77"/>
  <c r="D125" i="77"/>
  <c r="D119" i="77"/>
  <c r="D113" i="77"/>
  <c r="D107" i="77"/>
  <c r="D101" i="77"/>
  <c r="D95" i="77"/>
  <c r="D89" i="77"/>
  <c r="D83" i="77"/>
  <c r="D77" i="77"/>
  <c r="D71" i="77"/>
  <c r="D65" i="77"/>
  <c r="D59" i="77"/>
  <c r="D53" i="77"/>
  <c r="D47" i="77"/>
  <c r="D41" i="77"/>
  <c r="D35" i="77"/>
  <c r="D29" i="77"/>
  <c r="D23" i="77"/>
  <c r="D17" i="77"/>
  <c r="D11" i="77"/>
  <c r="D304" i="77"/>
  <c r="D298" i="77"/>
  <c r="D292" i="77"/>
  <c r="D286" i="77"/>
  <c r="D274" i="77"/>
  <c r="D268" i="77"/>
  <c r="D262" i="77"/>
  <c r="D256" i="77"/>
  <c r="D250" i="77"/>
  <c r="D244" i="77"/>
  <c r="D238" i="77"/>
  <c r="D232" i="77"/>
  <c r="D226" i="77"/>
  <c r="D214" i="77"/>
  <c r="D208" i="77"/>
  <c r="D202" i="77"/>
  <c r="D196" i="77"/>
  <c r="D190" i="77"/>
  <c r="D184" i="77"/>
  <c r="D178" i="77"/>
  <c r="D166" i="77"/>
  <c r="D160" i="77"/>
  <c r="D154" i="77"/>
  <c r="D148" i="77"/>
  <c r="D142" i="77"/>
  <c r="D136" i="77"/>
  <c r="D130" i="77"/>
  <c r="D124" i="77"/>
  <c r="D118" i="77"/>
  <c r="D112" i="77"/>
  <c r="D106" i="77"/>
  <c r="D100" i="77"/>
  <c r="D94" i="77"/>
  <c r="D88" i="77"/>
  <c r="D82" i="77"/>
  <c r="D76" i="77"/>
  <c r="D70" i="77"/>
  <c r="D64" i="77"/>
  <c r="D58" i="77"/>
  <c r="D52" i="77"/>
  <c r="D46" i="77"/>
  <c r="D40" i="77"/>
  <c r="D34" i="77"/>
  <c r="D28" i="77"/>
  <c r="D22" i="77"/>
  <c r="D16" i="77"/>
  <c r="D10" i="77"/>
  <c r="D8" i="77"/>
  <c r="D303" i="77"/>
  <c r="D297" i="77"/>
  <c r="D291" i="77"/>
  <c r="D285" i="77"/>
  <c r="D279" i="77"/>
  <c r="D273" i="77"/>
  <c r="D267" i="77"/>
  <c r="D255" i="77"/>
  <c r="D249" i="77"/>
  <c r="D243" i="77"/>
  <c r="D237" i="77"/>
  <c r="D231" i="77"/>
  <c r="D225" i="77"/>
  <c r="D219" i="77"/>
  <c r="D213" i="77"/>
  <c r="D207" i="77"/>
  <c r="D201" i="77"/>
  <c r="D195" i="77"/>
  <c r="D183" i="77"/>
  <c r="D177" i="77"/>
  <c r="D171" i="77"/>
  <c r="D165" i="77"/>
  <c r="D159" i="77"/>
  <c r="D153" i="77"/>
  <c r="D147" i="77"/>
  <c r="D141" i="77"/>
  <c r="D135" i="77"/>
  <c r="D129" i="77"/>
  <c r="D123" i="77"/>
  <c r="D117" i="77"/>
  <c r="D111" i="77"/>
  <c r="D105" i="77"/>
  <c r="D99" i="77"/>
  <c r="D93" i="77"/>
  <c r="D87" i="77"/>
  <c r="D81" i="77"/>
  <c r="D75" i="77"/>
  <c r="D69" i="77"/>
  <c r="D63" i="77"/>
  <c r="D57" i="77"/>
  <c r="D51" i="77"/>
  <c r="D45" i="77"/>
  <c r="D39" i="77"/>
  <c r="D33" i="77"/>
  <c r="D27" i="77"/>
  <c r="D21" i="77"/>
  <c r="D15" i="77"/>
  <c r="D260" i="77"/>
  <c r="D86" i="77"/>
  <c r="D74" i="77"/>
  <c r="D62" i="77"/>
  <c r="D44" i="77"/>
  <c r="D32" i="77"/>
  <c r="D20" i="77"/>
  <c r="BD46" i="77"/>
  <c r="AY12" i="77"/>
  <c r="AY24" i="77"/>
  <c r="AY50" i="77"/>
  <c r="AY9" i="77"/>
  <c r="AY22" i="77"/>
  <c r="AY14" i="77"/>
  <c r="AY49" i="77"/>
  <c r="AX8" i="77"/>
  <c r="AX14" i="77"/>
  <c r="BD14" i="77"/>
  <c r="BD20" i="77"/>
  <c r="BD31" i="77"/>
  <c r="BD11" i="77"/>
  <c r="AZ8" i="77"/>
  <c r="AX12" i="77"/>
  <c r="BD23" i="77"/>
  <c r="AZ56" i="77"/>
  <c r="BD8" i="77"/>
  <c r="AX48" i="77"/>
  <c r="BD30" i="77"/>
  <c r="BD12" i="77"/>
  <c r="BD17" i="77"/>
  <c r="BD9" i="77"/>
  <c r="AX45" i="77"/>
  <c r="AX10" i="77"/>
  <c r="AX13" i="77"/>
  <c r="BD51" i="77"/>
  <c r="BD53" i="77"/>
  <c r="BD10" i="77"/>
  <c r="BD50" i="77"/>
  <c r="AY19" i="77"/>
  <c r="BD43" i="77"/>
  <c r="BD57" i="77"/>
  <c r="BD49" i="77"/>
  <c r="BD54" i="77"/>
  <c r="BD52" i="77"/>
  <c r="AX16" i="77"/>
  <c r="AX51" i="77"/>
  <c r="AX15" i="77"/>
  <c r="AX17" i="77"/>
  <c r="AX30" i="77"/>
  <c r="AX37" i="77"/>
  <c r="AX22" i="77"/>
  <c r="AY42" i="77"/>
  <c r="AY47" i="77"/>
  <c r="AY16" i="77"/>
  <c r="AY15" i="77"/>
  <c r="AX41" i="77"/>
  <c r="AX23" i="77"/>
  <c r="AX25" i="77"/>
  <c r="AX28" i="77"/>
  <c r="AX52" i="77"/>
  <c r="AY21" i="77"/>
  <c r="AY55" i="77"/>
  <c r="AX20" i="77"/>
  <c r="BD38" i="77"/>
  <c r="BD39" i="77"/>
  <c r="BD18" i="77"/>
  <c r="BD19" i="77"/>
  <c r="AY54" i="77"/>
  <c r="AZ54" i="77"/>
  <c r="AX31" i="77"/>
  <c r="AX33" i="77"/>
  <c r="BD37" i="77"/>
  <c r="BD34" i="77"/>
  <c r="AX43" i="77"/>
  <c r="AX36" i="77"/>
  <c r="AX40" i="77"/>
  <c r="AX19" i="77"/>
  <c r="AX53" i="77"/>
  <c r="AX38" i="77"/>
  <c r="AX27" i="77"/>
  <c r="AX56" i="77"/>
  <c r="AY40" i="77"/>
  <c r="AY35" i="77"/>
  <c r="AY26" i="77"/>
  <c r="AY20" i="77"/>
  <c r="AY34" i="77"/>
  <c r="BD41" i="77"/>
  <c r="BD44" i="77"/>
  <c r="BD16" i="77"/>
  <c r="AX44" i="77"/>
  <c r="AX50" i="77"/>
  <c r="AX42" i="77"/>
  <c r="BD45" i="77"/>
  <c r="BD26" i="77"/>
  <c r="BD29" i="77"/>
  <c r="BD22" i="77"/>
  <c r="BD24" i="77"/>
  <c r="BD27" i="77"/>
  <c r="BD55" i="77"/>
  <c r="BD35" i="77"/>
  <c r="BD42" i="77"/>
  <c r="BD21" i="77"/>
  <c r="AY27" i="77"/>
  <c r="AY29" i="77"/>
  <c r="AY57" i="77"/>
  <c r="AY45" i="77"/>
  <c r="E352" i="77"/>
  <c r="E337" i="77"/>
  <c r="E345" i="77"/>
  <c r="E160" i="77"/>
  <c r="E13" i="77"/>
  <c r="E86" i="77"/>
  <c r="E187" i="77"/>
  <c r="E298" i="77"/>
  <c r="E153" i="77"/>
  <c r="E303" i="77"/>
  <c r="E162" i="77"/>
  <c r="E45" i="77"/>
  <c r="E258" i="77"/>
  <c r="E219" i="77"/>
  <c r="E64" i="77"/>
  <c r="E147" i="77"/>
  <c r="E205" i="77"/>
  <c r="E301" i="77"/>
  <c r="E40" i="77"/>
  <c r="E144" i="77"/>
  <c r="E60" i="77"/>
  <c r="E112" i="77"/>
  <c r="E229" i="77"/>
  <c r="E18" i="77"/>
  <c r="E217" i="77"/>
  <c r="E145" i="77"/>
  <c r="E24" i="77"/>
  <c r="E81" i="77"/>
  <c r="E276" i="77"/>
  <c r="E87" i="77"/>
  <c r="E21" i="77"/>
  <c r="E67" i="77"/>
  <c r="E138" i="77"/>
  <c r="E226" i="77"/>
  <c r="E207" i="77"/>
  <c r="E141" i="77"/>
  <c r="E306" i="77"/>
  <c r="E253" i="77"/>
  <c r="E270" i="77"/>
  <c r="E66" i="77"/>
  <c r="E356" i="77"/>
  <c r="E343" i="77"/>
  <c r="E351" i="77"/>
  <c r="E10" i="77"/>
  <c r="E58" i="77"/>
  <c r="E274" i="77"/>
  <c r="E262" i="77"/>
  <c r="E127" i="77"/>
  <c r="E48" i="77"/>
  <c r="E142" i="77"/>
  <c r="E157" i="77"/>
  <c r="E8" i="77"/>
  <c r="E109" i="77"/>
  <c r="E260" i="77"/>
  <c r="E75" i="77"/>
  <c r="E123" i="77"/>
  <c r="E256" i="77"/>
  <c r="E179" i="77"/>
  <c r="E183" i="77"/>
  <c r="E90" i="77"/>
  <c r="E240" i="77"/>
  <c r="E327" i="77"/>
  <c r="E27" i="77"/>
  <c r="E118" i="77"/>
  <c r="E61" i="77"/>
  <c r="E292" i="77"/>
  <c r="E106" i="77"/>
  <c r="E196" i="77"/>
  <c r="E89" i="77"/>
  <c r="E47" i="77"/>
  <c r="E77" i="77"/>
  <c r="E23" i="77"/>
  <c r="E69" i="77"/>
  <c r="E246" i="77"/>
  <c r="E168" i="77"/>
  <c r="E348" i="77"/>
  <c r="E289" i="77"/>
  <c r="E161" i="77"/>
  <c r="E213" i="77"/>
  <c r="E49" i="77"/>
  <c r="E354" i="77"/>
  <c r="E335" i="77"/>
  <c r="E344" i="77"/>
  <c r="E339" i="77"/>
  <c r="E166" i="77"/>
  <c r="E231" i="77"/>
  <c r="E315" i="77"/>
  <c r="E100" i="77"/>
  <c r="E107" i="77"/>
  <c r="E53" i="77"/>
  <c r="E159" i="77"/>
  <c r="E203" i="77"/>
  <c r="E143" i="77"/>
  <c r="E228" i="77"/>
  <c r="E232" i="77"/>
  <c r="E114" i="77"/>
  <c r="E11" i="77"/>
  <c r="E35" i="77"/>
  <c r="E297" i="77"/>
  <c r="E139" i="77"/>
  <c r="E102" i="77"/>
  <c r="E36" i="77"/>
  <c r="E316" i="77"/>
  <c r="E180" i="77"/>
  <c r="E288" i="77"/>
  <c r="E227" i="77"/>
  <c r="E31" i="77"/>
  <c r="E305" i="77"/>
  <c r="E198" i="77"/>
  <c r="E131" i="77"/>
  <c r="E126" i="77"/>
  <c r="E70" i="77"/>
  <c r="E125" i="77"/>
  <c r="E19" i="77"/>
  <c r="E101" i="77"/>
  <c r="E132" i="77"/>
  <c r="E214" i="77"/>
  <c r="E33" i="77"/>
  <c r="E222" i="77"/>
  <c r="E41" i="77"/>
  <c r="E210" i="77"/>
  <c r="E346" i="77"/>
  <c r="E353" i="77"/>
  <c r="E338" i="77"/>
  <c r="E124" i="77"/>
  <c r="E15" i="77"/>
  <c r="E234" i="77"/>
  <c r="E83" i="77"/>
  <c r="E235" i="77"/>
  <c r="E281" i="77"/>
  <c r="E79" i="77"/>
  <c r="E186" i="77"/>
  <c r="E192" i="77"/>
  <c r="E267" i="77"/>
  <c r="E37" i="77"/>
  <c r="E154" i="77"/>
  <c r="E225" i="77"/>
  <c r="E195" i="77"/>
  <c r="E85" i="77"/>
  <c r="E51" i="77"/>
  <c r="E238" i="77"/>
  <c r="E52" i="77"/>
  <c r="E150" i="77"/>
  <c r="E135" i="77"/>
  <c r="E57" i="77"/>
  <c r="E259" i="77"/>
  <c r="E34" i="77"/>
  <c r="E249" i="77"/>
  <c r="E325" i="77"/>
  <c r="E285" i="77"/>
  <c r="E307" i="77"/>
  <c r="E252" i="77"/>
  <c r="E93" i="77"/>
  <c r="E95" i="77"/>
  <c r="E94" i="77"/>
  <c r="E264" i="77"/>
  <c r="E115" i="77"/>
  <c r="E341" i="77"/>
  <c r="E111" i="77"/>
  <c r="E39" i="77"/>
  <c r="E130" i="77"/>
  <c r="E78" i="77"/>
  <c r="E250" i="77"/>
  <c r="E350" i="77"/>
  <c r="E357" i="77"/>
  <c r="E342" i="77"/>
  <c r="E55" i="77"/>
  <c r="E317" i="77"/>
  <c r="E202" i="77"/>
  <c r="E72" i="77"/>
  <c r="E257" i="77"/>
  <c r="E282" i="77"/>
  <c r="E184" i="77"/>
  <c r="E105" i="77"/>
  <c r="E74" i="77"/>
  <c r="E171" i="77"/>
  <c r="E287" i="77"/>
  <c r="E16" i="77"/>
  <c r="E300" i="77"/>
  <c r="E181" i="77"/>
  <c r="E30" i="77"/>
  <c r="E155" i="77"/>
  <c r="E241" i="77"/>
  <c r="E245" i="77"/>
  <c r="E42" i="77"/>
  <c r="E121" i="77"/>
  <c r="E71" i="77"/>
  <c r="E120" i="77"/>
  <c r="E129" i="77"/>
  <c r="E136" i="77"/>
  <c r="E54" i="77"/>
  <c r="E193" i="77"/>
  <c r="E99" i="77"/>
  <c r="E204" i="77"/>
  <c r="E96" i="77"/>
  <c r="E191" i="77"/>
  <c r="E197" i="77"/>
  <c r="E44" i="77"/>
  <c r="E22" i="77"/>
  <c r="E336" i="77"/>
  <c r="E283" i="77"/>
  <c r="E65" i="77"/>
  <c r="E299" i="77"/>
  <c r="E84" i="77"/>
  <c r="E355" i="77"/>
  <c r="E349" i="77"/>
  <c r="E334" i="77"/>
  <c r="E46" i="77"/>
  <c r="E17" i="77"/>
  <c r="E97" i="77"/>
  <c r="E149" i="77"/>
  <c r="E175" i="77"/>
  <c r="E91" i="77"/>
  <c r="E318" i="77"/>
  <c r="E216" i="77"/>
  <c r="E201" i="77"/>
  <c r="E117" i="77"/>
  <c r="E185" i="77"/>
  <c r="E151" i="77"/>
  <c r="E133" i="77"/>
  <c r="E223" i="77"/>
  <c r="E174" i="77"/>
  <c r="E73" i="77"/>
  <c r="E221" i="77"/>
  <c r="E165" i="77"/>
  <c r="E268" i="77"/>
  <c r="E199" i="77"/>
  <c r="E177" i="77"/>
  <c r="E173" i="77"/>
  <c r="E275" i="77"/>
  <c r="E271" i="77"/>
  <c r="E269" i="77"/>
  <c r="E211" i="77"/>
  <c r="E209" i="77"/>
  <c r="E63" i="77"/>
  <c r="E243" i="77"/>
  <c r="E215" i="77"/>
  <c r="E163" i="77"/>
  <c r="E59" i="77"/>
  <c r="E190" i="77"/>
  <c r="E156" i="77"/>
  <c r="E294" i="77"/>
  <c r="E167" i="77"/>
  <c r="E347" i="77"/>
  <c r="E358" i="77"/>
  <c r="E340" i="77"/>
  <c r="E255" i="77"/>
  <c r="E169" i="77"/>
  <c r="E137" i="77"/>
  <c r="E265" i="77"/>
  <c r="E286" i="77"/>
  <c r="E291" i="77"/>
  <c r="E273" i="77"/>
  <c r="E244" i="77"/>
  <c r="E82" i="77"/>
  <c r="E108" i="77"/>
  <c r="E178" i="77"/>
  <c r="E88" i="77"/>
  <c r="E233" i="77"/>
  <c r="E62" i="77"/>
  <c r="E237" i="77"/>
  <c r="E20" i="77"/>
  <c r="E295" i="77"/>
  <c r="E293" i="77"/>
  <c r="E25" i="77"/>
  <c r="E263" i="77"/>
  <c r="E304" i="77"/>
  <c r="E119" i="77"/>
  <c r="E29" i="77"/>
  <c r="E43" i="77"/>
  <c r="E103" i="77"/>
  <c r="E148" i="77"/>
  <c r="E12" i="77"/>
  <c r="E326" i="77"/>
  <c r="E113" i="77"/>
  <c r="E239" i="77"/>
  <c r="E208" i="77"/>
  <c r="E32" i="77"/>
  <c r="E28" i="77"/>
  <c r="E247" i="77"/>
  <c r="E277" i="77"/>
  <c r="E279" i="77"/>
  <c r="E76" i="77"/>
  <c r="BA63" i="77" l="1"/>
  <c r="BA66" i="77"/>
  <c r="BA64" i="77"/>
  <c r="BA67" i="77"/>
  <c r="BA65" i="77"/>
  <c r="BB66" i="77"/>
  <c r="BB64" i="77"/>
  <c r="BB67" i="77"/>
  <c r="BB65" i="77"/>
  <c r="BB63" i="77"/>
  <c r="BA59" i="77"/>
  <c r="BA61" i="77"/>
  <c r="BB58" i="77"/>
  <c r="BB59" i="77"/>
  <c r="BA60" i="77"/>
  <c r="BB61" i="77"/>
  <c r="BB62" i="77"/>
  <c r="BA58" i="77"/>
  <c r="BB60" i="77"/>
  <c r="AZ22" i="77"/>
  <c r="AZ29" i="77"/>
  <c r="AZ36" i="77"/>
  <c r="AZ45" i="77"/>
  <c r="BA23" i="77"/>
  <c r="BA25" i="77"/>
  <c r="BA41" i="77"/>
  <c r="BA43" i="77"/>
  <c r="BA45" i="77"/>
  <c r="BA57" i="77"/>
  <c r="BB27" i="77"/>
  <c r="BB51" i="77"/>
  <c r="BB53" i="77"/>
  <c r="BB55" i="77"/>
  <c r="AZ17" i="77"/>
  <c r="AZ24" i="77"/>
  <c r="AZ27" i="77"/>
  <c r="AZ32" i="77"/>
  <c r="AZ37" i="77"/>
  <c r="AZ41" i="77"/>
  <c r="AZ49" i="77"/>
  <c r="AZ51" i="77"/>
  <c r="BA28" i="77"/>
  <c r="BA48" i="77"/>
  <c r="BA50" i="77"/>
  <c r="BB14" i="77"/>
  <c r="BB20" i="77"/>
  <c r="BB30" i="77"/>
  <c r="BB32" i="77"/>
  <c r="BB36" i="77"/>
  <c r="BB38" i="77"/>
  <c r="BB40" i="77"/>
  <c r="BB42" i="77"/>
  <c r="BB44" i="77"/>
  <c r="BB46" i="77"/>
  <c r="BB52" i="77"/>
  <c r="AZ18" i="77"/>
  <c r="AZ25" i="77"/>
  <c r="AZ33" i="77"/>
  <c r="AZ39" i="77"/>
  <c r="AZ43" i="77"/>
  <c r="AZ46" i="77"/>
  <c r="AZ53" i="77"/>
  <c r="BA19" i="77"/>
  <c r="BA27" i="77"/>
  <c r="BA51" i="77"/>
  <c r="BA53" i="77"/>
  <c r="BA55" i="77"/>
  <c r="BB15" i="77"/>
  <c r="BB21" i="77"/>
  <c r="BB29" i="77"/>
  <c r="BB31" i="77"/>
  <c r="BB33" i="77"/>
  <c r="BB35" i="77"/>
  <c r="BB37" i="77"/>
  <c r="BB39" i="77"/>
  <c r="BB47" i="77"/>
  <c r="BB49" i="77"/>
  <c r="AZ19" i="77"/>
  <c r="AZ30" i="77"/>
  <c r="AZ34" i="77"/>
  <c r="AZ35" i="77"/>
  <c r="AZ42" i="77"/>
  <c r="AZ47" i="77"/>
  <c r="AZ50" i="77"/>
  <c r="BA14" i="77"/>
  <c r="BA20" i="77"/>
  <c r="BA30" i="77"/>
  <c r="BA32" i="77"/>
  <c r="BA36" i="77"/>
  <c r="BA38" i="77"/>
  <c r="BA40" i="77"/>
  <c r="BA42" i="77"/>
  <c r="BA44" i="77"/>
  <c r="BA46" i="77"/>
  <c r="BA52" i="77"/>
  <c r="BB16" i="77"/>
  <c r="BB22" i="77"/>
  <c r="BB24" i="77"/>
  <c r="BB26" i="77"/>
  <c r="BB34" i="77"/>
  <c r="BB54" i="77"/>
  <c r="BB56" i="77"/>
  <c r="AZ14" i="77"/>
  <c r="AZ20" i="77"/>
  <c r="AZ23" i="77"/>
  <c r="AZ28" i="77"/>
  <c r="AZ31" i="77"/>
  <c r="AZ38" i="77"/>
  <c r="AZ44" i="77"/>
  <c r="BA15" i="77"/>
  <c r="BA21" i="77"/>
  <c r="BA29" i="77"/>
  <c r="BA31" i="77"/>
  <c r="BA33" i="77"/>
  <c r="BA35" i="77"/>
  <c r="BA37" i="77"/>
  <c r="BA39" i="77"/>
  <c r="BA47" i="77"/>
  <c r="BA49" i="77"/>
  <c r="BB17" i="77"/>
  <c r="BB23" i="77"/>
  <c r="BB25" i="77"/>
  <c r="BB41" i="77"/>
  <c r="BB43" i="77"/>
  <c r="BB45" i="77"/>
  <c r="BB57" i="77"/>
  <c r="AZ15" i="77"/>
  <c r="AZ21" i="77"/>
  <c r="AZ26" i="77"/>
  <c r="AZ40" i="77"/>
  <c r="AZ48" i="77"/>
  <c r="AZ52" i="77"/>
  <c r="BA16" i="77"/>
  <c r="BA22" i="77"/>
  <c r="BA24" i="77"/>
  <c r="BA26" i="77"/>
  <c r="BA34" i="77"/>
  <c r="BA54" i="77"/>
  <c r="BA56" i="77"/>
  <c r="BB18" i="77"/>
  <c r="BB28" i="77"/>
  <c r="BB48" i="77"/>
  <c r="BB50" i="77"/>
  <c r="BA18" i="77"/>
  <c r="AZ16" i="77"/>
  <c r="BB19" i="77"/>
  <c r="BA17" i="77"/>
  <c r="AZ13" i="77"/>
  <c r="AZ12" i="77"/>
  <c r="AZ11" i="77"/>
  <c r="AZ10" i="77"/>
  <c r="BA13" i="77"/>
  <c r="BA8" i="77"/>
  <c r="BA12" i="77"/>
  <c r="BA11" i="77"/>
  <c r="BA10" i="77"/>
  <c r="BA9" i="77"/>
  <c r="BB11" i="77"/>
  <c r="BB12" i="77"/>
  <c r="BB10" i="77"/>
  <c r="BB9" i="77"/>
  <c r="BB8" i="77"/>
  <c r="BB13" i="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作者</author>
    <author>admin</author>
  </authors>
  <commentList>
    <comment ref="AC6" authorId="0" shapeId="0" xr:uid="{84E8669B-D0D7-486B-A67B-E5E4F74AE228}">
      <text>
        <r>
          <rPr>
            <b/>
            <sz val="9"/>
            <color indexed="81"/>
            <rFont val="宋体"/>
            <family val="3"/>
            <charset val="134"/>
          </rPr>
          <t>包含城建、招募、训练、治疗</t>
        </r>
      </text>
    </comment>
    <comment ref="AP7" authorId="0" shapeId="0" xr:uid="{0B2C8025-6AB3-4C95-81E4-9F2E97613266}">
      <text>
        <r>
          <rPr>
            <b/>
            <sz val="9"/>
            <color indexed="81"/>
            <rFont val="宋体"/>
            <family val="3"/>
            <charset val="134"/>
          </rPr>
          <t>包含直接奖励和宝箱奖励</t>
        </r>
      </text>
    </comment>
    <comment ref="BD7" authorId="1" shapeId="0" xr:uid="{35BAD705-24E2-4585-9D0D-F2BB60861621}">
      <text>
        <r>
          <rPr>
            <b/>
            <sz val="9"/>
            <color indexed="81"/>
            <rFont val="宋体"/>
            <family val="3"/>
            <charset val="134"/>
          </rPr>
          <t>折算成城建、招募、训练、治疗这4种加速道具，招募要乘2</t>
        </r>
      </text>
    </comment>
    <comment ref="AU58" authorId="0" shapeId="0" xr:uid="{A149A65B-8A66-4349-8076-4799BAA61F29}">
      <text>
        <r>
          <rPr>
            <b/>
            <sz val="9"/>
            <color indexed="81"/>
            <rFont val="宋体"/>
            <family val="3"/>
            <charset val="134"/>
          </rPr>
          <t>后续按照每级大殿对应10个推荐任务进行推荐任务设计，每个任务5个积分</t>
        </r>
      </text>
    </comment>
    <comment ref="I280" authorId="2" shapeId="0" xr:uid="{9BC5EFBB-3E99-4B3C-A888-3E0D691A0218}">
      <text>
        <r>
          <rPr>
            <b/>
            <sz val="9"/>
            <color indexed="81"/>
            <rFont val="宋体"/>
            <family val="3"/>
            <charset val="134"/>
          </rPr>
          <t>当前上限为150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</authors>
  <commentList>
    <comment ref="Z28" authorId="0" shapeId="0" xr:uid="{085DD5D9-3979-4D99-A594-C45851AC18AE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</commentList>
</comments>
</file>

<file path=xl/sharedStrings.xml><?xml version="1.0" encoding="utf-8"?>
<sst xmlns="http://schemas.openxmlformats.org/spreadsheetml/2006/main" count="1729" uniqueCount="805">
  <si>
    <t>等级</t>
  </si>
  <si>
    <t>紫</t>
  </si>
  <si>
    <t>紫1</t>
  </si>
  <si>
    <t>橙</t>
  </si>
  <si>
    <t>橙1</t>
  </si>
  <si>
    <t>红</t>
  </si>
  <si>
    <t>爵位材料消耗</t>
    <phoneticPr fontId="1" type="noConversion"/>
  </si>
  <si>
    <t>武将觉醒材料消耗</t>
    <phoneticPr fontId="1" type="noConversion"/>
  </si>
  <si>
    <t>累积产出</t>
  </si>
  <si>
    <t>爵位材料占比</t>
    <phoneticPr fontId="1" type="noConversion"/>
  </si>
  <si>
    <t>觉醒材料占比</t>
    <phoneticPr fontId="1" type="noConversion"/>
  </si>
  <si>
    <t>每个等级材料总消耗</t>
    <phoneticPr fontId="1" type="noConversion"/>
  </si>
  <si>
    <t>每个等级爵位消耗占总消耗的比值</t>
    <phoneticPr fontId="1" type="noConversion"/>
  </si>
  <si>
    <t>每个等级武将觉醒消耗占总消耗的比值</t>
    <phoneticPr fontId="1" type="noConversion"/>
  </si>
  <si>
    <t>农田</t>
  </si>
  <si>
    <t>民居</t>
  </si>
  <si>
    <t/>
  </si>
  <si>
    <t>解锁医馆</t>
    <phoneticPr fontId="1" type="noConversion"/>
  </si>
  <si>
    <t>大殿等级</t>
    <phoneticPr fontId="1" type="noConversion"/>
  </si>
  <si>
    <t>天数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</si>
  <si>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</si>
  <si>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</si>
  <si>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</si>
  <si>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</si>
  <si>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</si>
  <si>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大殿等级累积停留时间(天）</t>
  </si>
  <si>
    <t>大殿等级</t>
  </si>
  <si>
    <t>推荐任务类型</t>
    <phoneticPr fontId="1" type="noConversion"/>
  </si>
  <si>
    <t>非推荐任务类型</t>
    <phoneticPr fontId="1" type="noConversion"/>
  </si>
  <si>
    <t>玩家阶段</t>
    <phoneticPr fontId="1" type="noConversion"/>
  </si>
  <si>
    <t>预估累计天数</t>
    <phoneticPr fontId="1" type="noConversion"/>
  </si>
  <si>
    <t>推荐任务1</t>
    <phoneticPr fontId="1" type="noConversion"/>
  </si>
  <si>
    <t>推荐任务2</t>
  </si>
  <si>
    <t>推荐任务3</t>
  </si>
  <si>
    <t>推荐任务4</t>
  </si>
  <si>
    <t>城内</t>
    <phoneticPr fontId="1" type="noConversion"/>
  </si>
  <si>
    <t>城建到X级</t>
    <phoneticPr fontId="1" type="noConversion"/>
  </si>
  <si>
    <t>新手</t>
    <phoneticPr fontId="1" type="noConversion"/>
  </si>
  <si>
    <t>城防科技等级达到X级</t>
    <phoneticPr fontId="1" type="noConversion"/>
  </si>
  <si>
    <t>累计获得圣人天赋点X个</t>
    <phoneticPr fontId="1" type="noConversion"/>
  </si>
  <si>
    <t>累计解锁X个圣人派系</t>
    <phoneticPr fontId="1" type="noConversion"/>
  </si>
  <si>
    <t>累计获得X个门客</t>
    <phoneticPr fontId="1" type="noConversion"/>
  </si>
  <si>
    <t>使用1次门客技能</t>
    <phoneticPr fontId="1" type="noConversion"/>
  </si>
  <si>
    <t>上阵X个门客</t>
    <phoneticPr fontId="1" type="noConversion"/>
  </si>
  <si>
    <t>加速道具使用</t>
    <phoneticPr fontId="1" type="noConversion"/>
  </si>
  <si>
    <t>累计城建加速时间</t>
    <phoneticPr fontId="1" type="noConversion"/>
  </si>
  <si>
    <t>累计招募加速时间</t>
    <phoneticPr fontId="1" type="noConversion"/>
  </si>
  <si>
    <t>累计训练加速时间</t>
    <phoneticPr fontId="1" type="noConversion"/>
  </si>
  <si>
    <t>招募步兵</t>
    <phoneticPr fontId="1" type="noConversion"/>
  </si>
  <si>
    <t>武将</t>
    <phoneticPr fontId="1" type="noConversion"/>
  </si>
  <si>
    <t>累计武将获得</t>
    <phoneticPr fontId="1" type="noConversion"/>
  </si>
  <si>
    <t>武将升到X星</t>
    <phoneticPr fontId="1" type="noConversion"/>
  </si>
  <si>
    <t>武将升到X级</t>
    <phoneticPr fontId="1" type="noConversion"/>
  </si>
  <si>
    <t>武将觉醒X次</t>
    <phoneticPr fontId="1" type="noConversion"/>
  </si>
  <si>
    <t>士兵</t>
    <phoneticPr fontId="1" type="noConversion"/>
  </si>
  <si>
    <t>累计招募士兵</t>
    <phoneticPr fontId="1" type="noConversion"/>
  </si>
  <si>
    <t>招募骑兵</t>
    <phoneticPr fontId="1" type="noConversion"/>
  </si>
  <si>
    <t>累计治疗士兵</t>
    <phoneticPr fontId="1" type="noConversion"/>
  </si>
  <si>
    <t>获得XX特产兵</t>
    <phoneticPr fontId="1" type="noConversion"/>
  </si>
  <si>
    <t>兵法</t>
    <phoneticPr fontId="1" type="noConversion"/>
  </si>
  <si>
    <t>累计兵法获得数量</t>
    <phoneticPr fontId="1" type="noConversion"/>
  </si>
  <si>
    <t>X个兵法升到X级</t>
    <phoneticPr fontId="1" type="noConversion"/>
  </si>
  <si>
    <t>兵法升级X次</t>
    <phoneticPr fontId="1" type="noConversion"/>
  </si>
  <si>
    <t>招募弓兵</t>
    <phoneticPr fontId="1" type="noConversion"/>
  </si>
  <si>
    <t>装备</t>
    <phoneticPr fontId="1" type="noConversion"/>
  </si>
  <si>
    <t>获得X件装备</t>
    <phoneticPr fontId="1" type="noConversion"/>
  </si>
  <si>
    <t>获得1件X品质的装备</t>
    <phoneticPr fontId="1" type="noConversion"/>
  </si>
  <si>
    <t>累计凑齐X套装备（套装生效）</t>
    <phoneticPr fontId="1" type="noConversion"/>
  </si>
  <si>
    <t>点将</t>
    <phoneticPr fontId="1" type="noConversion"/>
  </si>
  <si>
    <t>累计普通点将次数</t>
    <phoneticPr fontId="1" type="noConversion"/>
  </si>
  <si>
    <t>累计高级点将次数</t>
    <phoneticPr fontId="1" type="noConversion"/>
  </si>
  <si>
    <t>副本通关</t>
    <phoneticPr fontId="1" type="noConversion"/>
  </si>
  <si>
    <t>大地图</t>
    <phoneticPr fontId="1" type="noConversion"/>
  </si>
  <si>
    <t>累计消耗X个行军令</t>
    <phoneticPr fontId="1" type="noConversion"/>
  </si>
  <si>
    <t>大地图打指定/任意野X次</t>
    <phoneticPr fontId="1" type="noConversion"/>
  </si>
  <si>
    <t>大地图采集指定/任意资源点X次</t>
    <phoneticPr fontId="1" type="noConversion"/>
  </si>
  <si>
    <t>大地图掠夺X次</t>
    <phoneticPr fontId="1" type="noConversion"/>
  </si>
  <si>
    <t>大地图攻城X次</t>
    <phoneticPr fontId="1" type="noConversion"/>
  </si>
  <si>
    <t>累计占领X个村庄</t>
    <phoneticPr fontId="1" type="noConversion"/>
  </si>
  <si>
    <t>累计占领X个城镇</t>
    <phoneticPr fontId="1" type="noConversion"/>
  </si>
  <si>
    <t>军团</t>
    <phoneticPr fontId="1" type="noConversion"/>
  </si>
  <si>
    <t>军团累计占领X个县城</t>
    <phoneticPr fontId="1" type="noConversion"/>
  </si>
  <si>
    <t>军团累计占领X个据点</t>
    <phoneticPr fontId="1" type="noConversion"/>
  </si>
  <si>
    <t>军团累计捐献X次</t>
    <phoneticPr fontId="1" type="noConversion"/>
  </si>
  <si>
    <t>国家</t>
    <phoneticPr fontId="1" type="noConversion"/>
  </si>
  <si>
    <t>国家拥有X个城池</t>
    <phoneticPr fontId="1" type="noConversion"/>
  </si>
  <si>
    <t>当选国王</t>
    <phoneticPr fontId="1" type="noConversion"/>
  </si>
  <si>
    <t>当选三公</t>
    <phoneticPr fontId="1" type="noConversion"/>
  </si>
  <si>
    <t>当选九卿</t>
    <phoneticPr fontId="1" type="noConversion"/>
  </si>
  <si>
    <t>当选散人</t>
    <phoneticPr fontId="1" type="noConversion"/>
  </si>
  <si>
    <t>领取X次俸禄</t>
    <phoneticPr fontId="1" type="noConversion"/>
  </si>
  <si>
    <t>支援X次国建</t>
    <phoneticPr fontId="1" type="noConversion"/>
  </si>
  <si>
    <t>完成X个变法任务</t>
    <phoneticPr fontId="1" type="noConversion"/>
  </si>
  <si>
    <t>其它</t>
    <phoneticPr fontId="1" type="noConversion"/>
  </si>
  <si>
    <t>累计登录X天</t>
    <phoneticPr fontId="1" type="noConversion"/>
  </si>
  <si>
    <t>竞技场排名进入X名以内</t>
    <phoneticPr fontId="1" type="noConversion"/>
  </si>
  <si>
    <t>中期</t>
    <phoneticPr fontId="1" type="noConversion"/>
  </si>
  <si>
    <t>后期</t>
    <phoneticPr fontId="1" type="noConversion"/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</si>
  <si>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</si>
  <si>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</si>
  <si>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</si>
  <si>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大殿等级阶段停留时间（天）</t>
  </si>
  <si>
    <t>天数对应大殿等级</t>
    <phoneticPr fontId="1" type="noConversion"/>
  </si>
  <si>
    <t>预估养成队伍数量</t>
    <phoneticPr fontId="1" type="noConversion"/>
  </si>
  <si>
    <t>等级</t>
    <phoneticPr fontId="1" type="noConversion"/>
  </si>
  <si>
    <t>最小大殿等级</t>
    <phoneticPr fontId="1" type="noConversion"/>
  </si>
  <si>
    <t>对应大殿等级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</si>
  <si>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</si>
  <si>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</si>
  <si>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</si>
  <si>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细分阶段</t>
    <phoneticPr fontId="1" type="noConversion"/>
  </si>
  <si>
    <t>模块</t>
    <phoneticPr fontId="1" type="noConversion"/>
  </si>
  <si>
    <t>非推荐任务1</t>
    <phoneticPr fontId="1" type="noConversion"/>
  </si>
  <si>
    <t>非推荐任务2</t>
  </si>
  <si>
    <t>非推荐任务3</t>
  </si>
  <si>
    <t>非推荐任务4</t>
  </si>
  <si>
    <t>非推荐任务5</t>
  </si>
  <si>
    <t>非推荐任务6</t>
  </si>
  <si>
    <t>抽卡</t>
    <phoneticPr fontId="1" type="noConversion"/>
  </si>
  <si>
    <t>爵位</t>
    <phoneticPr fontId="1" type="noConversion"/>
  </si>
  <si>
    <t>累计消耗木</t>
    <phoneticPr fontId="1" type="noConversion"/>
  </si>
  <si>
    <t>累计消耗石</t>
    <phoneticPr fontId="1" type="noConversion"/>
  </si>
  <si>
    <t>累计消耗铜</t>
    <phoneticPr fontId="1" type="noConversion"/>
  </si>
  <si>
    <t>累计消耗粮</t>
    <phoneticPr fontId="1" type="noConversion"/>
  </si>
  <si>
    <t>累计消耗铁</t>
    <phoneticPr fontId="1" type="noConversion"/>
  </si>
  <si>
    <t>累计消耗刀币</t>
    <phoneticPr fontId="1" type="noConversion"/>
  </si>
  <si>
    <t>累计获得木</t>
  </si>
  <si>
    <t>累计获得石</t>
  </si>
  <si>
    <t>累计获得铜</t>
  </si>
  <si>
    <t>累计获得粮</t>
  </si>
  <si>
    <t>累计获得铁</t>
  </si>
  <si>
    <t>累计获得刀币</t>
  </si>
  <si>
    <t>装备个数等级</t>
    <phoneticPr fontId="1" type="noConversion"/>
  </si>
  <si>
    <t>武将个数等级</t>
    <phoneticPr fontId="1" type="noConversion"/>
  </si>
  <si>
    <t>门客数量</t>
    <phoneticPr fontId="1" type="noConversion"/>
  </si>
  <si>
    <t>圣人好感</t>
    <phoneticPr fontId="1" type="noConversion"/>
  </si>
  <si>
    <t>兵法升级</t>
    <phoneticPr fontId="1" type="noConversion"/>
  </si>
  <si>
    <t>招募器械</t>
    <phoneticPr fontId="1" type="noConversion"/>
  </si>
  <si>
    <t>非推荐任务7</t>
  </si>
  <si>
    <t>非推荐任务8</t>
  </si>
  <si>
    <t>军团帮助</t>
    <phoneticPr fontId="1" type="noConversion"/>
  </si>
  <si>
    <t>军团攻占城池</t>
    <phoneticPr fontId="1" type="noConversion"/>
  </si>
  <si>
    <t>获得军团币</t>
    <phoneticPr fontId="1" type="noConversion"/>
  </si>
  <si>
    <t>消耗军团币</t>
    <phoneticPr fontId="1" type="noConversion"/>
  </si>
  <si>
    <t>完成变法任务次数</t>
    <phoneticPr fontId="1" type="noConversion"/>
  </si>
  <si>
    <t>支援国建次数</t>
    <phoneticPr fontId="1" type="noConversion"/>
  </si>
  <si>
    <t>获得国家币</t>
    <phoneticPr fontId="1" type="noConversion"/>
  </si>
  <si>
    <t>消耗国家币</t>
    <phoneticPr fontId="1" type="noConversion"/>
  </si>
  <si>
    <t>击败蛮族</t>
    <phoneticPr fontId="1" type="noConversion"/>
  </si>
  <si>
    <t>击败乱军</t>
    <phoneticPr fontId="1" type="noConversion"/>
  </si>
  <si>
    <t>击败盗贼</t>
    <phoneticPr fontId="1" type="noConversion"/>
  </si>
  <si>
    <t>击败精英蛮族</t>
    <phoneticPr fontId="1" type="noConversion"/>
  </si>
  <si>
    <t>击败精英乱军</t>
    <phoneticPr fontId="1" type="noConversion"/>
  </si>
  <si>
    <t>击败精英盗贼</t>
    <phoneticPr fontId="1" type="noConversion"/>
  </si>
  <si>
    <t>累计登录天数</t>
    <phoneticPr fontId="1" type="noConversion"/>
  </si>
  <si>
    <t>日常任务完成数量</t>
    <phoneticPr fontId="1" type="noConversion"/>
  </si>
  <si>
    <t>非推荐任务9</t>
  </si>
  <si>
    <t>城内木产量</t>
    <phoneticPr fontId="1" type="noConversion"/>
  </si>
  <si>
    <t>城内石产量</t>
    <phoneticPr fontId="1" type="noConversion"/>
  </si>
  <si>
    <t>城内铜产量</t>
    <phoneticPr fontId="1" type="noConversion"/>
  </si>
  <si>
    <t>城内粮产量</t>
    <phoneticPr fontId="1" type="noConversion"/>
  </si>
  <si>
    <t>城内铁产量</t>
    <phoneticPr fontId="1" type="noConversion"/>
  </si>
  <si>
    <t>城内刀币产量</t>
    <phoneticPr fontId="1" type="noConversion"/>
  </si>
  <si>
    <t>累计建筑等级</t>
    <phoneticPr fontId="1" type="noConversion"/>
  </si>
  <si>
    <t>步兵科技等级</t>
    <phoneticPr fontId="1" type="noConversion"/>
  </si>
  <si>
    <t>骑兵科技等级</t>
    <phoneticPr fontId="1" type="noConversion"/>
  </si>
  <si>
    <t>弓兵科技等级</t>
    <phoneticPr fontId="1" type="noConversion"/>
  </si>
  <si>
    <t>器械科技等级</t>
    <phoneticPr fontId="1" type="noConversion"/>
  </si>
  <si>
    <t>累计治疗士兵数量</t>
    <phoneticPr fontId="1" type="noConversion"/>
  </si>
  <si>
    <t>紫将收集数量</t>
    <phoneticPr fontId="1" type="noConversion"/>
  </si>
  <si>
    <t>橙将收集数量</t>
    <phoneticPr fontId="1" type="noConversion"/>
  </si>
  <si>
    <t>红将收集数量</t>
    <phoneticPr fontId="1" type="noConversion"/>
  </si>
  <si>
    <t>蓝将收集数量</t>
    <phoneticPr fontId="1" type="noConversion"/>
  </si>
  <si>
    <t>蓝兵法收集数量</t>
  </si>
  <si>
    <t>紫兵法收集数量</t>
  </si>
  <si>
    <t>橙兵法收集数量</t>
  </si>
  <si>
    <t>红兵法收集数量</t>
  </si>
  <si>
    <t>累积攻打国家城池x次</t>
  </si>
  <si>
    <t>累计通关</t>
  </si>
  <si>
    <t>分享次数</t>
    <phoneticPr fontId="1" type="noConversion"/>
  </si>
  <si>
    <t>显示</t>
    <phoneticPr fontId="1" type="noConversion"/>
  </si>
  <si>
    <t>累计采集石</t>
  </si>
  <si>
    <t>X个武将第1次或第2次觉醒</t>
    <phoneticPr fontId="1" type="noConversion"/>
  </si>
  <si>
    <t>激活X个指定/任意品质兵法</t>
    <phoneticPr fontId="1" type="noConversion"/>
  </si>
  <si>
    <t>任意兵法升到X星及以上</t>
    <phoneticPr fontId="1" type="noConversion"/>
  </si>
  <si>
    <t>X个兵法升到X星及以上</t>
    <phoneticPr fontId="1" type="noConversion"/>
  </si>
  <si>
    <t>招募XX个指定或任意类型士兵</t>
    <phoneticPr fontId="1" type="noConversion"/>
  </si>
  <si>
    <t>治疗XX个指定或任意类型士兵</t>
    <phoneticPr fontId="1" type="noConversion"/>
  </si>
  <si>
    <t>士兵训练XXXX升至X级</t>
    <phoneticPr fontId="1" type="noConversion"/>
  </si>
  <si>
    <t>坚守城池守住1波</t>
    <phoneticPr fontId="1" type="noConversion"/>
  </si>
  <si>
    <t>坚守城池通关XX难度</t>
    <phoneticPr fontId="1" type="noConversion"/>
  </si>
  <si>
    <t>坚守城池守住X波怪</t>
    <phoneticPr fontId="1" type="noConversion"/>
  </si>
  <si>
    <t>表示新增类型</t>
    <phoneticPr fontId="1" type="noConversion"/>
  </si>
  <si>
    <t>副本</t>
    <phoneticPr fontId="1" type="noConversion"/>
  </si>
  <si>
    <t>累计奖励</t>
    <phoneticPr fontId="1" type="noConversion"/>
  </si>
  <si>
    <t>玩家经验</t>
    <phoneticPr fontId="1" type="noConversion"/>
  </si>
  <si>
    <t>阶段奖励值/1个任务</t>
    <phoneticPr fontId="1" type="noConversion"/>
  </si>
  <si>
    <t>阶段奖励</t>
    <phoneticPr fontId="1" type="noConversion"/>
  </si>
  <si>
    <t>武将经验</t>
    <phoneticPr fontId="1" type="noConversion"/>
  </si>
  <si>
    <t>钻石</t>
    <phoneticPr fontId="1" type="noConversion"/>
  </si>
  <si>
    <t>木石铜粮</t>
    <phoneticPr fontId="1" type="noConversion"/>
  </si>
  <si>
    <t>木石铜粮（直接奖励）</t>
    <phoneticPr fontId="1" type="noConversion"/>
  </si>
  <si>
    <t>木石铜粮（宝箱）</t>
    <phoneticPr fontId="1" type="noConversion"/>
  </si>
  <si>
    <t>时间加速</t>
    <phoneticPr fontId="1" type="noConversion"/>
  </si>
  <si>
    <t>参数1</t>
    <phoneticPr fontId="1" type="noConversion"/>
  </si>
  <si>
    <t>参数2</t>
  </si>
  <si>
    <t>参数3</t>
  </si>
  <si>
    <t>取整调整值</t>
    <phoneticPr fontId="1" type="noConversion"/>
  </si>
  <si>
    <t>铁（直接奖励）</t>
    <phoneticPr fontId="1" type="noConversion"/>
  </si>
  <si>
    <t>铁</t>
    <phoneticPr fontId="1" type="noConversion"/>
  </si>
  <si>
    <t>大类</t>
    <phoneticPr fontId="1" type="noConversion"/>
  </si>
  <si>
    <t>个人成就1</t>
    <phoneticPr fontId="1" type="noConversion"/>
  </si>
  <si>
    <t>军团成就</t>
    <phoneticPr fontId="1" type="noConversion"/>
  </si>
  <si>
    <t>国家成就</t>
    <phoneticPr fontId="1" type="noConversion"/>
  </si>
  <si>
    <t>其他</t>
    <phoneticPr fontId="1" type="noConversion"/>
  </si>
  <si>
    <t>个人成就3</t>
  </si>
  <si>
    <t>其他成就2</t>
  </si>
  <si>
    <t>行为</t>
    <phoneticPr fontId="1" type="noConversion"/>
  </si>
  <si>
    <t>玩家</t>
    <phoneticPr fontId="1" type="noConversion"/>
  </si>
  <si>
    <t>累计消耗</t>
    <phoneticPr fontId="1" type="noConversion"/>
  </si>
  <si>
    <t>校场</t>
    <phoneticPr fontId="1" type="noConversion"/>
  </si>
  <si>
    <t>获得</t>
    <phoneticPr fontId="1" type="noConversion"/>
  </si>
  <si>
    <t>门客</t>
    <phoneticPr fontId="1" type="noConversion"/>
  </si>
  <si>
    <t>圣人</t>
    <phoneticPr fontId="1" type="noConversion"/>
  </si>
  <si>
    <t>招募</t>
    <phoneticPr fontId="1" type="noConversion"/>
  </si>
  <si>
    <t>帮助</t>
    <phoneticPr fontId="1" type="noConversion"/>
  </si>
  <si>
    <t>攻占</t>
    <phoneticPr fontId="1" type="noConversion"/>
  </si>
  <si>
    <t>消耗</t>
    <phoneticPr fontId="1" type="noConversion"/>
  </si>
  <si>
    <t>变法任务</t>
    <phoneticPr fontId="1" type="noConversion"/>
  </si>
  <si>
    <t>支援</t>
    <phoneticPr fontId="1" type="noConversion"/>
  </si>
  <si>
    <t>击败</t>
    <phoneticPr fontId="1" type="noConversion"/>
  </si>
  <si>
    <t>登陆</t>
    <phoneticPr fontId="1" type="noConversion"/>
  </si>
  <si>
    <t>完成任务</t>
    <phoneticPr fontId="1" type="noConversion"/>
  </si>
  <si>
    <t>采集农田</t>
    <phoneticPr fontId="1" type="noConversion"/>
  </si>
  <si>
    <t>采集木材</t>
    <phoneticPr fontId="1" type="noConversion"/>
  </si>
  <si>
    <t>采集石料</t>
    <phoneticPr fontId="1" type="noConversion"/>
  </si>
  <si>
    <t>采集铜矿</t>
    <phoneticPr fontId="1" type="noConversion"/>
  </si>
  <si>
    <t>采集铁</t>
    <phoneticPr fontId="1" type="noConversion"/>
  </si>
  <si>
    <t>城内资源产量达到</t>
  </si>
  <si>
    <t>建筑升级</t>
  </si>
  <si>
    <t>建筑合值</t>
  </si>
  <si>
    <t>士兵合值</t>
  </si>
  <si>
    <t>累计治疗</t>
  </si>
  <si>
    <t>城墙合值</t>
  </si>
  <si>
    <t>武将收集</t>
  </si>
  <si>
    <t>兵法收集</t>
  </si>
  <si>
    <t>地图</t>
  </si>
  <si>
    <t>副本</t>
  </si>
  <si>
    <t>分享</t>
  </si>
  <si>
    <t>计数类型</t>
    <phoneticPr fontId="1" type="noConversion"/>
  </si>
  <si>
    <t>次数</t>
    <phoneticPr fontId="1" type="noConversion"/>
  </si>
  <si>
    <t>大殿</t>
    <phoneticPr fontId="1" type="noConversion"/>
  </si>
  <si>
    <t>刀币</t>
    <phoneticPr fontId="1" type="noConversion"/>
  </si>
  <si>
    <t>木材</t>
    <phoneticPr fontId="1" type="noConversion"/>
  </si>
  <si>
    <t>石料</t>
    <phoneticPr fontId="1" type="noConversion"/>
  </si>
  <si>
    <t>铜矿</t>
    <phoneticPr fontId="1" type="noConversion"/>
  </si>
  <si>
    <t>粮草</t>
    <phoneticPr fontId="1" type="noConversion"/>
  </si>
  <si>
    <t>升级</t>
    <phoneticPr fontId="1" type="noConversion"/>
  </si>
  <si>
    <t>排名</t>
    <phoneticPr fontId="1" type="noConversion"/>
  </si>
  <si>
    <t>个数等级</t>
    <phoneticPr fontId="1" type="noConversion"/>
  </si>
  <si>
    <t>升级/次</t>
    <phoneticPr fontId="1" type="noConversion"/>
  </si>
  <si>
    <t>升星/次</t>
    <phoneticPr fontId="1" type="noConversion"/>
  </si>
  <si>
    <t>好感</t>
    <phoneticPr fontId="1" type="noConversion"/>
  </si>
  <si>
    <t>步兵</t>
    <phoneticPr fontId="1" type="noConversion"/>
  </si>
  <si>
    <t>骑兵</t>
    <phoneticPr fontId="1" type="noConversion"/>
  </si>
  <si>
    <t>弓兵</t>
    <phoneticPr fontId="1" type="noConversion"/>
  </si>
  <si>
    <t>器械</t>
    <phoneticPr fontId="1" type="noConversion"/>
  </si>
  <si>
    <t>占领城池</t>
    <phoneticPr fontId="1" type="noConversion"/>
  </si>
  <si>
    <t>军团币</t>
    <phoneticPr fontId="1" type="noConversion"/>
  </si>
  <si>
    <t>国建</t>
    <phoneticPr fontId="1" type="noConversion"/>
  </si>
  <si>
    <t>国家币</t>
    <phoneticPr fontId="1" type="noConversion"/>
  </si>
  <si>
    <t>蛮族</t>
    <phoneticPr fontId="1" type="noConversion"/>
  </si>
  <si>
    <t>乱军</t>
    <phoneticPr fontId="1" type="noConversion"/>
  </si>
  <si>
    <t>盗贼</t>
    <phoneticPr fontId="1" type="noConversion"/>
  </si>
  <si>
    <t>精英蛮族</t>
    <phoneticPr fontId="1" type="noConversion"/>
  </si>
  <si>
    <t>精英乱军</t>
    <phoneticPr fontId="1" type="noConversion"/>
  </si>
  <si>
    <t>精英盗贼</t>
    <phoneticPr fontId="1" type="noConversion"/>
  </si>
  <si>
    <t>他国玩家</t>
    <phoneticPr fontId="1" type="noConversion"/>
  </si>
  <si>
    <t>日常</t>
    <phoneticPr fontId="1" type="noConversion"/>
  </si>
  <si>
    <t>木材</t>
  </si>
  <si>
    <t>石料</t>
  </si>
  <si>
    <t>铜矿</t>
  </si>
  <si>
    <t>铁矿</t>
  </si>
  <si>
    <t>次数</t>
  </si>
  <si>
    <t>科技</t>
  </si>
  <si>
    <t>个数</t>
  </si>
  <si>
    <t>蓝</t>
  </si>
  <si>
    <t>繁荣度挂机奖励领取次数</t>
    <phoneticPr fontId="1" type="noConversion"/>
  </si>
  <si>
    <t>累积攻打国家城池x次</t>
    <phoneticPr fontId="1" type="noConversion"/>
  </si>
  <si>
    <t>发现宝箱</t>
  </si>
  <si>
    <t>3+5</t>
  </si>
  <si>
    <t>1+5</t>
  </si>
  <si>
    <t>6+5</t>
  </si>
  <si>
    <t>2+5</t>
  </si>
  <si>
    <t>12+5</t>
  </si>
  <si>
    <t>4+5</t>
  </si>
  <si>
    <t>18+5</t>
  </si>
  <si>
    <t>18+10</t>
  </si>
  <si>
    <t>6+10</t>
  </si>
  <si>
    <t>18+15</t>
  </si>
  <si>
    <t>6+15</t>
  </si>
  <si>
    <t>24+20</t>
  </si>
  <si>
    <t>8+20</t>
  </si>
  <si>
    <t>24+25</t>
  </si>
  <si>
    <t>8+25</t>
  </si>
  <si>
    <t>24+30</t>
  </si>
  <si>
    <t>8+30</t>
  </si>
  <si>
    <t>30+35</t>
  </si>
  <si>
    <t>10+35</t>
  </si>
  <si>
    <t>30+40</t>
  </si>
  <si>
    <t>10+40</t>
  </si>
  <si>
    <t>30+45</t>
  </si>
  <si>
    <t>10+45</t>
  </si>
  <si>
    <t>36+50</t>
  </si>
  <si>
    <t>12+50</t>
  </si>
  <si>
    <t>36+55</t>
  </si>
  <si>
    <t>12+55</t>
  </si>
  <si>
    <t>36+60</t>
  </si>
  <si>
    <t>12+60</t>
  </si>
  <si>
    <t>42+65</t>
  </si>
  <si>
    <t>14+65</t>
  </si>
  <si>
    <t>42+70</t>
  </si>
  <si>
    <t>14+70</t>
  </si>
  <si>
    <t>42+75</t>
  </si>
  <si>
    <t>14+75</t>
  </si>
  <si>
    <t>48+80</t>
  </si>
  <si>
    <t>16+80</t>
  </si>
  <si>
    <t>48+85</t>
  </si>
  <si>
    <t>16+85</t>
  </si>
  <si>
    <t>48+90</t>
  </si>
  <si>
    <t>16+90</t>
  </si>
  <si>
    <t>54+95</t>
  </si>
  <si>
    <t>18+95</t>
  </si>
  <si>
    <t>54+100</t>
  </si>
  <si>
    <t>18+100</t>
  </si>
  <si>
    <t>偏差对比（与任务设计的实际配置奖励进行对比）</t>
    <phoneticPr fontId="1" type="noConversion"/>
  </si>
  <si>
    <t>加速时间</t>
    <phoneticPr fontId="1" type="noConversion"/>
  </si>
  <si>
    <t>铁（宝箱）</t>
    <phoneticPr fontId="1" type="noConversion"/>
  </si>
  <si>
    <t>积分</t>
    <phoneticPr fontId="1" type="noConversion"/>
  </si>
  <si>
    <t>阶段奖励积分/1个任务</t>
    <phoneticPr fontId="1" type="noConversion"/>
  </si>
  <si>
    <t>累积占领2个村庄</t>
    <phoneticPr fontId="1" type="noConversion"/>
  </si>
  <si>
    <t>击败1次1级乱军</t>
    <phoneticPr fontId="1" type="noConversion"/>
  </si>
  <si>
    <t>击败1次1级盗贼</t>
    <phoneticPr fontId="1" type="noConversion"/>
  </si>
  <si>
    <t>在点将台内点将一次</t>
    <phoneticPr fontId="1" type="noConversion"/>
  </si>
  <si>
    <t>击败1次2级乱军</t>
    <phoneticPr fontId="1" type="noConversion"/>
  </si>
  <si>
    <t>击败1次2级盗贼</t>
    <phoneticPr fontId="1" type="noConversion"/>
  </si>
  <si>
    <t>通关副本2-3</t>
    <phoneticPr fontId="1" type="noConversion"/>
  </si>
  <si>
    <t>士兵训练-弓弩兵攻击提升到1级</t>
    <phoneticPr fontId="1" type="noConversion"/>
  </si>
  <si>
    <t>铜矿升级到8级</t>
    <phoneticPr fontId="1" type="noConversion"/>
  </si>
  <si>
    <t>农田升级到8级</t>
    <phoneticPr fontId="1" type="noConversion"/>
  </si>
  <si>
    <t>通关副本2-6</t>
    <phoneticPr fontId="1" type="noConversion"/>
  </si>
  <si>
    <t>步兵营升级到4级</t>
    <phoneticPr fontId="1" type="noConversion"/>
  </si>
  <si>
    <t>通关副本3-3</t>
    <phoneticPr fontId="1" type="noConversion"/>
  </si>
  <si>
    <t>累积占领9个村庄</t>
    <phoneticPr fontId="1" type="noConversion"/>
  </si>
  <si>
    <t>在九州采集1次石料</t>
    <phoneticPr fontId="1" type="noConversion"/>
  </si>
  <si>
    <t>通关副本3-6</t>
    <phoneticPr fontId="1" type="noConversion"/>
  </si>
  <si>
    <t>坚守城池守住1关</t>
    <phoneticPr fontId="1" type="noConversion"/>
  </si>
  <si>
    <t>大殿升18级</t>
    <phoneticPr fontId="1" type="noConversion"/>
  </si>
  <si>
    <t>击败1次10级乱军</t>
  </si>
  <si>
    <t>击败1次10级盗贼</t>
  </si>
  <si>
    <t>击败1次1级蛮族</t>
    <phoneticPr fontId="1" type="noConversion"/>
  </si>
  <si>
    <t>步兵营升级到2级</t>
    <phoneticPr fontId="1" type="noConversion"/>
  </si>
  <si>
    <t>招募步兵1次</t>
    <phoneticPr fontId="1" type="noConversion"/>
  </si>
  <si>
    <t>升级大殿到3级</t>
    <phoneticPr fontId="1" type="noConversion"/>
  </si>
  <si>
    <t>医馆升级到2级</t>
    <phoneticPr fontId="1" type="noConversion"/>
  </si>
  <si>
    <t>骑兵营升级到2级</t>
    <phoneticPr fontId="1" type="noConversion"/>
  </si>
  <si>
    <t>民居升级到3级</t>
    <phoneticPr fontId="1" type="noConversion"/>
  </si>
  <si>
    <t>采石场升级到3级</t>
    <phoneticPr fontId="1" type="noConversion"/>
  </si>
  <si>
    <t>伐木场升级到3级</t>
    <phoneticPr fontId="1" type="noConversion"/>
  </si>
  <si>
    <t>铜矿升级到3级</t>
    <phoneticPr fontId="1" type="noConversion"/>
  </si>
  <si>
    <t>农田升级到3级</t>
    <phoneticPr fontId="1" type="noConversion"/>
  </si>
  <si>
    <t>升级大殿到4级</t>
    <phoneticPr fontId="1" type="noConversion"/>
  </si>
  <si>
    <t>弓兵营升级到2级</t>
    <phoneticPr fontId="1" type="noConversion"/>
  </si>
  <si>
    <t>仓库升级到2级</t>
    <phoneticPr fontId="1" type="noConversion"/>
  </si>
  <si>
    <t>通关副本1-6</t>
    <phoneticPr fontId="1" type="noConversion"/>
  </si>
  <si>
    <t>升级大殿到5级</t>
    <phoneticPr fontId="1" type="noConversion"/>
  </si>
  <si>
    <t>解锁门客庭院</t>
    <phoneticPr fontId="1" type="noConversion"/>
  </si>
  <si>
    <t>击败1次2级蛮族</t>
    <phoneticPr fontId="1" type="noConversion"/>
  </si>
  <si>
    <t>升级大殿到6级</t>
    <phoneticPr fontId="1" type="noConversion"/>
  </si>
  <si>
    <t>解锁器械营</t>
    <phoneticPr fontId="1" type="noConversion"/>
  </si>
  <si>
    <t>步兵营升级到3级</t>
    <phoneticPr fontId="1" type="noConversion"/>
  </si>
  <si>
    <t>民居升级到5级</t>
    <phoneticPr fontId="1" type="noConversion"/>
  </si>
  <si>
    <t>采石场升级到5级</t>
    <phoneticPr fontId="1" type="noConversion"/>
  </si>
  <si>
    <t>伐木场升级到5级</t>
    <phoneticPr fontId="1" type="noConversion"/>
  </si>
  <si>
    <t>铜矿升级到5级</t>
    <phoneticPr fontId="1" type="noConversion"/>
  </si>
  <si>
    <t>农田升级到5级</t>
    <phoneticPr fontId="1" type="noConversion"/>
  </si>
  <si>
    <t>升级大殿到7级</t>
    <phoneticPr fontId="1" type="noConversion"/>
  </si>
  <si>
    <t>骑兵营升级到3级</t>
    <phoneticPr fontId="1" type="noConversion"/>
  </si>
  <si>
    <t>民居升级到6级</t>
    <phoneticPr fontId="1" type="noConversion"/>
  </si>
  <si>
    <t>采石场升级到6级</t>
    <phoneticPr fontId="1" type="noConversion"/>
  </si>
  <si>
    <t>伐木场升级到6级</t>
    <phoneticPr fontId="1" type="noConversion"/>
  </si>
  <si>
    <t>铜矿升级到6级</t>
    <phoneticPr fontId="1" type="noConversion"/>
  </si>
  <si>
    <t>农田升级到6级</t>
    <phoneticPr fontId="1" type="noConversion"/>
  </si>
  <si>
    <t>升级大殿到8级</t>
    <phoneticPr fontId="1" type="noConversion"/>
  </si>
  <si>
    <t>弓兵营升级到3级</t>
    <phoneticPr fontId="1" type="noConversion"/>
  </si>
  <si>
    <t>升级大殿到9级</t>
    <phoneticPr fontId="1" type="noConversion"/>
  </si>
  <si>
    <t>解锁城防营</t>
    <phoneticPr fontId="1" type="noConversion"/>
  </si>
  <si>
    <t>大殿升10级</t>
    <phoneticPr fontId="1" type="noConversion"/>
  </si>
  <si>
    <t>门客庭院升2级</t>
    <phoneticPr fontId="1" type="noConversion"/>
  </si>
  <si>
    <t>大殿升11级</t>
    <phoneticPr fontId="1" type="noConversion"/>
  </si>
  <si>
    <t>大殿升12级</t>
    <phoneticPr fontId="1" type="noConversion"/>
  </si>
  <si>
    <t>大殿升13级</t>
    <phoneticPr fontId="1" type="noConversion"/>
  </si>
  <si>
    <t>铜矿升13级</t>
    <phoneticPr fontId="1" type="noConversion"/>
  </si>
  <si>
    <t>大殿升14级</t>
    <phoneticPr fontId="1" type="noConversion"/>
  </si>
  <si>
    <t>骑兵营升5级</t>
    <phoneticPr fontId="1" type="noConversion"/>
  </si>
  <si>
    <t>大殿升15级</t>
    <phoneticPr fontId="1" type="noConversion"/>
  </si>
  <si>
    <t>大殿升16级</t>
    <phoneticPr fontId="1" type="noConversion"/>
  </si>
  <si>
    <t>建造百家学馆</t>
    <phoneticPr fontId="1" type="noConversion"/>
  </si>
  <si>
    <t>大殿升17级</t>
    <phoneticPr fontId="1" type="noConversion"/>
  </si>
  <si>
    <t>弓兵营升6级</t>
    <phoneticPr fontId="1" type="noConversion"/>
  </si>
  <si>
    <t>大殿升19级</t>
    <phoneticPr fontId="1" type="noConversion"/>
  </si>
  <si>
    <t>大殿升20级</t>
    <phoneticPr fontId="1" type="noConversion"/>
  </si>
  <si>
    <t>门客庭院升4级</t>
    <phoneticPr fontId="1" type="noConversion"/>
  </si>
  <si>
    <t>大殿升21级</t>
    <phoneticPr fontId="1" type="noConversion"/>
  </si>
  <si>
    <t>铜矿升21级</t>
    <phoneticPr fontId="1" type="noConversion"/>
  </si>
  <si>
    <t>大殿升22级</t>
    <phoneticPr fontId="1" type="noConversion"/>
  </si>
  <si>
    <t>城防营升5级</t>
    <phoneticPr fontId="1" type="noConversion"/>
  </si>
  <si>
    <t>民居升22级</t>
    <phoneticPr fontId="1" type="noConversion"/>
  </si>
  <si>
    <t>大殿升23级</t>
    <phoneticPr fontId="1" type="noConversion"/>
  </si>
  <si>
    <t>大殿升24级</t>
    <phoneticPr fontId="1" type="noConversion"/>
  </si>
  <si>
    <t>采石场升24级</t>
    <phoneticPr fontId="1" type="noConversion"/>
  </si>
  <si>
    <t>大殿升25级</t>
    <phoneticPr fontId="1" type="noConversion"/>
  </si>
  <si>
    <t>门客庭院升5级</t>
    <phoneticPr fontId="1" type="noConversion"/>
  </si>
  <si>
    <t>大殿升26级</t>
    <phoneticPr fontId="1" type="noConversion"/>
  </si>
  <si>
    <t>大殿升27级</t>
    <phoneticPr fontId="1" type="noConversion"/>
  </si>
  <si>
    <t>农田升27级</t>
    <phoneticPr fontId="1" type="noConversion"/>
  </si>
  <si>
    <t>大殿升28级</t>
    <phoneticPr fontId="1" type="noConversion"/>
  </si>
  <si>
    <t>仓库升14级</t>
    <phoneticPr fontId="1" type="noConversion"/>
  </si>
  <si>
    <t>弓兵营升10级</t>
    <phoneticPr fontId="1" type="noConversion"/>
  </si>
  <si>
    <t>冶炼厂升3级</t>
    <phoneticPr fontId="1" type="noConversion"/>
  </si>
  <si>
    <t>大殿升29级</t>
    <phoneticPr fontId="1" type="noConversion"/>
  </si>
  <si>
    <t>冶炼厂升6级</t>
    <phoneticPr fontId="1" type="noConversion"/>
  </si>
  <si>
    <t>大殿升30级</t>
    <phoneticPr fontId="1" type="noConversion"/>
  </si>
  <si>
    <t>门客庭院升6级</t>
    <phoneticPr fontId="1" type="noConversion"/>
  </si>
  <si>
    <t>冶炼厂升10级</t>
    <phoneticPr fontId="1" type="noConversion"/>
  </si>
  <si>
    <t>大殿升31级</t>
    <phoneticPr fontId="1" type="noConversion"/>
  </si>
  <si>
    <t>民居升31级</t>
    <phoneticPr fontId="1" type="noConversion"/>
  </si>
  <si>
    <t>冶炼厂升20级</t>
    <phoneticPr fontId="1" type="noConversion"/>
  </si>
  <si>
    <t>大殿升32级</t>
    <phoneticPr fontId="1" type="noConversion"/>
  </si>
  <si>
    <t>冶炼厂升30级</t>
    <phoneticPr fontId="1" type="noConversion"/>
  </si>
  <si>
    <t>大殿升33级</t>
    <phoneticPr fontId="1" type="noConversion"/>
  </si>
  <si>
    <t>冶炼厂升33级</t>
    <phoneticPr fontId="1" type="noConversion"/>
  </si>
  <si>
    <t>大殿升34级</t>
    <phoneticPr fontId="1" type="noConversion"/>
  </si>
  <si>
    <t>大殿升35级</t>
    <phoneticPr fontId="1" type="noConversion"/>
  </si>
  <si>
    <t>大殿升36级</t>
    <phoneticPr fontId="1" type="noConversion"/>
  </si>
  <si>
    <t>伐木场升36级</t>
    <phoneticPr fontId="1" type="noConversion"/>
  </si>
  <si>
    <t>大殿升37级</t>
    <phoneticPr fontId="1" type="noConversion"/>
  </si>
  <si>
    <t>冶炼厂升37级</t>
    <phoneticPr fontId="1" type="noConversion"/>
  </si>
  <si>
    <t>大殿升38级</t>
    <phoneticPr fontId="1" type="noConversion"/>
  </si>
  <si>
    <t>百家学馆升9级</t>
    <phoneticPr fontId="1" type="noConversion"/>
  </si>
  <si>
    <t>大殿升39级</t>
    <phoneticPr fontId="1" type="noConversion"/>
  </si>
  <si>
    <t>大殿升40级</t>
    <phoneticPr fontId="1" type="noConversion"/>
  </si>
  <si>
    <t>门客庭院升8级</t>
    <phoneticPr fontId="1" type="noConversion"/>
  </si>
  <si>
    <t>仓库升20级</t>
    <phoneticPr fontId="1" type="noConversion"/>
  </si>
  <si>
    <t>采石场升40级</t>
    <phoneticPr fontId="1" type="noConversion"/>
  </si>
  <si>
    <t>大殿升41级</t>
    <phoneticPr fontId="1" type="noConversion"/>
  </si>
  <si>
    <t>步兵营升16级</t>
    <phoneticPr fontId="1" type="noConversion"/>
  </si>
  <si>
    <t>大殿升42级</t>
    <phoneticPr fontId="1" type="noConversion"/>
  </si>
  <si>
    <t>冶炼厂升42级</t>
    <phoneticPr fontId="1" type="noConversion"/>
  </si>
  <si>
    <t>大殿升43级</t>
    <phoneticPr fontId="1" type="noConversion"/>
  </si>
  <si>
    <t>大殿升44级</t>
    <phoneticPr fontId="1" type="noConversion"/>
  </si>
  <si>
    <t>医馆升18级</t>
    <phoneticPr fontId="1" type="noConversion"/>
  </si>
  <si>
    <t>冶炼厂升44级</t>
    <phoneticPr fontId="1" type="noConversion"/>
  </si>
  <si>
    <t>大殿升45级</t>
    <phoneticPr fontId="1" type="noConversion"/>
  </si>
  <si>
    <t>门客庭院升9级</t>
    <phoneticPr fontId="1" type="noConversion"/>
  </si>
  <si>
    <t>民居升45级</t>
    <phoneticPr fontId="1" type="noConversion"/>
  </si>
  <si>
    <t>大殿升46级</t>
    <phoneticPr fontId="1" type="noConversion"/>
  </si>
  <si>
    <t>百家学馆升13级</t>
    <phoneticPr fontId="1" type="noConversion"/>
  </si>
  <si>
    <t>大殿升47级</t>
    <phoneticPr fontId="1" type="noConversion"/>
  </si>
  <si>
    <t>冶炼厂升47级</t>
    <phoneticPr fontId="1" type="noConversion"/>
  </si>
  <si>
    <t>大殿升48级</t>
    <phoneticPr fontId="1" type="noConversion"/>
  </si>
  <si>
    <t>步兵营升20级</t>
    <phoneticPr fontId="1" type="noConversion"/>
  </si>
  <si>
    <t>伐木场升48级</t>
    <phoneticPr fontId="1" type="noConversion"/>
  </si>
  <si>
    <t>大殿升49级</t>
    <phoneticPr fontId="1" type="noConversion"/>
  </si>
  <si>
    <t>大殿升50级</t>
    <phoneticPr fontId="1" type="noConversion"/>
  </si>
  <si>
    <t>百家学馆升15级</t>
    <phoneticPr fontId="1" type="noConversion"/>
  </si>
  <si>
    <t>门客庭院升10级</t>
    <phoneticPr fontId="1" type="noConversion"/>
  </si>
  <si>
    <t>冶炼厂升50级</t>
    <phoneticPr fontId="1" type="noConversion"/>
  </si>
  <si>
    <t>击败1次10级蛮族</t>
  </si>
  <si>
    <t>击败1次12级盗贼</t>
  </si>
  <si>
    <t>前期</t>
    <phoneticPr fontId="1" type="noConversion"/>
  </si>
  <si>
    <t>累积占领4个村庄</t>
    <phoneticPr fontId="1" type="noConversion"/>
  </si>
  <si>
    <t>累积占领60个村庄</t>
    <phoneticPr fontId="1" type="noConversion"/>
  </si>
  <si>
    <t>累积占领3个村庄</t>
    <phoneticPr fontId="1" type="noConversion"/>
  </si>
  <si>
    <t>治疗伤兵1次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</si>
  <si>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</si>
  <si>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</si>
  <si>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</si>
  <si>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</si>
  <si>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大殿等级对应定义等级</t>
  </si>
  <si>
    <t>定义等级对应大殿等级</t>
  </si>
  <si>
    <t>非r累积时长定义等级标准</t>
  </si>
  <si>
    <t>预估定义等级</t>
  </si>
  <si>
    <t>民居升级到2级</t>
    <phoneticPr fontId="1" type="noConversion"/>
  </si>
  <si>
    <t>采石场升级到2级</t>
    <phoneticPr fontId="1" type="noConversion"/>
  </si>
  <si>
    <t>伐木场升级到2级</t>
    <phoneticPr fontId="1" type="noConversion"/>
  </si>
  <si>
    <t>铜矿升级到2级</t>
    <phoneticPr fontId="1" type="noConversion"/>
  </si>
  <si>
    <t>农田升级到2级</t>
    <phoneticPr fontId="1" type="noConversion"/>
  </si>
  <si>
    <t>强化装备1次</t>
    <phoneticPr fontId="1" type="noConversion"/>
  </si>
  <si>
    <t>训练营升级到2级</t>
    <phoneticPr fontId="1" type="noConversion"/>
  </si>
  <si>
    <t>建造训练营</t>
    <phoneticPr fontId="1" type="noConversion"/>
  </si>
  <si>
    <t>百家学馆升级到4级</t>
    <phoneticPr fontId="1" type="noConversion"/>
  </si>
  <si>
    <t>百家学馆升级到3级</t>
    <phoneticPr fontId="1" type="noConversion"/>
  </si>
  <si>
    <t>训练营升级到5级</t>
    <phoneticPr fontId="1" type="noConversion"/>
  </si>
  <si>
    <t>百家学馆升级到6级</t>
    <phoneticPr fontId="1" type="noConversion"/>
  </si>
  <si>
    <t>百家学馆升级到11级</t>
    <phoneticPr fontId="1" type="noConversion"/>
  </si>
  <si>
    <t>训练营升级到12级</t>
    <phoneticPr fontId="1" type="noConversion"/>
  </si>
  <si>
    <t>训练营升级到16级</t>
    <phoneticPr fontId="1" type="noConversion"/>
  </si>
  <si>
    <t>百家学馆升17级</t>
    <phoneticPr fontId="1" type="noConversion"/>
  </si>
  <si>
    <t>百家学馆升19级</t>
    <phoneticPr fontId="1" type="noConversion"/>
  </si>
  <si>
    <t>训练营升18级</t>
    <phoneticPr fontId="1" type="noConversion"/>
  </si>
  <si>
    <t>训练营升20级</t>
    <phoneticPr fontId="1" type="noConversion"/>
  </si>
  <si>
    <t>1个兵法升级1次</t>
    <phoneticPr fontId="1" type="noConversion"/>
  </si>
  <si>
    <t>采石场升级到7级</t>
    <phoneticPr fontId="1" type="noConversion"/>
  </si>
  <si>
    <t>伐木场升级到7级</t>
    <phoneticPr fontId="1" type="noConversion"/>
  </si>
  <si>
    <t>铜矿升级到7级</t>
    <phoneticPr fontId="1" type="noConversion"/>
  </si>
  <si>
    <t>农田升级到7级</t>
    <phoneticPr fontId="1" type="noConversion"/>
  </si>
  <si>
    <t>民居升级到7级</t>
    <phoneticPr fontId="1" type="noConversion"/>
  </si>
  <si>
    <t>击败1次8级蛮族</t>
    <phoneticPr fontId="1" type="noConversion"/>
  </si>
  <si>
    <t>击败1次8级乱军</t>
    <phoneticPr fontId="1" type="noConversion"/>
  </si>
  <si>
    <t>击败1次8级盗贼</t>
    <phoneticPr fontId="1" type="noConversion"/>
  </si>
  <si>
    <t>击败1次14级蛮族</t>
  </si>
  <si>
    <t>击败1次14级盗贼</t>
  </si>
  <si>
    <t>击败1次15级蛮族</t>
    <phoneticPr fontId="1" type="noConversion"/>
  </si>
  <si>
    <t>击败1次15级乱军</t>
    <phoneticPr fontId="1" type="noConversion"/>
  </si>
  <si>
    <t>击败1次15级盗贼</t>
    <phoneticPr fontId="1" type="noConversion"/>
  </si>
  <si>
    <t>采石场升级到4级</t>
    <phoneticPr fontId="1" type="noConversion"/>
  </si>
  <si>
    <t>民居升级到4级</t>
    <phoneticPr fontId="1" type="noConversion"/>
  </si>
  <si>
    <t>伐木场升级到4级</t>
    <phoneticPr fontId="1" type="noConversion"/>
  </si>
  <si>
    <t>铜矿升级到4级</t>
    <phoneticPr fontId="1" type="noConversion"/>
  </si>
  <si>
    <t>农田升级到4级</t>
    <phoneticPr fontId="1" type="noConversion"/>
  </si>
  <si>
    <t>击败1次4级蛮族</t>
  </si>
  <si>
    <t>击败2次4级蛮族</t>
    <phoneticPr fontId="1" type="noConversion"/>
  </si>
  <si>
    <t>击败2次4级乱军</t>
    <phoneticPr fontId="1" type="noConversion"/>
  </si>
  <si>
    <t>击败2次4级盗贼</t>
    <phoneticPr fontId="1" type="noConversion"/>
  </si>
  <si>
    <t>累计采集木</t>
    <phoneticPr fontId="1" type="noConversion"/>
  </si>
  <si>
    <t>累计采集铜</t>
    <phoneticPr fontId="1" type="noConversion"/>
  </si>
  <si>
    <t>累计采集粮</t>
    <phoneticPr fontId="1" type="noConversion"/>
  </si>
  <si>
    <t>累计采集铁</t>
    <phoneticPr fontId="1" type="noConversion"/>
  </si>
  <si>
    <t>累计通关</t>
    <phoneticPr fontId="1" type="noConversion"/>
  </si>
  <si>
    <t>累计占领6个村庄</t>
    <phoneticPr fontId="1" type="noConversion"/>
  </si>
  <si>
    <t>击败1次9级蛮族</t>
    <phoneticPr fontId="1" type="noConversion"/>
  </si>
  <si>
    <t>击败1次9级乱军</t>
    <phoneticPr fontId="1" type="noConversion"/>
  </si>
  <si>
    <t>击败1次9级盗贼</t>
    <phoneticPr fontId="1" type="noConversion"/>
  </si>
  <si>
    <t>训练营升级到3级</t>
    <phoneticPr fontId="1" type="noConversion"/>
  </si>
  <si>
    <t>训练营升级到7级</t>
    <phoneticPr fontId="1" type="noConversion"/>
  </si>
  <si>
    <t>训练营升级到9级</t>
    <phoneticPr fontId="1" type="noConversion"/>
  </si>
  <si>
    <t>训练营升级到11级</t>
    <phoneticPr fontId="1" type="noConversion"/>
  </si>
  <si>
    <t>训练营升级到13级</t>
    <phoneticPr fontId="1" type="noConversion"/>
  </si>
  <si>
    <t>训练营升级到15级</t>
    <phoneticPr fontId="1" type="noConversion"/>
  </si>
  <si>
    <t>武将升到10级</t>
    <phoneticPr fontId="1" type="noConversion"/>
  </si>
  <si>
    <t>武将升级到20级</t>
    <phoneticPr fontId="1" type="noConversion"/>
  </si>
  <si>
    <t>武将升级到40级</t>
    <phoneticPr fontId="1" type="noConversion"/>
  </si>
  <si>
    <t>武将升级到60级</t>
    <phoneticPr fontId="1" type="noConversion"/>
  </si>
  <si>
    <t>武将升级到80级</t>
    <phoneticPr fontId="1" type="noConversion"/>
  </si>
  <si>
    <t>武将升级到100级</t>
    <phoneticPr fontId="1" type="noConversion"/>
  </si>
  <si>
    <t>武将升级到120级</t>
    <phoneticPr fontId="1" type="noConversion"/>
  </si>
  <si>
    <t>武将升级到140级</t>
    <phoneticPr fontId="1" type="noConversion"/>
  </si>
  <si>
    <t>士兵训练-器械攻击提升1级</t>
    <phoneticPr fontId="1" type="noConversion"/>
  </si>
  <si>
    <t>快速恢复升级到2级</t>
    <phoneticPr fontId="1" type="noConversion"/>
  </si>
  <si>
    <t>击败1次4级乱军</t>
    <phoneticPr fontId="1" type="noConversion"/>
  </si>
  <si>
    <t>击败1次14级乱军</t>
    <phoneticPr fontId="1" type="noConversion"/>
  </si>
  <si>
    <t>觉醒1名武将</t>
    <phoneticPr fontId="1" type="noConversion"/>
  </si>
  <si>
    <t>武将升到6级</t>
    <phoneticPr fontId="1" type="noConversion"/>
  </si>
  <si>
    <t xml:space="preserve"> </t>
    <phoneticPr fontId="1" type="noConversion"/>
  </si>
  <si>
    <t>击败3次15级蛮族</t>
  </si>
  <si>
    <t>击败3次15级乱军</t>
  </si>
  <si>
    <t>击败3次15级盗贼</t>
  </si>
  <si>
    <t>击败1次6级蛮族</t>
  </si>
  <si>
    <t>击败1次6级乱军</t>
  </si>
  <si>
    <t>击败1次6级盗贼</t>
  </si>
  <si>
    <t>击败3次7级蛮族</t>
    <phoneticPr fontId="1" type="noConversion"/>
  </si>
  <si>
    <t>击败3次7级乱军</t>
    <phoneticPr fontId="1" type="noConversion"/>
  </si>
  <si>
    <t>击败3次7级盗贼</t>
    <phoneticPr fontId="1" type="noConversion"/>
  </si>
  <si>
    <t>击败3次10级蛮族</t>
    <phoneticPr fontId="1" type="noConversion"/>
  </si>
  <si>
    <t>击败3次10级乱军</t>
    <phoneticPr fontId="1" type="noConversion"/>
  </si>
  <si>
    <t>击败3次10级盗贼</t>
    <phoneticPr fontId="1" type="noConversion"/>
  </si>
  <si>
    <t>击败3次13级蛮族</t>
    <phoneticPr fontId="1" type="noConversion"/>
  </si>
  <si>
    <t>击败3次13级乱军</t>
    <phoneticPr fontId="1" type="noConversion"/>
  </si>
  <si>
    <t>击败3次13级盗贼</t>
    <phoneticPr fontId="1" type="noConversion"/>
  </si>
  <si>
    <t>医馆升24级</t>
    <phoneticPr fontId="1" type="noConversion"/>
  </si>
  <si>
    <t>医馆升27级</t>
    <phoneticPr fontId="1" type="noConversion"/>
  </si>
  <si>
    <t>医馆升30级</t>
    <phoneticPr fontId="1" type="noConversion"/>
  </si>
  <si>
    <t>医馆升34级</t>
    <phoneticPr fontId="1" type="noConversion"/>
  </si>
  <si>
    <t>医馆升38级</t>
    <phoneticPr fontId="1" type="noConversion"/>
  </si>
  <si>
    <t>医馆升42级</t>
    <phoneticPr fontId="1" type="noConversion"/>
  </si>
  <si>
    <t>医馆升46级</t>
    <phoneticPr fontId="1" type="noConversion"/>
  </si>
  <si>
    <t>仓库升级到5级</t>
    <phoneticPr fontId="1" type="noConversion"/>
  </si>
  <si>
    <t>仓库升12级</t>
    <phoneticPr fontId="1" type="noConversion"/>
  </si>
  <si>
    <t>仓库升26级</t>
    <phoneticPr fontId="1" type="noConversion"/>
  </si>
  <si>
    <t>仓库升30级</t>
    <phoneticPr fontId="1" type="noConversion"/>
  </si>
  <si>
    <t>仓库升34级</t>
    <phoneticPr fontId="1" type="noConversion"/>
  </si>
  <si>
    <t>仓库升38级</t>
    <phoneticPr fontId="1" type="noConversion"/>
  </si>
  <si>
    <t>仓库升42级</t>
    <phoneticPr fontId="1" type="noConversion"/>
  </si>
  <si>
    <t>仓库升46级</t>
    <phoneticPr fontId="1" type="noConversion"/>
  </si>
  <si>
    <t>仓库升50级</t>
    <phoneticPr fontId="1" type="noConversion"/>
  </si>
  <si>
    <t>城防营升19级</t>
    <phoneticPr fontId="1" type="noConversion"/>
  </si>
  <si>
    <t>城防营升25级</t>
    <phoneticPr fontId="1" type="noConversion"/>
  </si>
  <si>
    <t>城防营升31级</t>
    <phoneticPr fontId="1" type="noConversion"/>
  </si>
  <si>
    <t>城防营升37级</t>
    <phoneticPr fontId="1" type="noConversion"/>
  </si>
  <si>
    <t>城防营升43级</t>
    <phoneticPr fontId="1" type="noConversion"/>
  </si>
  <si>
    <t>城防营升49级</t>
    <phoneticPr fontId="1" type="noConversion"/>
  </si>
  <si>
    <t>民居升20级</t>
    <phoneticPr fontId="1" type="noConversion"/>
  </si>
  <si>
    <t>仓库升级到4级</t>
    <phoneticPr fontId="1" type="noConversion"/>
  </si>
  <si>
    <t>仓库升级到6级</t>
    <phoneticPr fontId="1" type="noConversion"/>
  </si>
  <si>
    <t>仓库升级到8级</t>
    <phoneticPr fontId="1" type="noConversion"/>
  </si>
  <si>
    <t>仓库升10级</t>
    <phoneticPr fontId="1" type="noConversion"/>
  </si>
  <si>
    <t>医馆升级到6级</t>
    <phoneticPr fontId="1" type="noConversion"/>
  </si>
  <si>
    <t>医馆升到5级</t>
    <phoneticPr fontId="1" type="noConversion"/>
  </si>
  <si>
    <t>医馆升级到3级</t>
    <phoneticPr fontId="1" type="noConversion"/>
  </si>
  <si>
    <t>医馆升到4级</t>
    <phoneticPr fontId="1" type="noConversion"/>
  </si>
  <si>
    <t>仓库升级到3级</t>
    <phoneticPr fontId="1" type="noConversion"/>
  </si>
  <si>
    <t>解锁仓库</t>
    <phoneticPr fontId="1" type="noConversion"/>
  </si>
  <si>
    <t>医馆升级到9级</t>
    <phoneticPr fontId="1" type="noConversion"/>
  </si>
  <si>
    <t>医馆升级到8级</t>
    <phoneticPr fontId="1" type="noConversion"/>
  </si>
  <si>
    <t>医馆升15级</t>
    <phoneticPr fontId="1" type="noConversion"/>
  </si>
  <si>
    <t>累积占领1座营寨</t>
    <phoneticPr fontId="1" type="noConversion"/>
  </si>
  <si>
    <t>累积占领15个村庄</t>
    <phoneticPr fontId="1" type="noConversion"/>
  </si>
  <si>
    <t>累积占领23个村庄</t>
    <phoneticPr fontId="1" type="noConversion"/>
  </si>
  <si>
    <t>累积占领32个村庄</t>
    <phoneticPr fontId="1" type="noConversion"/>
  </si>
  <si>
    <t>累积占领37个村庄</t>
    <phoneticPr fontId="1" type="noConversion"/>
  </si>
  <si>
    <t>累积占领48个村庄</t>
    <phoneticPr fontId="1" type="noConversion"/>
  </si>
  <si>
    <t>累积占领54个村庄</t>
    <phoneticPr fontId="1" type="noConversion"/>
  </si>
  <si>
    <t>累积占领67个村庄</t>
    <phoneticPr fontId="1" type="noConversion"/>
  </si>
  <si>
    <t>累积占领74个村庄</t>
    <phoneticPr fontId="1" type="noConversion"/>
  </si>
  <si>
    <t>累积占领81个村庄</t>
    <phoneticPr fontId="1" type="noConversion"/>
  </si>
  <si>
    <t>累计占领89个村庄</t>
    <phoneticPr fontId="1" type="noConversion"/>
  </si>
  <si>
    <t>累计占领97个村庄</t>
    <phoneticPr fontId="1" type="noConversion"/>
  </si>
  <si>
    <t>累积占领2座营寨</t>
  </si>
  <si>
    <t>累积占领4座营寨</t>
    <phoneticPr fontId="1" type="noConversion"/>
  </si>
  <si>
    <t>累积占领8座营寨</t>
    <phoneticPr fontId="1" type="noConversion"/>
  </si>
  <si>
    <t>累积占领18座营寨</t>
    <phoneticPr fontId="1" type="noConversion"/>
  </si>
  <si>
    <t>累积占领30座营寨</t>
    <phoneticPr fontId="1" type="noConversion"/>
  </si>
  <si>
    <t>累积占领10座营寨</t>
    <phoneticPr fontId="1" type="noConversion"/>
  </si>
  <si>
    <t>士兵训练-步兵生命提升到1级</t>
    <phoneticPr fontId="1" type="noConversion"/>
  </si>
  <si>
    <t>士兵训练-车骑兵攻击提升1级</t>
    <phoneticPr fontId="1" type="noConversion"/>
  </si>
  <si>
    <t>击败1次3级蛮族</t>
    <phoneticPr fontId="1" type="noConversion"/>
  </si>
  <si>
    <t>击败1次3级乱军</t>
    <phoneticPr fontId="1" type="noConversion"/>
  </si>
  <si>
    <t>击败1次3级盗贼</t>
    <phoneticPr fontId="1" type="noConversion"/>
  </si>
  <si>
    <t>仓库升17级</t>
    <phoneticPr fontId="1" type="noConversion"/>
  </si>
  <si>
    <t>步兵营升8级</t>
    <phoneticPr fontId="1" type="noConversion"/>
  </si>
  <si>
    <t>步兵营升12级</t>
    <phoneticPr fontId="1" type="noConversion"/>
  </si>
  <si>
    <t>骑兵营升9级</t>
    <phoneticPr fontId="1" type="noConversion"/>
  </si>
  <si>
    <t>器械营升11级</t>
    <phoneticPr fontId="1" type="noConversion"/>
  </si>
  <si>
    <t>骑兵营升13级</t>
    <phoneticPr fontId="1" type="noConversion"/>
  </si>
  <si>
    <t>器械营升15级</t>
    <phoneticPr fontId="1" type="noConversion"/>
  </si>
  <si>
    <t>弓兵营升14级</t>
    <phoneticPr fontId="1" type="noConversion"/>
  </si>
  <si>
    <t>骑兵营升17级</t>
    <phoneticPr fontId="1" type="noConversion"/>
  </si>
  <si>
    <t>弓兵营升4级</t>
    <phoneticPr fontId="1" type="noConversion"/>
  </si>
  <si>
    <t>骑兵营升4级</t>
    <phoneticPr fontId="1" type="noConversion"/>
  </si>
  <si>
    <t>器械营升19级</t>
    <phoneticPr fontId="1" type="noConversion"/>
  </si>
  <si>
    <t>弓兵营升18级</t>
    <phoneticPr fontId="1" type="noConversion"/>
  </si>
  <si>
    <t>器械营升3级</t>
    <phoneticPr fontId="1" type="noConversion"/>
  </si>
  <si>
    <t>器械营升4级</t>
    <phoneticPr fontId="1" type="noConversion"/>
  </si>
  <si>
    <t>器械营升7级</t>
    <phoneticPr fontId="1" type="noConversion"/>
  </si>
  <si>
    <t>百家学馆升12级</t>
    <phoneticPr fontId="1" type="noConversion"/>
  </si>
  <si>
    <t>累积占领5座营寨</t>
    <phoneticPr fontId="1" type="noConversion"/>
  </si>
  <si>
    <t>累积占领19个村庄</t>
    <phoneticPr fontId="1" type="noConversion"/>
  </si>
  <si>
    <t>累积占领27个村庄</t>
    <phoneticPr fontId="1" type="noConversion"/>
  </si>
  <si>
    <t>累积占领42个村庄</t>
    <phoneticPr fontId="1" type="noConversion"/>
  </si>
  <si>
    <t>累计占领105个村庄</t>
    <phoneticPr fontId="1" type="noConversion"/>
  </si>
  <si>
    <t>累积占领46座营寨</t>
    <phoneticPr fontId="1" type="noConversion"/>
  </si>
  <si>
    <t>击败1次4级盗贼</t>
    <phoneticPr fontId="1" type="noConversion"/>
  </si>
  <si>
    <t>累积占领7座营寨</t>
    <phoneticPr fontId="1" type="noConversion"/>
  </si>
  <si>
    <t>累积占领13座营寨</t>
    <phoneticPr fontId="1" type="noConversion"/>
  </si>
  <si>
    <t>累积占领15座营寨</t>
    <phoneticPr fontId="1" type="noConversion"/>
  </si>
  <si>
    <t>累积占领20座营寨</t>
    <phoneticPr fontId="1" type="noConversion"/>
  </si>
  <si>
    <t>累积占领23座营寨</t>
    <phoneticPr fontId="1" type="noConversion"/>
  </si>
  <si>
    <t>累积占领26座营寨</t>
    <phoneticPr fontId="1" type="noConversion"/>
  </si>
  <si>
    <t>累积占领33座营寨</t>
    <phoneticPr fontId="1" type="noConversion"/>
  </si>
  <si>
    <t>累积占领37座营寨</t>
    <phoneticPr fontId="1" type="noConversion"/>
  </si>
  <si>
    <t>累积占领41座营寨</t>
    <phoneticPr fontId="1" type="noConversion"/>
  </si>
  <si>
    <t>累积占领50座营寨</t>
    <phoneticPr fontId="1" type="noConversion"/>
  </si>
  <si>
    <t>累积占领55座营寨</t>
    <phoneticPr fontId="1" type="noConversion"/>
  </si>
  <si>
    <t>累积占领12个村庄</t>
    <phoneticPr fontId="1" type="noConversion"/>
  </si>
  <si>
    <t>击败1次5级蛮族</t>
    <phoneticPr fontId="1" type="noConversion"/>
  </si>
  <si>
    <t>击败1次5级乱军</t>
    <phoneticPr fontId="1" type="noConversion"/>
  </si>
  <si>
    <t>击败1次5级盗贼</t>
    <phoneticPr fontId="1" type="noConversion"/>
  </si>
  <si>
    <t>击败1次7级蛮族</t>
    <phoneticPr fontId="1" type="noConversion"/>
  </si>
  <si>
    <t>击败1次7级乱军</t>
    <phoneticPr fontId="1" type="noConversion"/>
  </si>
  <si>
    <t>击败1次7级盗贼</t>
    <phoneticPr fontId="1" type="noConversion"/>
  </si>
  <si>
    <t>击败1次11级蛮族</t>
    <phoneticPr fontId="1" type="noConversion"/>
  </si>
  <si>
    <t>击败1次11级乱军</t>
    <phoneticPr fontId="1" type="noConversion"/>
  </si>
  <si>
    <t>击败1次11级盗贼</t>
    <phoneticPr fontId="1" type="noConversion"/>
  </si>
  <si>
    <t>击败1次12级蛮族</t>
    <phoneticPr fontId="1" type="noConversion"/>
  </si>
  <si>
    <t>击败1次12级乱军</t>
    <phoneticPr fontId="1" type="noConversion"/>
  </si>
  <si>
    <t>击败1次13级蛮族</t>
    <phoneticPr fontId="1" type="noConversion"/>
  </si>
  <si>
    <t>击败1次13级乱军</t>
    <phoneticPr fontId="1" type="noConversion"/>
  </si>
  <si>
    <t>击败1次13级盗贼</t>
    <phoneticPr fontId="1" type="noConversion"/>
  </si>
  <si>
    <t>民居升10级</t>
    <phoneticPr fontId="1" type="noConversion"/>
  </si>
  <si>
    <t>伐木场升11级</t>
    <phoneticPr fontId="1" type="noConversion"/>
  </si>
  <si>
    <t>采石场升12级</t>
    <phoneticPr fontId="1" type="noConversion"/>
  </si>
  <si>
    <t>农田升13级</t>
    <phoneticPr fontId="1" type="noConversion"/>
  </si>
  <si>
    <t>农田升15级</t>
    <phoneticPr fontId="1" type="noConversion"/>
  </si>
  <si>
    <t>民居升15级</t>
    <phoneticPr fontId="1" type="noConversion"/>
  </si>
  <si>
    <t>伐木场升16级</t>
    <phoneticPr fontId="1" type="noConversion"/>
  </si>
  <si>
    <t>采石场升16级</t>
    <phoneticPr fontId="1" type="noConversion"/>
  </si>
  <si>
    <t>铜矿升17级</t>
    <phoneticPr fontId="1" type="noConversion"/>
  </si>
  <si>
    <t>农田升19级</t>
    <phoneticPr fontId="1" type="noConversion"/>
  </si>
  <si>
    <t>伐木场升20级</t>
    <phoneticPr fontId="1" type="noConversion"/>
  </si>
  <si>
    <t>采石场升21级</t>
    <phoneticPr fontId="1" type="noConversion"/>
  </si>
  <si>
    <t>农田升22级</t>
    <phoneticPr fontId="1" type="noConversion"/>
  </si>
  <si>
    <t>伐木场升23级</t>
    <phoneticPr fontId="1" type="noConversion"/>
  </si>
  <si>
    <t>铜矿升25级</t>
    <phoneticPr fontId="1" type="noConversion"/>
  </si>
  <si>
    <t>民居升28级</t>
    <phoneticPr fontId="1" type="noConversion"/>
  </si>
  <si>
    <t>伐木场升28级</t>
    <phoneticPr fontId="1" type="noConversion"/>
  </si>
  <si>
    <t>采石场升28级</t>
    <phoneticPr fontId="1" type="noConversion"/>
  </si>
  <si>
    <t>铜矿升29级</t>
    <phoneticPr fontId="1" type="noConversion"/>
  </si>
  <si>
    <t>农田升31级</t>
    <phoneticPr fontId="1" type="noConversion"/>
  </si>
  <si>
    <t>伐木场升32级</t>
    <phoneticPr fontId="1" type="noConversion"/>
  </si>
  <si>
    <t>采石场升33级</t>
    <phoneticPr fontId="1" type="noConversion"/>
  </si>
  <si>
    <t>铜矿升34级</t>
    <phoneticPr fontId="1" type="noConversion"/>
  </si>
  <si>
    <t>农田升35级</t>
    <phoneticPr fontId="1" type="noConversion"/>
  </si>
  <si>
    <t>民居升36级</t>
    <phoneticPr fontId="1" type="noConversion"/>
  </si>
  <si>
    <t>采石场升36级</t>
    <phoneticPr fontId="1" type="noConversion"/>
  </si>
  <si>
    <t>铜矿升37级</t>
    <phoneticPr fontId="1" type="noConversion"/>
  </si>
  <si>
    <t>农田升38级</t>
    <phoneticPr fontId="1" type="noConversion"/>
  </si>
  <si>
    <t>民居升39级</t>
    <phoneticPr fontId="1" type="noConversion"/>
  </si>
  <si>
    <t>伐木场升40级</t>
    <phoneticPr fontId="1" type="noConversion"/>
  </si>
  <si>
    <t>铜矿升40级</t>
    <phoneticPr fontId="1" type="noConversion"/>
  </si>
  <si>
    <t>农田升40级</t>
    <phoneticPr fontId="1" type="noConversion"/>
  </si>
  <si>
    <t>民居升41级</t>
    <phoneticPr fontId="1" type="noConversion"/>
  </si>
  <si>
    <t>伐木场升43级</t>
    <phoneticPr fontId="1" type="noConversion"/>
  </si>
  <si>
    <t>采石场升44级</t>
    <phoneticPr fontId="1" type="noConversion"/>
  </si>
  <si>
    <t>铜矿升44级</t>
    <phoneticPr fontId="1" type="noConversion"/>
  </si>
  <si>
    <t>农田升45级</t>
    <phoneticPr fontId="1" type="noConversion"/>
  </si>
  <si>
    <t>伐木场升45级</t>
    <phoneticPr fontId="1" type="noConversion"/>
  </si>
  <si>
    <t>采石场升46级</t>
    <phoneticPr fontId="1" type="noConversion"/>
  </si>
  <si>
    <t>铜矿升47级</t>
    <phoneticPr fontId="1" type="noConversion"/>
  </si>
  <si>
    <t>民居升48级</t>
    <phoneticPr fontId="1" type="noConversion"/>
  </si>
  <si>
    <t>农田升48级</t>
    <phoneticPr fontId="1" type="noConversion"/>
  </si>
  <si>
    <t>采石场升49级</t>
    <phoneticPr fontId="1" type="noConversion"/>
  </si>
  <si>
    <t>大殿升52级</t>
  </si>
  <si>
    <t>大殿升53级</t>
  </si>
  <si>
    <t>大殿升54级</t>
  </si>
  <si>
    <t>大殿升55级</t>
  </si>
  <si>
    <t>武将升级到150级</t>
    <phoneticPr fontId="1" type="noConversion"/>
  </si>
  <si>
    <t>大殿升56级</t>
  </si>
  <si>
    <t>农田升56级</t>
  </si>
  <si>
    <t>伐木场升56级</t>
  </si>
  <si>
    <t>大殿升57级</t>
  </si>
  <si>
    <t>铜矿升57级</t>
  </si>
  <si>
    <t>采石场升57级</t>
  </si>
  <si>
    <t>大殿升58级</t>
  </si>
  <si>
    <t>冶炼厂升58级</t>
  </si>
  <si>
    <t>农田升58级</t>
  </si>
  <si>
    <t>大殿升59级</t>
  </si>
  <si>
    <t>伐木场升59级</t>
  </si>
  <si>
    <t>采石场升59级</t>
  </si>
  <si>
    <t>大殿升60级</t>
  </si>
  <si>
    <t>铜矿升60级</t>
  </si>
  <si>
    <t>冶炼厂升60级</t>
  </si>
  <si>
    <t>大殿升51级</t>
  </si>
  <si>
    <t>骑兵营升21级</t>
  </si>
  <si>
    <t>农田升51级</t>
  </si>
  <si>
    <t>伐木场升51级</t>
  </si>
  <si>
    <t>铜矿升52级</t>
  </si>
  <si>
    <t>采石场升52级</t>
  </si>
  <si>
    <t>百家学馆升21级</t>
  </si>
  <si>
    <t>冶炼厂升53级</t>
  </si>
  <si>
    <t>农田升53级</t>
  </si>
  <si>
    <t>弓兵营升22级</t>
  </si>
  <si>
    <t>伐木场升54级</t>
  </si>
  <si>
    <t>采石场升54级</t>
  </si>
  <si>
    <t>门客庭院升11级</t>
  </si>
  <si>
    <t>铜矿升55级</t>
  </si>
  <si>
    <t>冶炼厂升55级</t>
  </si>
  <si>
    <t>训练营升24级</t>
    <phoneticPr fontId="1" type="noConversion"/>
  </si>
  <si>
    <t>训练营升23级</t>
    <phoneticPr fontId="1" type="noConversion"/>
  </si>
  <si>
    <t>弓兵营升21级</t>
    <phoneticPr fontId="1" type="noConversion"/>
  </si>
  <si>
    <t>训练营升22级</t>
    <phoneticPr fontId="1" type="noConversion"/>
  </si>
  <si>
    <t>器械营升22级</t>
    <phoneticPr fontId="1" type="noConversion"/>
  </si>
  <si>
    <t>医馆升52级</t>
    <phoneticPr fontId="1" type="noConversion"/>
  </si>
  <si>
    <t>仓库升53级</t>
    <phoneticPr fontId="1" type="noConversion"/>
  </si>
  <si>
    <t>百家学馆升22级</t>
    <phoneticPr fontId="1" type="noConversion"/>
  </si>
  <si>
    <t>步兵营升23级</t>
    <phoneticPr fontId="1" type="noConversion"/>
  </si>
  <si>
    <t>骑兵营升23级</t>
    <phoneticPr fontId="1" type="noConversion"/>
  </si>
  <si>
    <t>训练营升25级</t>
    <phoneticPr fontId="1" type="noConversion"/>
  </si>
  <si>
    <t>百家学馆升23级</t>
    <phoneticPr fontId="1" type="noConversion"/>
  </si>
  <si>
    <t>门客庭院升12级</t>
    <phoneticPr fontId="1" type="noConversion"/>
  </si>
  <si>
    <t>弓兵营升24级</t>
    <phoneticPr fontId="1" type="noConversion"/>
  </si>
  <si>
    <t>医馆升55级</t>
    <phoneticPr fontId="1" type="noConversion"/>
  </si>
  <si>
    <t>弓兵营升21级</t>
  </si>
  <si>
    <t>训练营升22级</t>
  </si>
  <si>
    <t>医馆升52级</t>
  </si>
  <si>
    <t>仓库升53级</t>
  </si>
  <si>
    <t>训练营升23级</t>
  </si>
  <si>
    <t>器械营升22级</t>
  </si>
  <si>
    <t>医馆升55级</t>
  </si>
  <si>
    <t>百家学馆升22级</t>
  </si>
  <si>
    <t>训练营升24级</t>
  </si>
  <si>
    <t>步兵营升23级</t>
  </si>
  <si>
    <t>骑兵营升23级</t>
  </si>
  <si>
    <t>训练营升25级</t>
  </si>
  <si>
    <t>百家学馆升23级</t>
  </si>
  <si>
    <t>门客庭院升12级</t>
  </si>
  <si>
    <t>弓兵营升24级</t>
  </si>
  <si>
    <t>任务</t>
    <phoneticPr fontId="1" type="noConversion"/>
  </si>
  <si>
    <t>玩家经验</t>
  </si>
  <si>
    <t>主线积分</t>
  </si>
  <si>
    <t>安全铁锭</t>
  </si>
  <si>
    <t>安全木材</t>
  </si>
  <si>
    <t>安全石料</t>
  </si>
  <si>
    <t>安全铜矿</t>
  </si>
  <si>
    <t>安全粮食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</si>
</sst>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  <scheme val="major"/>
    </font>
    <font>
      <sz val="9"/>
      <color theme="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96">
    <xf numFmtId="0" fontId="0" fillId="0" borderId="0" xfId="0"/>
    <xf numFmtId="1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9" fontId="3" fillId="0" borderId="0" xfId="1" applyFont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I4">
            <v>1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  <cell r="BP4">
            <v>1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W4">
            <v>1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  <cell r="CC4">
            <v>3.8187662869079366</v>
          </cell>
          <cell r="CE4">
            <v>3</v>
          </cell>
          <cell r="CF4">
            <v>7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I5">
            <v>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  <cell r="BP5">
            <v>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W5">
            <v>2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  <cell r="CC5">
            <v>5.5020994005782997</v>
          </cell>
          <cell r="CE5">
            <v>8</v>
          </cell>
          <cell r="CF5">
            <v>12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I6">
            <v>3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  <cell r="BP6">
            <v>3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W6">
            <v>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  <cell r="CC6">
            <v>6.8403179035964721</v>
          </cell>
          <cell r="CE6">
            <v>13</v>
          </cell>
          <cell r="CF6">
            <v>15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I7">
            <v>4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  <cell r="BP7">
            <v>4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W7">
            <v>4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  <cell r="CC7">
            <v>7.9454083416525796</v>
          </cell>
          <cell r="CE7">
            <v>18</v>
          </cell>
          <cell r="CF7">
            <v>18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I8">
            <v>5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  <cell r="BP8">
            <v>5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W8">
            <v>5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  <cell r="CC8">
            <v>8.8384248761652557</v>
          </cell>
          <cell r="CE8">
            <v>23</v>
          </cell>
          <cell r="CF8">
            <v>21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I9">
            <v>6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  <cell r="BP9">
            <v>6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W9">
            <v>6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  <cell r="CC9">
            <v>9.6752186318997833</v>
          </cell>
          <cell r="CE9">
            <v>28</v>
          </cell>
          <cell r="CF9">
            <v>24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I10">
            <v>7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  <cell r="BP10">
            <v>7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W10">
            <v>7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  <cell r="CC10">
            <v>10.460138723751793</v>
          </cell>
          <cell r="CE10">
            <v>33</v>
          </cell>
          <cell r="CF10">
            <v>26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I11">
            <v>8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  <cell r="BP11">
            <v>8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W11">
            <v>8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  <cell r="CC11">
            <v>11.201197012273351</v>
          </cell>
          <cell r="CE11">
            <v>38</v>
          </cell>
          <cell r="CF11">
            <v>28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I12">
            <v>9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  <cell r="BP12">
            <v>9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W12">
            <v>9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  <cell r="CC12">
            <v>12.017497952687538</v>
          </cell>
          <cell r="CE12">
            <v>43</v>
          </cell>
          <cell r="CF12">
            <v>30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I13">
            <v>10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  <cell r="BP13">
            <v>10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W13">
            <v>10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  <cell r="CC13">
            <v>12.803444306803474</v>
          </cell>
          <cell r="CE13">
            <v>48</v>
          </cell>
          <cell r="CF13">
            <v>33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I14">
            <v>11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  <cell r="BP14">
            <v>11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W14">
            <v>11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  <cell r="CC14">
            <v>13.547253897167892</v>
          </cell>
          <cell r="CE14">
            <v>53</v>
          </cell>
          <cell r="CF14">
            <v>35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I15">
            <v>12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  <cell r="BP15">
            <v>12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W15">
            <v>12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  <cell r="CC15">
            <v>14.265591764569512</v>
          </cell>
          <cell r="CE15">
            <v>58</v>
          </cell>
          <cell r="CF15">
            <v>37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I16">
            <v>13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  <cell r="BP16">
            <v>13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W16">
            <v>13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  <cell r="CC16">
            <v>14.981817088938907</v>
          </cell>
          <cell r="CE16">
            <v>63</v>
          </cell>
          <cell r="CF16">
            <v>39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I17">
            <v>14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  <cell r="BP17">
            <v>14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W17">
            <v>14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  <cell r="CC17">
            <v>15.548154022600523</v>
          </cell>
          <cell r="CE17">
            <v>68</v>
          </cell>
          <cell r="CF17">
            <v>42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I18">
            <v>15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  <cell r="BP18">
            <v>15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W18">
            <v>15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  <cell r="CC18">
            <v>16.186655799493046</v>
          </cell>
          <cell r="CE18">
            <v>73</v>
          </cell>
          <cell r="CF18">
            <v>44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I19">
            <v>16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  <cell r="BP19">
            <v>16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W19">
            <v>16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  <cell r="CC19">
            <v>16.836396297114952</v>
          </cell>
          <cell r="CE19">
            <v>78</v>
          </cell>
          <cell r="CF19">
            <v>46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I20">
            <v>17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  <cell r="BP20">
            <v>17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W20">
            <v>17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  <cell r="CC20">
            <v>17.338393226762065</v>
          </cell>
          <cell r="CE20">
            <v>83</v>
          </cell>
          <cell r="CF20">
            <v>49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I21">
            <v>18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  <cell r="BP21">
            <v>18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W21">
            <v>18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  <cell r="CC21">
            <v>17.928688718553115</v>
          </cell>
          <cell r="CE21">
            <v>88</v>
          </cell>
          <cell r="CF21">
            <v>51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I22">
            <v>19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  <cell r="BP22">
            <v>19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W22">
            <v>19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  <cell r="CC22">
            <v>18.472191841608893</v>
          </cell>
          <cell r="CE22">
            <v>93</v>
          </cell>
          <cell r="CF22">
            <v>53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I23">
            <v>20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  <cell r="BP23">
            <v>20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W23">
            <v>20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  <cell r="CC23">
            <v>19.004337291338853</v>
          </cell>
          <cell r="CE23">
            <v>98</v>
          </cell>
          <cell r="CF23">
            <v>55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I24">
            <v>21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  <cell r="BP24">
            <v>21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W24">
            <v>21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  <cell r="CC24">
            <v>19.541473862851607</v>
          </cell>
          <cell r="CE24">
            <v>103</v>
          </cell>
          <cell r="CF24">
            <v>58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I25">
            <v>22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  <cell r="BP25">
            <v>22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W25">
            <v>22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  <cell r="CC25">
            <v>20.093055324260185</v>
          </cell>
          <cell r="CE25">
            <v>108</v>
          </cell>
          <cell r="CF25">
            <v>60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I26">
            <v>23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  <cell r="BP26">
            <v>23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W26">
            <v>23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  <cell r="CC26">
            <v>20.55086831448148</v>
          </cell>
          <cell r="CE26">
            <v>113</v>
          </cell>
          <cell r="CF26">
            <v>62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I27">
            <v>24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  <cell r="BP27">
            <v>24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W27">
            <v>24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  <cell r="CC27">
            <v>21.075914438033141</v>
          </cell>
          <cell r="CE27">
            <v>118</v>
          </cell>
          <cell r="CF27">
            <v>65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I28">
            <v>25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  <cell r="BP28">
            <v>25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W28">
            <v>25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  <cell r="CC28">
            <v>21.544273429748305</v>
          </cell>
          <cell r="CE28">
            <v>123</v>
          </cell>
          <cell r="CF28">
            <v>67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I29">
            <v>26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  <cell r="BP29">
            <v>26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W29">
            <v>26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  <cell r="CC29">
            <v>22.040613536331495</v>
          </cell>
          <cell r="CE29">
            <v>128</v>
          </cell>
          <cell r="CF29">
            <v>69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I30">
            <v>27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  <cell r="BP30">
            <v>27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W30">
            <v>27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  <cell r="CC30">
            <v>22.50487323022379</v>
          </cell>
          <cell r="CE30">
            <v>133</v>
          </cell>
          <cell r="CF30">
            <v>72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I31">
            <v>28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  <cell r="BP31">
            <v>28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W31">
            <v>28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  <cell r="CC31">
            <v>23.020448156730307</v>
          </cell>
          <cell r="CE31">
            <v>138</v>
          </cell>
          <cell r="CF31">
            <v>74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I32">
            <v>29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  <cell r="BP32">
            <v>29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W32">
            <v>29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  <cell r="CC32">
            <v>23.517361184365331</v>
          </cell>
          <cell r="CE32">
            <v>143</v>
          </cell>
          <cell r="CF32">
            <v>76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I33">
            <v>30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  <cell r="BP33">
            <v>30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W33">
            <v>30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  <cell r="CC33">
            <v>24.015075841763835</v>
          </cell>
          <cell r="CE33">
            <v>148</v>
          </cell>
          <cell r="CF33">
            <v>79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I34">
            <v>31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  <cell r="BP34">
            <v>31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W34">
            <v>31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  <cell r="CC34">
            <v>24.476288482572343</v>
          </cell>
          <cell r="CE34">
            <v>153</v>
          </cell>
          <cell r="CF34">
            <v>80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I35">
            <v>32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  <cell r="BP35">
            <v>32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W35">
            <v>32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  <cell r="CC35">
            <v>24.96122010782668</v>
          </cell>
          <cell r="CE35">
            <v>158</v>
          </cell>
          <cell r="CF35">
            <v>80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I36">
            <v>33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  <cell r="BP36">
            <v>33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W36">
            <v>33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  <cell r="CC36">
            <v>25.404062586103631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I37">
            <v>34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  <cell r="BP37">
            <v>34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W37">
            <v>34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  <cell r="CC37">
            <v>25.887144728338249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I38">
            <v>35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  <cell r="BP38">
            <v>35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W38">
            <v>35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  <cell r="CC38">
            <v>26.336246235371831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I39">
            <v>36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  <cell r="BP39">
            <v>36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W39">
            <v>36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  <cell r="CC39">
            <v>26.766316250847538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I40">
            <v>37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  <cell r="BP40">
            <v>37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W40">
            <v>37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  <cell r="CC40">
            <v>27.220389775920598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I41">
            <v>38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  <cell r="BP41">
            <v>38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W41">
            <v>38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  <cell r="CC41">
            <v>27.655588848776532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I42">
            <v>39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  <cell r="BP42">
            <v>39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W42">
            <v>39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  <cell r="CC42">
            <v>28.116418470149469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I43">
            <v>40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  <cell r="BP43">
            <v>40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W43">
            <v>40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  <cell r="CC43">
            <v>28.568390277483555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I44">
            <v>41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  <cell r="BP44">
            <v>41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W44">
            <v>41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  <cell r="CC44">
            <v>29.053470241147885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I45">
            <v>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  <cell r="BP45">
            <v>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W45">
            <v>42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  <cell r="CC45">
            <v>29.507063914299049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I46">
            <v>43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  <cell r="BP46">
            <v>43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W46">
            <v>43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  <cell r="CC46">
            <v>29.964225263024609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I47">
            <v>44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  <cell r="BP47">
            <v>44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W47">
            <v>44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  <cell r="CC47">
            <v>30.383161594939057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I48">
            <v>45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  <cell r="BP48">
            <v>45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W48">
            <v>45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  <cell r="CC48">
            <v>30.827767428124027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I49">
            <v>46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  <cell r="BP49">
            <v>46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W49">
            <v>46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  <cell r="CC49">
            <v>31.241319778905254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I50">
            <v>47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  <cell r="BP50">
            <v>47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W50">
            <v>47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  <cell r="CC50">
            <v>31.657589077576048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I51">
            <v>48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  <cell r="BP51">
            <v>48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W51">
            <v>48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  <cell r="CC51">
            <v>32.084842711724434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I52">
            <v>49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  <cell r="BP52">
            <v>49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W52">
            <v>49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  <cell r="CC52">
            <v>32.512459036550872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I53">
            <v>50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  <cell r="BP53">
            <v>50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W53">
            <v>50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  <cell r="CC53">
            <v>32.979479362275733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I54">
            <v>51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  <cell r="BP54">
            <v>51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W54">
            <v>51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  <cell r="CC54">
            <v>33.39192659810282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I55">
            <v>52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  <cell r="BP55">
            <v>52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W55">
            <v>52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  <cell r="CC55">
            <v>33.843039941845369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I56">
            <v>53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  <cell r="BP56">
            <v>53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W56">
            <v>53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  <cell r="CC56">
            <v>34.274966559784382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I57">
            <v>54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  <cell r="BP57">
            <v>54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W57">
            <v>54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  <cell r="CC57">
            <v>34.686702458597871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I58">
            <v>55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  <cell r="BP58">
            <v>55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W58">
            <v>55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  <cell r="CC58">
            <v>35.119323824093144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I59">
            <v>56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  <cell r="BP59">
            <v>56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W59">
            <v>56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  <cell r="CC59">
            <v>35.555098518625485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I60">
            <v>57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  <cell r="BP60">
            <v>57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W60">
            <v>57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  <cell r="CC60">
            <v>36.028038378653754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I61">
            <v>58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  <cell r="BP61">
            <v>58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W61">
            <v>58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  <cell r="CC61">
            <v>36.465928362136154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I62">
            <v>59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  <cell r="BP62">
            <v>59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W62">
            <v>59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  <cell r="CC62">
            <v>36.948702736645387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I63">
            <v>60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  <cell r="BP63">
            <v>60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W63">
            <v>60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  <cell r="CC63">
            <v>37.417758642742506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I64">
            <v>61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  <cell r="BP64">
            <v>61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W64">
            <v>61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  <cell r="CC64">
            <v>37.899048700813722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I65">
            <v>62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  <cell r="BP65">
            <v>62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W65">
            <v>62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  <cell r="CC65">
            <v>38.389532424015663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I66">
            <v>63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  <cell r="BP66">
            <v>63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W66">
            <v>63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  <cell r="CC66">
            <v>38.883046871454752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I67">
            <v>64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  <cell r="BP67">
            <v>64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W67">
            <v>64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  <cell r="CC67">
            <v>39.342673018124934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I68">
            <v>65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  <cell r="BP68">
            <v>65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W68">
            <v>65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  <cell r="CC68">
            <v>39.788896264020153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I69">
            <v>66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  <cell r="BP69">
            <v>66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W69">
            <v>66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  <cell r="CC69">
            <v>40.250881200683118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I70">
            <v>67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  <cell r="BP70">
            <v>67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W70">
            <v>67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  <cell r="CC70">
            <v>40.704888716037352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I71">
            <v>68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  <cell r="BP71">
            <v>68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W71">
            <v>68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  <cell r="CC71">
            <v>41.159720729358739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I72">
            <v>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  <cell r="BP72">
            <v>69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W72">
            <v>69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  <cell r="CC72">
            <v>41.602363103332472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I73">
            <v>70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  <cell r="BP73">
            <v>70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W73">
            <v>70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  <cell r="CC73">
            <v>42.080332137364977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I74">
            <v>71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  <cell r="BP74">
            <v>71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W74">
            <v>71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  <cell r="CC74">
            <v>42.536236620449564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I75">
            <v>72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  <cell r="BP75">
            <v>72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W75">
            <v>72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  <cell r="CC75">
            <v>43.014746184152813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I76">
            <v>73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  <cell r="BP76">
            <v>73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W76">
            <v>73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  <cell r="CC76">
            <v>43.461216869621744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I77">
            <v>74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  <cell r="BP77">
            <v>74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W77">
            <v>74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  <cell r="CC77">
            <v>43.954310083598529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I78">
            <v>75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  <cell r="BP78">
            <v>75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W78">
            <v>75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  <cell r="CC78">
            <v>44.424142211876969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I79">
            <v>76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  <cell r="BP79">
            <v>76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W79">
            <v>76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  <cell r="CC79">
            <v>44.929489637728736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I80">
            <v>77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  <cell r="BP80">
            <v>77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W80">
            <v>77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  <cell r="CC80">
            <v>45.371092241532111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I81">
            <v>78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  <cell r="BP81">
            <v>78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W81">
            <v>78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  <cell r="CC81">
            <v>45.830400612131918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I82">
            <v>79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  <cell r="BP82">
            <v>79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W82">
            <v>79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  <cell r="CC82">
            <v>46.284169788056381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I83">
            <v>80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  <cell r="BP83">
            <v>80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W83">
            <v>80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  <cell r="CC83">
            <v>46.732532092773639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I84">
            <v>81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  <cell r="BW84">
            <v>81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  <cell r="CC84">
            <v>47.191499408717924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I85">
            <v>82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  <cell r="BW85">
            <v>82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  <cell r="CC85">
            <v>47.638352338376762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I86">
            <v>83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  <cell r="BW86">
            <v>83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  <cell r="CC86">
            <v>48.115820139041681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I87">
            <v>84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  <cell r="BW87">
            <v>84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  <cell r="CC87">
            <v>48.579255981153665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I88">
            <v>85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  <cell r="BW88">
            <v>85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  <cell r="CC88">
            <v>49.063491154445543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I89">
            <v>86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  <cell r="BW89">
            <v>86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  <cell r="CC89">
            <v>49.460909841064307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I90">
            <v>87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  <cell r="BW90">
            <v>87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  <cell r="CC90">
            <v>49.882526243554615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I91">
            <v>88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  <cell r="BW91">
            <v>88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  <cell r="CC91">
            <v>50.296637451558702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I92">
            <v>89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  <cell r="BW92">
            <v>89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  <cell r="CC92">
            <v>50.6943349274338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I93">
            <v>90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  <cell r="BW93">
            <v>90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  <cell r="CC93">
            <v>51.099355476740961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I94">
            <v>91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  <cell r="BW94">
            <v>91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  <cell r="CC94">
            <v>51.534250551986972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I95">
            <v>92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  <cell r="BW95">
            <v>92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  <cell r="CC95">
            <v>51.984969997617021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I96">
            <v>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  <cell r="BW96">
            <v>93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  <cell r="CC96">
            <v>52.414208810757216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I97">
            <v>94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  <cell r="BW97">
            <v>94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  <cell r="CC97">
            <v>52.864865346365669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I98">
            <v>95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  <cell r="BW98">
            <v>95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  <cell r="CC98">
            <v>53.338289705589766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I99">
            <v>96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  <cell r="BW99">
            <v>96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  <cell r="CC99">
            <v>53.821316321108398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I100">
            <v>97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  <cell r="BW100">
            <v>97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  <cell r="CC100">
            <v>54.335165952675545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I101">
            <v>98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  <cell r="BW101">
            <v>98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  <cell r="CC101">
            <v>54.855218110725374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I102">
            <v>99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  <cell r="BW102">
            <v>99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  <cell r="CC102">
            <v>55.30747709307812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I103">
            <v>100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  <cell r="BW103">
            <v>100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  <cell r="CC103">
            <v>55.74912762806774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I104">
            <v>101</v>
          </cell>
          <cell r="BJ104">
            <v>3.4999999999999978</v>
          </cell>
          <cell r="BK104">
            <v>3.5699999999999976</v>
          </cell>
          <cell r="BL104">
            <v>3.7099999999999977</v>
          </cell>
          <cell r="BM104">
            <v>3.9899999999999971</v>
          </cell>
          <cell r="BN104">
            <v>4.8999999999999968</v>
          </cell>
          <cell r="BW104">
            <v>101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  <cell r="CC104">
            <v>56.197353484420169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I105">
            <v>102</v>
          </cell>
          <cell r="BJ105">
            <v>3.4999999999999978</v>
          </cell>
          <cell r="BK105">
            <v>3.5699999999999976</v>
          </cell>
          <cell r="BL105">
            <v>3.7099999999999977</v>
          </cell>
          <cell r="BM105">
            <v>3.9899999999999971</v>
          </cell>
          <cell r="BN105">
            <v>4.8999999999999968</v>
          </cell>
          <cell r="BW105">
            <v>102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  <cell r="CC105">
            <v>56.644593793802954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I106">
            <v>103</v>
          </cell>
          <cell r="BJ106">
            <v>3.4999999999999978</v>
          </cell>
          <cell r="BK106">
            <v>3.5699999999999976</v>
          </cell>
          <cell r="BL106">
            <v>3.7099999999999977</v>
          </cell>
          <cell r="BM106">
            <v>3.9899999999999971</v>
          </cell>
          <cell r="BN106">
            <v>4.8999999999999968</v>
          </cell>
          <cell r="BW106">
            <v>103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  <cell r="CC106">
            <v>57.120261567759663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I107">
            <v>104</v>
          </cell>
          <cell r="BJ107">
            <v>3.4999999999999978</v>
          </cell>
          <cell r="BK107">
            <v>3.5699999999999976</v>
          </cell>
          <cell r="BL107">
            <v>3.7099999999999977</v>
          </cell>
          <cell r="BM107">
            <v>3.9899999999999971</v>
          </cell>
          <cell r="BN107">
            <v>4.8999999999999968</v>
          </cell>
          <cell r="BW107">
            <v>104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  <cell r="CC107">
            <v>57.593396752318156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I108">
            <v>105</v>
          </cell>
          <cell r="BJ108">
            <v>3.4999999999999978</v>
          </cell>
          <cell r="BK108">
            <v>3.5699999999999976</v>
          </cell>
          <cell r="BL108">
            <v>3.7099999999999977</v>
          </cell>
          <cell r="BM108">
            <v>3.9899999999999971</v>
          </cell>
          <cell r="BN108">
            <v>4.8999999999999968</v>
          </cell>
          <cell r="BW108">
            <v>105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  <cell r="CC108">
            <v>58.077862645108048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I109">
            <v>106</v>
          </cell>
          <cell r="BJ109">
            <v>3.4999999999999978</v>
          </cell>
          <cell r="BK109">
            <v>3.5699999999999976</v>
          </cell>
          <cell r="BL109">
            <v>3.7099999999999977</v>
          </cell>
          <cell r="BM109">
            <v>3.9899999999999971</v>
          </cell>
          <cell r="BN109">
            <v>4.8999999999999968</v>
          </cell>
          <cell r="BW109">
            <v>106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  <cell r="CC109">
            <v>58.512079069363097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I110">
            <v>107</v>
          </cell>
          <cell r="BJ110">
            <v>3.4999999999999978</v>
          </cell>
          <cell r="BK110">
            <v>3.5699999999999976</v>
          </cell>
          <cell r="BL110">
            <v>3.7099999999999977</v>
          </cell>
          <cell r="BM110">
            <v>3.9899999999999971</v>
          </cell>
          <cell r="BN110">
            <v>4.8999999999999968</v>
          </cell>
          <cell r="BW110">
            <v>107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  <cell r="CC110">
            <v>58.970102918190015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I111">
            <v>108</v>
          </cell>
          <cell r="BJ111">
            <v>3.4999999999999978</v>
          </cell>
          <cell r="BK111">
            <v>3.5699999999999976</v>
          </cell>
          <cell r="BL111">
            <v>3.7099999999999977</v>
          </cell>
          <cell r="BM111">
            <v>3.9899999999999971</v>
          </cell>
          <cell r="BN111">
            <v>4.8999999999999968</v>
          </cell>
          <cell r="BW111">
            <v>108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  <cell r="CC111">
            <v>59.41663449571719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I112">
            <v>109</v>
          </cell>
          <cell r="BJ112">
            <v>3.4999999999999978</v>
          </cell>
          <cell r="BK112">
            <v>3.5699999999999976</v>
          </cell>
          <cell r="BL112">
            <v>3.7099999999999977</v>
          </cell>
          <cell r="BM112">
            <v>3.9899999999999971</v>
          </cell>
          <cell r="BN112">
            <v>4.8999999999999968</v>
          </cell>
          <cell r="BW112">
            <v>109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  <cell r="CC112">
            <v>59.895591141330719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I113">
            <v>110</v>
          </cell>
          <cell r="BJ113">
            <v>3.4999999999999978</v>
          </cell>
          <cell r="BK113">
            <v>3.5699999999999976</v>
          </cell>
          <cell r="BL113">
            <v>3.7099999999999977</v>
          </cell>
          <cell r="BM113">
            <v>3.9899999999999971</v>
          </cell>
          <cell r="BN113">
            <v>4.8999999999999968</v>
          </cell>
          <cell r="BW113">
            <v>110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  <cell r="CC113">
            <v>60.373224714907948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I114">
            <v>111</v>
          </cell>
          <cell r="BJ114">
            <v>3.4999999999999978</v>
          </cell>
          <cell r="BK114">
            <v>3.5699999999999976</v>
          </cell>
          <cell r="BL114">
            <v>3.7099999999999977</v>
          </cell>
          <cell r="BM114">
            <v>3.9899999999999971</v>
          </cell>
          <cell r="BN114">
            <v>4.8999999999999968</v>
          </cell>
          <cell r="BW114">
            <v>111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  <cell r="CC114">
            <v>60.881867647056097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I115">
            <v>112</v>
          </cell>
          <cell r="BJ115">
            <v>3.4999999999999978</v>
          </cell>
          <cell r="BK115">
            <v>3.5699999999999976</v>
          </cell>
          <cell r="BL115">
            <v>3.7099999999999977</v>
          </cell>
          <cell r="BM115">
            <v>3.9899999999999971</v>
          </cell>
          <cell r="BN115">
            <v>4.8999999999999968</v>
          </cell>
          <cell r="BW115">
            <v>112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  <cell r="CC115">
            <v>61.325402417517608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I116">
            <v>113</v>
          </cell>
          <cell r="BJ116">
            <v>3.4999999999999978</v>
          </cell>
          <cell r="BK116">
            <v>3.5699999999999976</v>
          </cell>
          <cell r="BL116">
            <v>3.7099999999999977</v>
          </cell>
          <cell r="BM116">
            <v>3.9899999999999971</v>
          </cell>
          <cell r="BN116">
            <v>4.8999999999999968</v>
          </cell>
          <cell r="BW116">
            <v>113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  <cell r="CC116">
            <v>61.779418699074547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I117">
            <v>114</v>
          </cell>
          <cell r="BJ117">
            <v>3.4999999999999978</v>
          </cell>
          <cell r="BK117">
            <v>3.5699999999999976</v>
          </cell>
          <cell r="BL117">
            <v>3.7099999999999977</v>
          </cell>
          <cell r="BM117">
            <v>3.9899999999999971</v>
          </cell>
          <cell r="BN117">
            <v>4.8999999999999968</v>
          </cell>
          <cell r="BW117">
            <v>114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  <cell r="CC117">
            <v>62.228360857153817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I118">
            <v>115</v>
          </cell>
          <cell r="BJ118">
            <v>3.4999999999999978</v>
          </cell>
          <cell r="BK118">
            <v>3.5699999999999976</v>
          </cell>
          <cell r="BL118">
            <v>3.7099999999999977</v>
          </cell>
          <cell r="BM118">
            <v>3.9899999999999971</v>
          </cell>
          <cell r="BN118">
            <v>4.8999999999999968</v>
          </cell>
          <cell r="BW118">
            <v>115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  <cell r="CC118">
            <v>62.670432709865914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I119">
            <v>116</v>
          </cell>
          <cell r="BJ119">
            <v>3.4999999999999978</v>
          </cell>
          <cell r="BK119">
            <v>3.5699999999999976</v>
          </cell>
          <cell r="BL119">
            <v>3.7099999999999977</v>
          </cell>
          <cell r="BM119">
            <v>3.9899999999999971</v>
          </cell>
          <cell r="BN119">
            <v>4.8999999999999968</v>
          </cell>
          <cell r="BW119">
            <v>116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  <cell r="CC119">
            <v>63.150055056035825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I120">
            <v>117</v>
          </cell>
          <cell r="BJ120">
            <v>3.4999999999999978</v>
          </cell>
          <cell r="BK120">
            <v>3.5699999999999976</v>
          </cell>
          <cell r="BL120">
            <v>3.7099999999999977</v>
          </cell>
          <cell r="BM120">
            <v>3.9899999999999971</v>
          </cell>
          <cell r="BN120">
            <v>4.8999999999999968</v>
          </cell>
          <cell r="BW120">
            <v>117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  <cell r="CC120">
            <v>63.626729194306485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I121">
            <v>118</v>
          </cell>
          <cell r="BJ121">
            <v>3.4999999999999978</v>
          </cell>
          <cell r="BK121">
            <v>3.5699999999999976</v>
          </cell>
          <cell r="BL121">
            <v>3.7099999999999977</v>
          </cell>
          <cell r="BM121">
            <v>3.9899999999999971</v>
          </cell>
          <cell r="BN121">
            <v>4.8999999999999968</v>
          </cell>
          <cell r="BW121">
            <v>118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  <cell r="CC121">
            <v>64.112208257096498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I122">
            <v>119</v>
          </cell>
          <cell r="BJ122">
            <v>3.4999999999999978</v>
          </cell>
          <cell r="BK122">
            <v>3.5699999999999976</v>
          </cell>
          <cell r="BL122">
            <v>3.7099999999999977</v>
          </cell>
          <cell r="BM122">
            <v>3.9899999999999971</v>
          </cell>
          <cell r="BN122">
            <v>4.8999999999999968</v>
          </cell>
          <cell r="BW122">
            <v>119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  <cell r="CC122">
            <v>64.554656492906943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I123">
            <v>120</v>
          </cell>
          <cell r="BJ123">
            <v>3.4999999999999978</v>
          </cell>
          <cell r="BK123">
            <v>3.5699999999999976</v>
          </cell>
          <cell r="BL123">
            <v>3.7099999999999977</v>
          </cell>
          <cell r="BM123">
            <v>3.9899999999999971</v>
          </cell>
          <cell r="BN123">
            <v>4.8999999999999968</v>
          </cell>
          <cell r="BW123">
            <v>120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  <cell r="CC123">
            <v>65.018752205023816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I124">
            <v>121</v>
          </cell>
          <cell r="BJ124">
            <v>3.4999999999999978</v>
          </cell>
          <cell r="BK124">
            <v>3.5699999999999976</v>
          </cell>
          <cell r="BL124">
            <v>3.7099999999999977</v>
          </cell>
          <cell r="BM124">
            <v>3.9899999999999971</v>
          </cell>
          <cell r="BN124">
            <v>4.8999999999999968</v>
          </cell>
          <cell r="BW124">
            <v>121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  <cell r="CC124">
            <v>65.467913166257659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I125">
            <v>122</v>
          </cell>
          <cell r="BJ125">
            <v>3.4999999999999978</v>
          </cell>
          <cell r="BK125">
            <v>3.5699999999999976</v>
          </cell>
          <cell r="BL125">
            <v>3.7099999999999977</v>
          </cell>
          <cell r="BM125">
            <v>3.9899999999999971</v>
          </cell>
          <cell r="BN125">
            <v>4.8999999999999968</v>
          </cell>
          <cell r="BW125">
            <v>122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  <cell r="CC125">
            <v>65.948748404290441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I126">
            <v>123</v>
          </cell>
          <cell r="BJ126">
            <v>3.4999999999999978</v>
          </cell>
          <cell r="BK126">
            <v>3.5699999999999976</v>
          </cell>
          <cell r="BL126">
            <v>3.7099999999999977</v>
          </cell>
          <cell r="BM126">
            <v>3.9899999999999971</v>
          </cell>
          <cell r="BN126">
            <v>4.8999999999999968</v>
          </cell>
          <cell r="BW126">
            <v>123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  <cell r="CC126">
            <v>66.431751354934946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I127">
            <v>124</v>
          </cell>
          <cell r="BJ127">
            <v>3.4999999999999978</v>
          </cell>
          <cell r="BK127">
            <v>3.5699999999999976</v>
          </cell>
          <cell r="BL127">
            <v>3.7099999999999977</v>
          </cell>
          <cell r="BM127">
            <v>3.9899999999999971</v>
          </cell>
          <cell r="BN127">
            <v>4.8999999999999968</v>
          </cell>
          <cell r="BW127">
            <v>124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  <cell r="CC127">
            <v>66.943644127984214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I128">
            <v>125</v>
          </cell>
          <cell r="BJ128">
            <v>3.4999999999999978</v>
          </cell>
          <cell r="BK128">
            <v>3.5699999999999976</v>
          </cell>
          <cell r="BL128">
            <v>3.7099999999999977</v>
          </cell>
          <cell r="BM128">
            <v>3.9899999999999971</v>
          </cell>
          <cell r="BN128">
            <v>4.8999999999999968</v>
          </cell>
          <cell r="BW128">
            <v>125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  <cell r="CC128">
            <v>67.370305760801529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I129">
            <v>126</v>
          </cell>
          <cell r="BJ129">
            <v>3.4999999999999978</v>
          </cell>
          <cell r="BK129">
            <v>3.5699999999999976</v>
          </cell>
          <cell r="BL129">
            <v>3.7099999999999977</v>
          </cell>
          <cell r="BM129">
            <v>3.9899999999999971</v>
          </cell>
          <cell r="BN129">
            <v>4.8999999999999968</v>
          </cell>
          <cell r="BW129">
            <v>126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  <cell r="CC129">
            <v>67.816988171637291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I130">
            <v>127</v>
          </cell>
          <cell r="BJ130">
            <v>3.4999999999999978</v>
          </cell>
          <cell r="BK130">
            <v>3.5699999999999976</v>
          </cell>
          <cell r="BL130">
            <v>3.7099999999999977</v>
          </cell>
          <cell r="BM130">
            <v>3.9899999999999971</v>
          </cell>
          <cell r="BN130">
            <v>4.8999999999999968</v>
          </cell>
          <cell r="BW130">
            <v>127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  <cell r="CC130">
            <v>68.263631118638116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I131">
            <v>128</v>
          </cell>
          <cell r="BJ131">
            <v>3.4999999999999978</v>
          </cell>
          <cell r="BK131">
            <v>3.5699999999999976</v>
          </cell>
          <cell r="BL131">
            <v>3.7099999999999977</v>
          </cell>
          <cell r="BM131">
            <v>3.9899999999999971</v>
          </cell>
          <cell r="BN131">
            <v>4.8999999999999968</v>
          </cell>
          <cell r="BW131">
            <v>128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  <cell r="CC131">
            <v>68.722305062357819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I132">
            <v>129</v>
          </cell>
          <cell r="BJ132">
            <v>3.4999999999999978</v>
          </cell>
          <cell r="BK132">
            <v>3.5699999999999976</v>
          </cell>
          <cell r="BL132">
            <v>3.7099999999999977</v>
          </cell>
          <cell r="BM132">
            <v>3.9899999999999971</v>
          </cell>
          <cell r="BN132">
            <v>4.8999999999999968</v>
          </cell>
          <cell r="BW132">
            <v>129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  <cell r="CC132">
            <v>69.214384865866279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I133">
            <v>130</v>
          </cell>
          <cell r="BJ133">
            <v>3.4999999999999978</v>
          </cell>
          <cell r="BK133">
            <v>3.5699999999999976</v>
          </cell>
          <cell r="BL133">
            <v>3.7099999999999977</v>
          </cell>
          <cell r="BM133">
            <v>3.9899999999999971</v>
          </cell>
          <cell r="BN133">
            <v>4.8999999999999968</v>
          </cell>
          <cell r="BW133">
            <v>130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  <cell r="CC133">
            <v>69.710697401213693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I134">
            <v>131</v>
          </cell>
          <cell r="BJ134">
            <v>3.4999999999999978</v>
          </cell>
          <cell r="BK134">
            <v>3.5699999999999976</v>
          </cell>
          <cell r="BL134">
            <v>3.7099999999999977</v>
          </cell>
          <cell r="BM134">
            <v>3.9899999999999971</v>
          </cell>
          <cell r="BN134">
            <v>4.8999999999999968</v>
          </cell>
          <cell r="BW134">
            <v>131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  <cell r="CC134">
            <v>70.183493178644127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I135">
            <v>132</v>
          </cell>
          <cell r="BJ135">
            <v>3.4999999999999978</v>
          </cell>
          <cell r="BK135">
            <v>3.5699999999999976</v>
          </cell>
          <cell r="BL135">
            <v>3.7099999999999977</v>
          </cell>
          <cell r="BM135">
            <v>3.9899999999999971</v>
          </cell>
          <cell r="BN135">
            <v>4.8999999999999968</v>
          </cell>
          <cell r="BW135">
            <v>132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  <cell r="CC135">
            <v>70.631595403974814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I136">
            <v>133</v>
          </cell>
          <cell r="BJ136">
            <v>3.4999999999999978</v>
          </cell>
          <cell r="BK136">
            <v>3.5699999999999976</v>
          </cell>
          <cell r="BL136">
            <v>3.7099999999999977</v>
          </cell>
          <cell r="BM136">
            <v>3.9899999999999971</v>
          </cell>
          <cell r="BN136">
            <v>4.8999999999999968</v>
          </cell>
          <cell r="BW136">
            <v>133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  <cell r="CC136">
            <v>71.090343829912982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I137">
            <v>134</v>
          </cell>
          <cell r="BJ137">
            <v>3.4999999999999978</v>
          </cell>
          <cell r="BK137">
            <v>3.5699999999999976</v>
          </cell>
          <cell r="BL137">
            <v>3.7099999999999977</v>
          </cell>
          <cell r="BM137">
            <v>3.9899999999999971</v>
          </cell>
          <cell r="BN137">
            <v>4.8999999999999968</v>
          </cell>
          <cell r="BW137">
            <v>134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  <cell r="CC137">
            <v>71.537462736334334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I138">
            <v>135</v>
          </cell>
          <cell r="BJ138">
            <v>3.4999999999999978</v>
          </cell>
          <cell r="BK138">
            <v>3.5699999999999976</v>
          </cell>
          <cell r="BL138">
            <v>3.7099999999999977</v>
          </cell>
          <cell r="BM138">
            <v>3.9899999999999971</v>
          </cell>
          <cell r="BN138">
            <v>4.8999999999999968</v>
          </cell>
          <cell r="BW138">
            <v>135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  <cell r="CC138">
            <v>72.038312955064598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I139">
            <v>136</v>
          </cell>
          <cell r="BJ139">
            <v>3.4999999999999978</v>
          </cell>
          <cell r="BK139">
            <v>3.5699999999999976</v>
          </cell>
          <cell r="BL139">
            <v>3.7099999999999977</v>
          </cell>
          <cell r="BM139">
            <v>3.9899999999999971</v>
          </cell>
          <cell r="BN139">
            <v>4.8999999999999968</v>
          </cell>
          <cell r="BW139">
            <v>136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  <cell r="CC139">
            <v>72.52201443082113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I140">
            <v>137</v>
          </cell>
          <cell r="BJ140">
            <v>3.4999999999999978</v>
          </cell>
          <cell r="BK140">
            <v>3.5699999999999976</v>
          </cell>
          <cell r="BL140">
            <v>3.7099999999999977</v>
          </cell>
          <cell r="BM140">
            <v>3.9899999999999971</v>
          </cell>
          <cell r="BN140">
            <v>4.8999999999999968</v>
          </cell>
          <cell r="BW140">
            <v>137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  <cell r="CC140">
            <v>73.021610706471975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I141">
            <v>138</v>
          </cell>
          <cell r="BJ141">
            <v>3.4999999999999978</v>
          </cell>
          <cell r="BK141">
            <v>3.5699999999999976</v>
          </cell>
          <cell r="BL141">
            <v>3.7099999999999977</v>
          </cell>
          <cell r="BM141">
            <v>3.9899999999999971</v>
          </cell>
          <cell r="BN141">
            <v>4.8999999999999968</v>
          </cell>
          <cell r="BW141">
            <v>138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  <cell r="CC141">
            <v>73.453766032826792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I142">
            <v>139</v>
          </cell>
          <cell r="BJ142">
            <v>3.4999999999999978</v>
          </cell>
          <cell r="BK142">
            <v>3.5699999999999976</v>
          </cell>
          <cell r="BL142">
            <v>3.7099999999999977</v>
          </cell>
          <cell r="BM142">
            <v>3.9899999999999971</v>
          </cell>
          <cell r="BN142">
            <v>4.8999999999999968</v>
          </cell>
          <cell r="BW142">
            <v>139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  <cell r="CC142">
            <v>73.91787672283759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I143">
            <v>140</v>
          </cell>
          <cell r="BJ143">
            <v>3.4999999999999978</v>
          </cell>
          <cell r="BK143">
            <v>3.5699999999999976</v>
          </cell>
          <cell r="BL143">
            <v>3.7099999999999977</v>
          </cell>
          <cell r="BM143">
            <v>3.9899999999999971</v>
          </cell>
          <cell r="BN143">
            <v>4.8999999999999968</v>
          </cell>
          <cell r="BW143">
            <v>140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  <cell r="CC143">
            <v>74.365384246573853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I144">
            <v>141</v>
          </cell>
          <cell r="BJ144">
            <v>3.4999999999999978</v>
          </cell>
          <cell r="BK144">
            <v>3.5699999999999976</v>
          </cell>
          <cell r="BL144">
            <v>3.7099999999999977</v>
          </cell>
          <cell r="BM144">
            <v>3.9899999999999971</v>
          </cell>
          <cell r="BN144">
            <v>4.8999999999999968</v>
          </cell>
          <cell r="BW144">
            <v>141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  <cell r="CC144">
            <v>74.843246220121955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I145">
            <v>142</v>
          </cell>
          <cell r="BJ145">
            <v>3.4999999999999978</v>
          </cell>
          <cell r="BK145">
            <v>3.5699999999999976</v>
          </cell>
          <cell r="BL145">
            <v>3.7099999999999977</v>
          </cell>
          <cell r="BM145">
            <v>3.9899999999999971</v>
          </cell>
          <cell r="BN145">
            <v>4.8999999999999968</v>
          </cell>
          <cell r="BW145">
            <v>142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  <cell r="CC145">
            <v>75.327870415328007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I146">
            <v>143</v>
          </cell>
          <cell r="BJ146">
            <v>3.4999999999999978</v>
          </cell>
          <cell r="BK146">
            <v>3.5699999999999976</v>
          </cell>
          <cell r="BL146">
            <v>3.7099999999999977</v>
          </cell>
          <cell r="BM146">
            <v>3.9899999999999971</v>
          </cell>
          <cell r="BN146">
            <v>4.8999999999999968</v>
          </cell>
          <cell r="BW146">
            <v>143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  <cell r="CC146">
            <v>75.8312700089093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I147">
            <v>144</v>
          </cell>
          <cell r="BJ147">
            <v>3.4999999999999978</v>
          </cell>
          <cell r="BK147">
            <v>3.5699999999999976</v>
          </cell>
          <cell r="BL147">
            <v>3.7099999999999977</v>
          </cell>
          <cell r="BM147">
            <v>3.9899999999999971</v>
          </cell>
          <cell r="BN147">
            <v>4.8999999999999968</v>
          </cell>
          <cell r="BW147">
            <v>144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  <cell r="CC147">
            <v>76.288260794883655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I148">
            <v>145</v>
          </cell>
          <cell r="BJ148">
            <v>3.4999999999999978</v>
          </cell>
          <cell r="BK148">
            <v>3.5699999999999976</v>
          </cell>
          <cell r="BL148">
            <v>3.7099999999999977</v>
          </cell>
          <cell r="BM148">
            <v>3.9899999999999971</v>
          </cell>
          <cell r="BN148">
            <v>4.8999999999999968</v>
          </cell>
          <cell r="BW148">
            <v>145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  <cell r="CC148">
            <v>76.744300993869714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I149">
            <v>146</v>
          </cell>
          <cell r="BJ149">
            <v>3.4999999999999978</v>
          </cell>
          <cell r="BK149">
            <v>3.5699999999999976</v>
          </cell>
          <cell r="BL149">
            <v>3.7099999999999977</v>
          </cell>
          <cell r="BM149">
            <v>3.9899999999999971</v>
          </cell>
          <cell r="BN149">
            <v>4.8999999999999968</v>
          </cell>
          <cell r="BW149">
            <v>146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  <cell r="CC149">
            <v>77.192425415760482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I150">
            <v>147</v>
          </cell>
          <cell r="BJ150">
            <v>3.4999999999999978</v>
          </cell>
          <cell r="BK150">
            <v>3.5699999999999976</v>
          </cell>
          <cell r="BL150">
            <v>3.7099999999999977</v>
          </cell>
          <cell r="BM150">
            <v>3.9899999999999971</v>
          </cell>
          <cell r="BN150">
            <v>4.8999999999999968</v>
          </cell>
          <cell r="BW150">
            <v>147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  <cell r="CC150">
            <v>77.639136792985582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I151">
            <v>148</v>
          </cell>
          <cell r="BJ151">
            <v>3.4999999999999978</v>
          </cell>
          <cell r="BK151">
            <v>3.5699999999999976</v>
          </cell>
          <cell r="BL151">
            <v>3.7099999999999977</v>
          </cell>
          <cell r="BM151">
            <v>3.9899999999999971</v>
          </cell>
          <cell r="BN151">
            <v>4.8999999999999968</v>
          </cell>
          <cell r="BW151">
            <v>148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  <cell r="CC151">
            <v>78.126046531078771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I152">
            <v>149</v>
          </cell>
          <cell r="BJ152">
            <v>3.4999999999999978</v>
          </cell>
          <cell r="BK152">
            <v>3.5699999999999976</v>
          </cell>
          <cell r="BL152">
            <v>3.7099999999999977</v>
          </cell>
          <cell r="BM152">
            <v>3.9899999999999971</v>
          </cell>
          <cell r="BN152">
            <v>4.8999999999999968</v>
          </cell>
          <cell r="BW152">
            <v>149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  <cell r="CC152">
            <v>78.598533634779585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I153">
            <v>150</v>
          </cell>
          <cell r="BJ153">
            <v>3.4999999999999978</v>
          </cell>
          <cell r="BK153">
            <v>3.5699999999999976</v>
          </cell>
          <cell r="BL153">
            <v>3.7099999999999977</v>
          </cell>
          <cell r="BM153">
            <v>3.9899999999999971</v>
          </cell>
          <cell r="BN153">
            <v>4.8999999999999968</v>
          </cell>
          <cell r="BW153">
            <v>150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  <cell r="CC153">
            <v>79.108907766261424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I154">
            <v>151</v>
          </cell>
          <cell r="BJ154">
            <v>3.4999999999999978</v>
          </cell>
          <cell r="BK154">
            <v>3.5699999999999976</v>
          </cell>
          <cell r="BL154">
            <v>3.7099999999999977</v>
          </cell>
          <cell r="BM154">
            <v>3.9899999999999971</v>
          </cell>
          <cell r="BN154">
            <v>4.8999999999999968</v>
          </cell>
          <cell r="BW154">
            <v>151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  <cell r="CC154">
            <v>79.683968750737293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I155">
            <v>152</v>
          </cell>
          <cell r="BJ155">
            <v>3.4999999999999978</v>
          </cell>
          <cell r="BK155">
            <v>3.5699999999999976</v>
          </cell>
          <cell r="BL155">
            <v>3.7099999999999977</v>
          </cell>
          <cell r="BM155">
            <v>3.9899999999999971</v>
          </cell>
          <cell r="BN155">
            <v>4.8999999999999968</v>
          </cell>
          <cell r="BW155">
            <v>152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  <cell r="CC155">
            <v>80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I156">
            <v>153</v>
          </cell>
          <cell r="BJ156">
            <v>3.4999999999999978</v>
          </cell>
          <cell r="BK156">
            <v>3.5699999999999976</v>
          </cell>
          <cell r="BL156">
            <v>3.7099999999999977</v>
          </cell>
          <cell r="BM156">
            <v>3.9899999999999971</v>
          </cell>
          <cell r="BN156">
            <v>4.8999999999999968</v>
          </cell>
          <cell r="BW156">
            <v>153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  <cell r="CC156">
            <v>80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I157">
            <v>154</v>
          </cell>
          <cell r="BJ157">
            <v>3.4999999999999978</v>
          </cell>
          <cell r="BK157">
            <v>3.5699999999999976</v>
          </cell>
          <cell r="BL157">
            <v>3.7099999999999977</v>
          </cell>
          <cell r="BM157">
            <v>3.9899999999999971</v>
          </cell>
          <cell r="BN157">
            <v>4.8999999999999968</v>
          </cell>
          <cell r="BW157">
            <v>154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  <cell r="CC157">
            <v>80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I158">
            <v>155</v>
          </cell>
          <cell r="BJ158">
            <v>3.4999999999999978</v>
          </cell>
          <cell r="BK158">
            <v>3.5699999999999976</v>
          </cell>
          <cell r="BL158">
            <v>3.7099999999999977</v>
          </cell>
          <cell r="BM158">
            <v>3.9899999999999971</v>
          </cell>
          <cell r="BN158">
            <v>4.8999999999999968</v>
          </cell>
          <cell r="BW158">
            <v>155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  <cell r="CC158">
            <v>80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I159">
            <v>156</v>
          </cell>
          <cell r="BJ159">
            <v>3.4999999999999978</v>
          </cell>
          <cell r="BK159">
            <v>3.5699999999999976</v>
          </cell>
          <cell r="BL159">
            <v>3.7099999999999977</v>
          </cell>
          <cell r="BM159">
            <v>3.9899999999999971</v>
          </cell>
          <cell r="BN159">
            <v>4.8999999999999968</v>
          </cell>
          <cell r="BW159">
            <v>156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  <cell r="CC159">
            <v>80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I160">
            <v>157</v>
          </cell>
          <cell r="BJ160">
            <v>3.4999999999999978</v>
          </cell>
          <cell r="BK160">
            <v>3.5699999999999976</v>
          </cell>
          <cell r="BL160">
            <v>3.7099999999999977</v>
          </cell>
          <cell r="BM160">
            <v>3.9899999999999971</v>
          </cell>
          <cell r="BN160">
            <v>4.8999999999999968</v>
          </cell>
          <cell r="BW160">
            <v>157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  <cell r="CC160">
            <v>80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I161">
            <v>158</v>
          </cell>
          <cell r="BJ161">
            <v>3.4999999999999978</v>
          </cell>
          <cell r="BK161">
            <v>3.5699999999999976</v>
          </cell>
          <cell r="BL161">
            <v>3.7099999999999977</v>
          </cell>
          <cell r="BM161">
            <v>3.9899999999999971</v>
          </cell>
          <cell r="BN161">
            <v>4.8999999999999968</v>
          </cell>
          <cell r="BW161">
            <v>158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  <cell r="CC161">
            <v>80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I162">
            <v>159</v>
          </cell>
          <cell r="BJ162">
            <v>3.4999999999999978</v>
          </cell>
          <cell r="BK162">
            <v>3.5699999999999976</v>
          </cell>
          <cell r="BL162">
            <v>3.7099999999999977</v>
          </cell>
          <cell r="BM162">
            <v>3.9899999999999971</v>
          </cell>
          <cell r="BN162">
            <v>4.8999999999999968</v>
          </cell>
          <cell r="BW162">
            <v>159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  <cell r="CC162">
            <v>80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I163">
            <v>160</v>
          </cell>
          <cell r="BJ163">
            <v>3.4999999999999978</v>
          </cell>
          <cell r="BK163">
            <v>3.5699999999999976</v>
          </cell>
          <cell r="BL163">
            <v>3.7099999999999977</v>
          </cell>
          <cell r="BM163">
            <v>3.9899999999999971</v>
          </cell>
          <cell r="BN163">
            <v>4.8999999999999968</v>
          </cell>
          <cell r="BW163">
            <v>160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  <cell r="CC163">
            <v>80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59">
          <cell r="D59">
            <v>300</v>
          </cell>
          <cell r="E59">
            <v>0</v>
          </cell>
          <cell r="F59">
            <v>100</v>
          </cell>
          <cell r="G59">
            <v>2050000</v>
          </cell>
          <cell r="H59">
            <v>512500</v>
          </cell>
          <cell r="J59"/>
        </row>
        <row r="60">
          <cell r="D60">
            <v>300</v>
          </cell>
          <cell r="E60">
            <v>0</v>
          </cell>
          <cell r="F60">
            <v>100</v>
          </cell>
          <cell r="G60">
            <v>2050000</v>
          </cell>
          <cell r="H60">
            <v>512500</v>
          </cell>
          <cell r="J60"/>
        </row>
        <row r="61">
          <cell r="D61">
            <v>300</v>
          </cell>
          <cell r="E61">
            <v>0</v>
          </cell>
          <cell r="F61">
            <v>100</v>
          </cell>
          <cell r="G61">
            <v>2050000</v>
          </cell>
          <cell r="H61">
            <v>512500</v>
          </cell>
          <cell r="J61"/>
        </row>
        <row r="62">
          <cell r="D62">
            <v>300</v>
          </cell>
          <cell r="E62">
            <v>0</v>
          </cell>
          <cell r="F62">
            <v>100</v>
          </cell>
          <cell r="G62">
            <v>2050000</v>
          </cell>
          <cell r="H62">
            <v>512500</v>
          </cell>
          <cell r="J62"/>
        </row>
        <row r="63">
          <cell r="D63">
            <v>300</v>
          </cell>
          <cell r="E63">
            <v>0</v>
          </cell>
          <cell r="F63">
            <v>100</v>
          </cell>
          <cell r="G63">
            <v>2050000</v>
          </cell>
          <cell r="H63">
            <v>512500</v>
          </cell>
          <cell r="J63"/>
        </row>
        <row r="64">
          <cell r="D64">
            <v>300</v>
          </cell>
          <cell r="E64">
            <v>0</v>
          </cell>
          <cell r="F64">
            <v>100</v>
          </cell>
          <cell r="G64">
            <v>2050000</v>
          </cell>
          <cell r="H64">
            <v>512500</v>
          </cell>
          <cell r="J64"/>
        </row>
        <row r="65">
          <cell r="D65">
            <v>300</v>
          </cell>
          <cell r="E65">
            <v>0</v>
          </cell>
          <cell r="F65">
            <v>100</v>
          </cell>
          <cell r="G65">
            <v>2050000</v>
          </cell>
          <cell r="H65">
            <v>512500</v>
          </cell>
          <cell r="J65"/>
        </row>
        <row r="66">
          <cell r="D66">
            <v>300</v>
          </cell>
          <cell r="E66">
            <v>0</v>
          </cell>
          <cell r="F66">
            <v>100</v>
          </cell>
          <cell r="G66">
            <v>2050000</v>
          </cell>
          <cell r="H66">
            <v>512500</v>
          </cell>
          <cell r="J66"/>
        </row>
        <row r="67">
          <cell r="D67">
            <v>300</v>
          </cell>
          <cell r="E67">
            <v>0</v>
          </cell>
          <cell r="F67">
            <v>100</v>
          </cell>
          <cell r="G67">
            <v>2050000</v>
          </cell>
          <cell r="H67">
            <v>512500</v>
          </cell>
          <cell r="J67"/>
        </row>
        <row r="68">
          <cell r="D68">
            <v>300</v>
          </cell>
          <cell r="E68">
            <v>0</v>
          </cell>
          <cell r="F68">
            <v>100</v>
          </cell>
          <cell r="G68">
            <v>2050000</v>
          </cell>
          <cell r="H68">
            <v>512500</v>
          </cell>
          <cell r="J68"/>
        </row>
        <row r="69">
          <cell r="D69">
            <v>300</v>
          </cell>
          <cell r="E69">
            <v>0</v>
          </cell>
          <cell r="F69">
            <v>100</v>
          </cell>
          <cell r="G69">
            <v>2050000</v>
          </cell>
          <cell r="H69">
            <v>512500</v>
          </cell>
          <cell r="J69"/>
        </row>
        <row r="70">
          <cell r="D70">
            <v>300</v>
          </cell>
          <cell r="E70">
            <v>0</v>
          </cell>
          <cell r="F70">
            <v>100</v>
          </cell>
          <cell r="G70">
            <v>2050000</v>
          </cell>
          <cell r="H70">
            <v>512500</v>
          </cell>
          <cell r="J70"/>
        </row>
        <row r="71">
          <cell r="D71">
            <v>300</v>
          </cell>
          <cell r="E71">
            <v>0</v>
          </cell>
          <cell r="F71">
            <v>100</v>
          </cell>
          <cell r="G71">
            <v>2050000</v>
          </cell>
          <cell r="H71">
            <v>512500</v>
          </cell>
          <cell r="J71"/>
        </row>
        <row r="72">
          <cell r="D72">
            <v>300</v>
          </cell>
          <cell r="E72">
            <v>0</v>
          </cell>
          <cell r="F72">
            <v>100</v>
          </cell>
          <cell r="G72">
            <v>2050000</v>
          </cell>
          <cell r="H72">
            <v>512500</v>
          </cell>
          <cell r="J72"/>
        </row>
        <row r="73">
          <cell r="D73">
            <v>300</v>
          </cell>
          <cell r="E73">
            <v>0</v>
          </cell>
          <cell r="F73">
            <v>100</v>
          </cell>
          <cell r="G73">
            <v>2050000</v>
          </cell>
          <cell r="H73">
            <v>512500</v>
          </cell>
          <cell r="J73"/>
        </row>
        <row r="74">
          <cell r="D74">
            <v>300</v>
          </cell>
          <cell r="E74">
            <v>0</v>
          </cell>
          <cell r="F74">
            <v>100</v>
          </cell>
          <cell r="G74">
            <v>2050000</v>
          </cell>
          <cell r="H74">
            <v>512500</v>
          </cell>
          <cell r="J74"/>
        </row>
        <row r="75">
          <cell r="D75">
            <v>300</v>
          </cell>
          <cell r="E75">
            <v>0</v>
          </cell>
          <cell r="F75">
            <v>100</v>
          </cell>
          <cell r="G75">
            <v>2050000</v>
          </cell>
          <cell r="H75">
            <v>512500</v>
          </cell>
          <cell r="J75"/>
        </row>
        <row r="76">
          <cell r="D76">
            <v>300</v>
          </cell>
          <cell r="E76">
            <v>0</v>
          </cell>
          <cell r="F76">
            <v>100</v>
          </cell>
          <cell r="G76">
            <v>2050000</v>
          </cell>
          <cell r="H76">
            <v>512500</v>
          </cell>
          <cell r="J76"/>
        </row>
        <row r="77">
          <cell r="D77">
            <v>300</v>
          </cell>
          <cell r="E77">
            <v>0</v>
          </cell>
          <cell r="F77">
            <v>100</v>
          </cell>
          <cell r="G77">
            <v>2050000</v>
          </cell>
          <cell r="H77">
            <v>512500</v>
          </cell>
          <cell r="J77"/>
        </row>
        <row r="78">
          <cell r="D78">
            <v>300</v>
          </cell>
          <cell r="E78">
            <v>0</v>
          </cell>
          <cell r="F78">
            <v>100</v>
          </cell>
          <cell r="G78">
            <v>2050000</v>
          </cell>
          <cell r="H78">
            <v>512500</v>
          </cell>
          <cell r="J78"/>
        </row>
        <row r="79">
          <cell r="D79">
            <v>300</v>
          </cell>
          <cell r="E79">
            <v>0</v>
          </cell>
          <cell r="F79">
            <v>100</v>
          </cell>
          <cell r="G79">
            <v>2050000</v>
          </cell>
          <cell r="H79">
            <v>512500</v>
          </cell>
          <cell r="J79"/>
        </row>
        <row r="80">
          <cell r="D80">
            <v>300</v>
          </cell>
          <cell r="E80">
            <v>0</v>
          </cell>
          <cell r="F80">
            <v>100</v>
          </cell>
          <cell r="G80">
            <v>2050000</v>
          </cell>
          <cell r="H80">
            <v>512500</v>
          </cell>
          <cell r="J80"/>
        </row>
        <row r="81">
          <cell r="D81">
            <v>300</v>
          </cell>
          <cell r="E81">
            <v>0</v>
          </cell>
          <cell r="F81">
            <v>100</v>
          </cell>
          <cell r="G81">
            <v>2050000</v>
          </cell>
          <cell r="H81">
            <v>512500</v>
          </cell>
          <cell r="J81"/>
        </row>
        <row r="82">
          <cell r="D82">
            <v>300</v>
          </cell>
          <cell r="E82">
            <v>0</v>
          </cell>
          <cell r="F82">
            <v>100</v>
          </cell>
          <cell r="G82">
            <v>2050000</v>
          </cell>
          <cell r="H82">
            <v>512500</v>
          </cell>
          <cell r="J82"/>
        </row>
        <row r="83">
          <cell r="D83">
            <v>300</v>
          </cell>
          <cell r="E83">
            <v>0</v>
          </cell>
          <cell r="F83">
            <v>100</v>
          </cell>
          <cell r="G83">
            <v>2050000</v>
          </cell>
          <cell r="H83">
            <v>512500</v>
          </cell>
          <cell r="J83"/>
        </row>
        <row r="84">
          <cell r="D84">
            <v>300</v>
          </cell>
          <cell r="E84">
            <v>0</v>
          </cell>
          <cell r="F84">
            <v>100</v>
          </cell>
          <cell r="G84">
            <v>2050000</v>
          </cell>
          <cell r="H84">
            <v>512500</v>
          </cell>
          <cell r="J84"/>
        </row>
        <row r="85">
          <cell r="D85"/>
          <cell r="E85"/>
          <cell r="F85"/>
          <cell r="G85"/>
          <cell r="H85"/>
          <cell r="J85"/>
        </row>
        <row r="86">
          <cell r="D86"/>
          <cell r="E86"/>
          <cell r="F86"/>
          <cell r="G86"/>
          <cell r="H86"/>
          <cell r="J86"/>
        </row>
        <row r="87">
          <cell r="D87" t="str">
            <v>累计奖励</v>
          </cell>
          <cell r="E87"/>
          <cell r="F87"/>
          <cell r="G87"/>
          <cell r="H87"/>
          <cell r="J87"/>
        </row>
        <row r="88">
          <cell r="D88" t="str">
            <v>玩家经验</v>
          </cell>
          <cell r="E88" t="str">
            <v>武将经验</v>
          </cell>
          <cell r="F88" t="str">
            <v>钻石</v>
          </cell>
          <cell r="G88" t="str">
            <v>木石铜粮</v>
          </cell>
          <cell r="H88" t="str">
            <v>铁</v>
          </cell>
          <cell r="J88" t="str">
            <v>加速时间</v>
          </cell>
        </row>
        <row r="89">
          <cell r="D89">
            <v>150</v>
          </cell>
          <cell r="E89">
            <v>0</v>
          </cell>
          <cell r="F89">
            <v>50</v>
          </cell>
          <cell r="G89">
            <v>50000</v>
          </cell>
          <cell r="H89">
            <v>0</v>
          </cell>
          <cell r="J89">
            <v>0</v>
          </cell>
        </row>
        <row r="90">
          <cell r="D90">
            <v>300</v>
          </cell>
          <cell r="E90">
            <v>0</v>
          </cell>
          <cell r="F90">
            <v>100</v>
          </cell>
          <cell r="G90">
            <v>100000</v>
          </cell>
          <cell r="H90">
            <v>0</v>
          </cell>
          <cell r="J90">
            <v>0</v>
          </cell>
        </row>
        <row r="91">
          <cell r="D91">
            <v>500</v>
          </cell>
          <cell r="E91">
            <v>0</v>
          </cell>
          <cell r="F91">
            <v>150</v>
          </cell>
          <cell r="G91">
            <v>150000</v>
          </cell>
          <cell r="H91">
            <v>0</v>
          </cell>
          <cell r="J91">
            <v>0</v>
          </cell>
        </row>
        <row r="92">
          <cell r="D92">
            <v>750</v>
          </cell>
          <cell r="E92">
            <v>0</v>
          </cell>
          <cell r="F92">
            <v>200</v>
          </cell>
          <cell r="G92">
            <v>250000</v>
          </cell>
          <cell r="H92">
            <v>0</v>
          </cell>
          <cell r="J92">
            <v>0</v>
          </cell>
        </row>
        <row r="93">
          <cell r="D93">
            <v>1050</v>
          </cell>
          <cell r="E93">
            <v>0</v>
          </cell>
          <cell r="F93">
            <v>250</v>
          </cell>
          <cell r="G93">
            <v>400000</v>
          </cell>
          <cell r="H93">
            <v>0</v>
          </cell>
          <cell r="J93">
            <v>0</v>
          </cell>
        </row>
        <row r="94">
          <cell r="D94">
            <v>1350</v>
          </cell>
          <cell r="E94">
            <v>0</v>
          </cell>
          <cell r="F94">
            <v>300</v>
          </cell>
          <cell r="G94">
            <v>500000</v>
          </cell>
          <cell r="H94">
            <v>0</v>
          </cell>
          <cell r="J94">
            <v>0</v>
          </cell>
        </row>
        <row r="95">
          <cell r="D95">
            <v>1650</v>
          </cell>
          <cell r="E95">
            <v>0</v>
          </cell>
          <cell r="F95">
            <v>350</v>
          </cell>
          <cell r="G95">
            <v>650000</v>
          </cell>
          <cell r="H95">
            <v>0</v>
          </cell>
          <cell r="J95">
            <v>0</v>
          </cell>
        </row>
        <row r="96">
          <cell r="D96">
            <v>1950</v>
          </cell>
          <cell r="E96">
            <v>0</v>
          </cell>
          <cell r="F96">
            <v>400</v>
          </cell>
          <cell r="G96">
            <v>800000</v>
          </cell>
          <cell r="H96">
            <v>0</v>
          </cell>
          <cell r="J96">
            <v>0</v>
          </cell>
        </row>
        <row r="97">
          <cell r="D97">
            <v>2250</v>
          </cell>
          <cell r="E97">
            <v>0</v>
          </cell>
          <cell r="F97">
            <v>450</v>
          </cell>
          <cell r="G97">
            <v>950000</v>
          </cell>
          <cell r="H97">
            <v>0</v>
          </cell>
          <cell r="J97">
            <v>0</v>
          </cell>
        </row>
        <row r="98">
          <cell r="D98">
            <v>2550</v>
          </cell>
          <cell r="E98">
            <v>0</v>
          </cell>
          <cell r="F98">
            <v>500</v>
          </cell>
          <cell r="G98">
            <v>1100000</v>
          </cell>
          <cell r="H98">
            <v>0</v>
          </cell>
          <cell r="J98">
            <v>0</v>
          </cell>
        </row>
        <row r="99">
          <cell r="D99">
            <v>2850</v>
          </cell>
          <cell r="E99">
            <v>0</v>
          </cell>
          <cell r="F99">
            <v>575</v>
          </cell>
          <cell r="G99">
            <v>1250000</v>
          </cell>
          <cell r="H99">
            <v>0</v>
          </cell>
          <cell r="J99">
            <v>0</v>
          </cell>
        </row>
        <row r="100">
          <cell r="D100">
            <v>3150</v>
          </cell>
          <cell r="E100">
            <v>0</v>
          </cell>
          <cell r="F100">
            <v>650</v>
          </cell>
          <cell r="G100">
            <v>1400000</v>
          </cell>
          <cell r="H100">
            <v>0</v>
          </cell>
          <cell r="J100">
            <v>0</v>
          </cell>
        </row>
        <row r="101">
          <cell r="D101">
            <v>3450</v>
          </cell>
          <cell r="E101">
            <v>0</v>
          </cell>
          <cell r="F101">
            <v>725</v>
          </cell>
          <cell r="G101">
            <v>1550000</v>
          </cell>
          <cell r="H101">
            <v>0</v>
          </cell>
          <cell r="J101">
            <v>0</v>
          </cell>
        </row>
        <row r="102">
          <cell r="D102">
            <v>3750</v>
          </cell>
          <cell r="E102">
            <v>0</v>
          </cell>
          <cell r="F102">
            <v>800</v>
          </cell>
          <cell r="G102">
            <v>1700000</v>
          </cell>
          <cell r="H102">
            <v>0</v>
          </cell>
          <cell r="J102">
            <v>0</v>
          </cell>
        </row>
        <row r="103">
          <cell r="D103">
            <v>4050</v>
          </cell>
          <cell r="E103">
            <v>0</v>
          </cell>
          <cell r="F103">
            <v>875</v>
          </cell>
          <cell r="G103">
            <v>1850000</v>
          </cell>
          <cell r="H103">
            <v>0</v>
          </cell>
          <cell r="J103">
            <v>0</v>
          </cell>
        </row>
        <row r="104">
          <cell r="D104">
            <v>4350</v>
          </cell>
          <cell r="E104">
            <v>0</v>
          </cell>
          <cell r="F104">
            <v>950</v>
          </cell>
          <cell r="G104">
            <v>2000000</v>
          </cell>
          <cell r="H104">
            <v>0</v>
          </cell>
          <cell r="J104">
            <v>0</v>
          </cell>
        </row>
        <row r="105">
          <cell r="D105">
            <v>4650</v>
          </cell>
          <cell r="E105">
            <v>0</v>
          </cell>
          <cell r="F105">
            <v>1025</v>
          </cell>
          <cell r="G105">
            <v>2100000</v>
          </cell>
          <cell r="H105">
            <v>0</v>
          </cell>
          <cell r="J105">
            <v>0</v>
          </cell>
        </row>
        <row r="106">
          <cell r="D106">
            <v>4950</v>
          </cell>
          <cell r="E106">
            <v>0</v>
          </cell>
          <cell r="F106">
            <v>1100</v>
          </cell>
          <cell r="G106">
            <v>2250000</v>
          </cell>
          <cell r="H106">
            <v>0</v>
          </cell>
          <cell r="J106">
            <v>0</v>
          </cell>
        </row>
        <row r="107">
          <cell r="D107">
            <v>5250</v>
          </cell>
          <cell r="E107">
            <v>0</v>
          </cell>
          <cell r="F107">
            <v>1175</v>
          </cell>
          <cell r="G107">
            <v>2350000</v>
          </cell>
          <cell r="H107">
            <v>0</v>
          </cell>
          <cell r="J107">
            <v>0</v>
          </cell>
        </row>
        <row r="108">
          <cell r="D108">
            <v>5550</v>
          </cell>
          <cell r="E108">
            <v>0</v>
          </cell>
          <cell r="F108">
            <v>1250</v>
          </cell>
          <cell r="G108">
            <v>2900000</v>
          </cell>
          <cell r="H108">
            <v>0</v>
          </cell>
          <cell r="J108">
            <v>0</v>
          </cell>
        </row>
        <row r="109">
          <cell r="D109">
            <v>5850</v>
          </cell>
          <cell r="E109">
            <v>0</v>
          </cell>
          <cell r="F109">
            <v>1350</v>
          </cell>
          <cell r="G109">
            <v>3500000</v>
          </cell>
          <cell r="H109">
            <v>0</v>
          </cell>
          <cell r="J109">
            <v>0</v>
          </cell>
        </row>
        <row r="110">
          <cell r="D110">
            <v>6150</v>
          </cell>
          <cell r="E110">
            <v>0</v>
          </cell>
          <cell r="F110">
            <v>1450</v>
          </cell>
          <cell r="G110">
            <v>4200000</v>
          </cell>
          <cell r="H110">
            <v>0</v>
          </cell>
          <cell r="J110">
            <v>0</v>
          </cell>
        </row>
        <row r="111">
          <cell r="D111">
            <v>6450</v>
          </cell>
          <cell r="E111">
            <v>0</v>
          </cell>
          <cell r="F111">
            <v>1550</v>
          </cell>
          <cell r="G111">
            <v>5050000</v>
          </cell>
          <cell r="H111">
            <v>0</v>
          </cell>
          <cell r="J111">
            <v>0</v>
          </cell>
        </row>
        <row r="112">
          <cell r="D112">
            <v>6750</v>
          </cell>
          <cell r="E112">
            <v>0</v>
          </cell>
          <cell r="F112">
            <v>1650</v>
          </cell>
          <cell r="G112">
            <v>6050000</v>
          </cell>
          <cell r="H112">
            <v>0</v>
          </cell>
          <cell r="J112">
            <v>0</v>
          </cell>
        </row>
        <row r="113">
          <cell r="D113">
            <v>7050</v>
          </cell>
          <cell r="E113">
            <v>0</v>
          </cell>
          <cell r="F113">
            <v>1750</v>
          </cell>
          <cell r="G113">
            <v>7200000</v>
          </cell>
          <cell r="H113">
            <v>0</v>
          </cell>
          <cell r="J113">
            <v>0</v>
          </cell>
        </row>
        <row r="114">
          <cell r="D114">
            <v>7350</v>
          </cell>
          <cell r="E114">
            <v>0</v>
          </cell>
          <cell r="F114">
            <v>1850</v>
          </cell>
          <cell r="G114">
            <v>8550000</v>
          </cell>
          <cell r="H114">
            <v>0</v>
          </cell>
          <cell r="J114">
            <v>0</v>
          </cell>
        </row>
        <row r="115">
          <cell r="D115">
            <v>7650</v>
          </cell>
          <cell r="E115">
            <v>0</v>
          </cell>
          <cell r="F115">
            <v>1950</v>
          </cell>
          <cell r="G115">
            <v>10000000</v>
          </cell>
          <cell r="H115">
            <v>0</v>
          </cell>
          <cell r="J115">
            <v>0</v>
          </cell>
        </row>
        <row r="116">
          <cell r="D116">
            <v>7950</v>
          </cell>
          <cell r="E116">
            <v>0</v>
          </cell>
          <cell r="F116">
            <v>2050</v>
          </cell>
          <cell r="G116">
            <v>11550000</v>
          </cell>
          <cell r="H116">
            <v>387500</v>
          </cell>
          <cell r="J116">
            <v>0</v>
          </cell>
        </row>
        <row r="117">
          <cell r="D117">
            <v>8250</v>
          </cell>
          <cell r="E117">
            <v>0</v>
          </cell>
          <cell r="F117">
            <v>2150</v>
          </cell>
          <cell r="G117">
            <v>13200000</v>
          </cell>
          <cell r="H117">
            <v>800000</v>
          </cell>
          <cell r="J117">
            <v>0</v>
          </cell>
        </row>
        <row r="118">
          <cell r="D118">
            <v>8550</v>
          </cell>
          <cell r="E118">
            <v>0</v>
          </cell>
          <cell r="F118">
            <v>2250</v>
          </cell>
          <cell r="G118">
            <v>14950000</v>
          </cell>
          <cell r="H118">
            <v>1237500</v>
          </cell>
          <cell r="J118">
            <v>0</v>
          </cell>
        </row>
        <row r="119">
          <cell r="D119">
            <v>8850</v>
          </cell>
          <cell r="E119">
            <v>0</v>
          </cell>
          <cell r="F119">
            <v>2350</v>
          </cell>
          <cell r="G119">
            <v>16800000</v>
          </cell>
          <cell r="H119">
            <v>1700000</v>
          </cell>
          <cell r="J119">
            <v>0</v>
          </cell>
        </row>
        <row r="120">
          <cell r="D120">
            <v>9150</v>
          </cell>
          <cell r="E120">
            <v>0</v>
          </cell>
          <cell r="F120">
            <v>2450</v>
          </cell>
          <cell r="G120">
            <v>18750000</v>
          </cell>
          <cell r="H120">
            <v>2187500</v>
          </cell>
          <cell r="J120">
            <v>0</v>
          </cell>
        </row>
        <row r="121">
          <cell r="D121">
            <v>9450</v>
          </cell>
          <cell r="E121">
            <v>0</v>
          </cell>
          <cell r="F121">
            <v>2550</v>
          </cell>
          <cell r="G121">
            <v>20800000</v>
          </cell>
          <cell r="H121">
            <v>2700000</v>
          </cell>
          <cell r="J121">
            <v>0</v>
          </cell>
        </row>
        <row r="122">
          <cell r="D122">
            <v>9750</v>
          </cell>
          <cell r="E122">
            <v>0</v>
          </cell>
          <cell r="F122">
            <v>2650</v>
          </cell>
          <cell r="G122">
            <v>22850000</v>
          </cell>
          <cell r="H122">
            <v>3212500</v>
          </cell>
          <cell r="J122">
            <v>0</v>
          </cell>
        </row>
        <row r="123">
          <cell r="D123">
            <v>10050</v>
          </cell>
          <cell r="E123">
            <v>0</v>
          </cell>
          <cell r="F123">
            <v>2750</v>
          </cell>
          <cell r="G123">
            <v>24900000</v>
          </cell>
          <cell r="H123">
            <v>3725000</v>
          </cell>
          <cell r="J123">
            <v>0</v>
          </cell>
        </row>
        <row r="124">
          <cell r="D124">
            <v>10350</v>
          </cell>
          <cell r="E124">
            <v>0</v>
          </cell>
          <cell r="F124">
            <v>2850</v>
          </cell>
          <cell r="G124">
            <v>26950000</v>
          </cell>
          <cell r="H124">
            <v>4237500</v>
          </cell>
          <cell r="J124">
            <v>0</v>
          </cell>
        </row>
        <row r="125">
          <cell r="D125">
            <v>10650</v>
          </cell>
          <cell r="E125">
            <v>0</v>
          </cell>
          <cell r="F125">
            <v>2950</v>
          </cell>
          <cell r="G125">
            <v>29000000</v>
          </cell>
          <cell r="H125">
            <v>4750000</v>
          </cell>
          <cell r="J125">
            <v>0</v>
          </cell>
        </row>
        <row r="126">
          <cell r="D126">
            <v>10950</v>
          </cell>
          <cell r="E126">
            <v>0</v>
          </cell>
          <cell r="F126">
            <v>3050</v>
          </cell>
          <cell r="G126">
            <v>31050000</v>
          </cell>
          <cell r="H126">
            <v>5262500</v>
          </cell>
          <cell r="J126">
            <v>0</v>
          </cell>
        </row>
        <row r="127">
          <cell r="D127">
            <v>11250</v>
          </cell>
          <cell r="E127">
            <v>0</v>
          </cell>
          <cell r="F127">
            <v>3150</v>
          </cell>
          <cell r="G127">
            <v>33100000</v>
          </cell>
          <cell r="H127">
            <v>5775000</v>
          </cell>
          <cell r="J127">
            <v>0</v>
          </cell>
        </row>
        <row r="128">
          <cell r="D128">
            <v>11550</v>
          </cell>
          <cell r="E128">
            <v>0</v>
          </cell>
          <cell r="F128">
            <v>3250</v>
          </cell>
          <cell r="G128">
            <v>35150000</v>
          </cell>
          <cell r="H128">
            <v>6287500</v>
          </cell>
          <cell r="J128">
            <v>0</v>
          </cell>
        </row>
        <row r="129">
          <cell r="D129">
            <v>11850</v>
          </cell>
          <cell r="E129">
            <v>0</v>
          </cell>
          <cell r="F129">
            <v>3350</v>
          </cell>
          <cell r="G129">
            <v>37200000</v>
          </cell>
          <cell r="H129">
            <v>6800000</v>
          </cell>
          <cell r="J129">
            <v>0</v>
          </cell>
        </row>
        <row r="130">
          <cell r="D130">
            <v>12150</v>
          </cell>
          <cell r="E130">
            <v>0</v>
          </cell>
          <cell r="F130">
            <v>3450</v>
          </cell>
          <cell r="G130">
            <v>39250000</v>
          </cell>
          <cell r="H130">
            <v>7312500</v>
          </cell>
          <cell r="J130">
            <v>0</v>
          </cell>
        </row>
        <row r="131">
          <cell r="D131">
            <v>12450</v>
          </cell>
          <cell r="E131">
            <v>0</v>
          </cell>
          <cell r="F131">
            <v>3550</v>
          </cell>
          <cell r="G131">
            <v>41300000</v>
          </cell>
          <cell r="H131">
            <v>7825000</v>
          </cell>
          <cell r="J131">
            <v>0</v>
          </cell>
        </row>
        <row r="132">
          <cell r="D132">
            <v>12750</v>
          </cell>
          <cell r="E132">
            <v>0</v>
          </cell>
          <cell r="F132">
            <v>3650</v>
          </cell>
          <cell r="G132">
            <v>43350000</v>
          </cell>
          <cell r="H132">
            <v>8337500</v>
          </cell>
          <cell r="J132">
            <v>0</v>
          </cell>
        </row>
        <row r="133">
          <cell r="D133">
            <v>13050</v>
          </cell>
          <cell r="E133">
            <v>0</v>
          </cell>
          <cell r="F133">
            <v>3750</v>
          </cell>
          <cell r="G133">
            <v>45400000</v>
          </cell>
          <cell r="H133">
            <v>8850000</v>
          </cell>
          <cell r="J133">
            <v>0</v>
          </cell>
        </row>
        <row r="134">
          <cell r="D134">
            <v>13350</v>
          </cell>
          <cell r="E134">
            <v>0</v>
          </cell>
          <cell r="F134">
            <v>3850</v>
          </cell>
          <cell r="G134">
            <v>47450000</v>
          </cell>
          <cell r="H134">
            <v>9362500</v>
          </cell>
          <cell r="J134">
            <v>0</v>
          </cell>
        </row>
        <row r="135">
          <cell r="D135">
            <v>13650</v>
          </cell>
          <cell r="E135">
            <v>0</v>
          </cell>
          <cell r="F135">
            <v>3950</v>
          </cell>
          <cell r="G135">
            <v>49500000</v>
          </cell>
          <cell r="H135">
            <v>9875000</v>
          </cell>
          <cell r="J135">
            <v>0</v>
          </cell>
        </row>
        <row r="136">
          <cell r="D136">
            <v>13950</v>
          </cell>
          <cell r="E136">
            <v>0</v>
          </cell>
          <cell r="F136">
            <v>4050</v>
          </cell>
          <cell r="G136">
            <v>51550000</v>
          </cell>
          <cell r="H136">
            <v>10387500</v>
          </cell>
          <cell r="J136">
            <v>0</v>
          </cell>
        </row>
        <row r="137">
          <cell r="D137">
            <v>14250</v>
          </cell>
          <cell r="E137">
            <v>0</v>
          </cell>
          <cell r="F137">
            <v>4150</v>
          </cell>
          <cell r="G137">
            <v>53600000</v>
          </cell>
          <cell r="H137">
            <v>10900000</v>
          </cell>
          <cell r="J137">
            <v>0</v>
          </cell>
        </row>
        <row r="138">
          <cell r="D138">
            <v>14550</v>
          </cell>
          <cell r="E138">
            <v>0</v>
          </cell>
          <cell r="F138">
            <v>4250</v>
          </cell>
          <cell r="G138">
            <v>55650000</v>
          </cell>
          <cell r="H138">
            <v>11412500</v>
          </cell>
          <cell r="J138">
            <v>0</v>
          </cell>
        </row>
      </sheetData>
      <sheetData sheetId="32"/>
      <sheetData sheetId="33"/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/>
      <sheetData sheetId="38"/>
      <sheetData sheetId="39"/>
      <sheetData sheetId="40">
        <row r="4">
          <cell r="V4">
            <v>48</v>
          </cell>
        </row>
      </sheetData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AW105"/>
  <sheetViews>
    <sheetView workbookViewId="0">
      <selection activeCell="D99" sqref="D99"/>
    </sheetView>
  </sheetViews>
  <sheetFormatPr defaultRowHeight="11.25" x14ac:dyDescent="0.15"/>
  <cols>
    <col min="1" max="14" width="9" style="2"/>
    <col min="15" max="32" width="9" style="3"/>
    <col min="33" max="16384" width="9" style="2"/>
  </cols>
  <sheetData>
    <row r="3" spans="2:49" x14ac:dyDescent="0.15">
      <c r="C3" s="81" t="s">
        <v>6</v>
      </c>
      <c r="D3" s="81"/>
      <c r="E3" s="81"/>
      <c r="F3" s="81"/>
      <c r="G3" s="81"/>
      <c r="I3" s="81" t="s">
        <v>7</v>
      </c>
      <c r="J3" s="81"/>
      <c r="K3" s="81"/>
      <c r="L3" s="81"/>
      <c r="M3" s="81"/>
      <c r="O3" s="81" t="s">
        <v>11</v>
      </c>
      <c r="P3" s="81"/>
      <c r="Q3" s="81"/>
      <c r="R3" s="81"/>
      <c r="S3" s="81"/>
      <c r="U3" s="81" t="s">
        <v>12</v>
      </c>
      <c r="V3" s="81"/>
      <c r="W3" s="81"/>
      <c r="X3" s="81"/>
      <c r="Y3" s="81"/>
      <c r="AA3" s="81" t="s">
        <v>13</v>
      </c>
      <c r="AB3" s="81"/>
      <c r="AC3" s="81"/>
      <c r="AD3" s="81"/>
      <c r="AE3" s="81"/>
      <c r="AG3" s="81" t="s">
        <v>8</v>
      </c>
      <c r="AH3" s="81"/>
      <c r="AI3" s="81"/>
      <c r="AJ3" s="81"/>
      <c r="AK3" s="81"/>
      <c r="AM3" s="81" t="s">
        <v>9</v>
      </c>
      <c r="AN3" s="81"/>
      <c r="AO3" s="81"/>
      <c r="AP3" s="81"/>
      <c r="AQ3" s="81"/>
      <c r="AS3" s="81" t="s">
        <v>10</v>
      </c>
      <c r="AT3" s="81"/>
      <c r="AU3" s="81"/>
      <c r="AV3" s="81"/>
      <c r="AW3" s="81"/>
    </row>
    <row r="4" spans="2:49" x14ac:dyDescent="0.1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I4" s="2" t="s">
        <v>1</v>
      </c>
      <c r="J4" s="2" t="s">
        <v>2</v>
      </c>
      <c r="K4" s="2" t="s">
        <v>3</v>
      </c>
      <c r="L4" s="2" t="s">
        <v>4</v>
      </c>
      <c r="M4" s="2" t="s">
        <v>5</v>
      </c>
      <c r="O4" s="3" t="s">
        <v>1</v>
      </c>
      <c r="P4" s="3" t="s">
        <v>2</v>
      </c>
      <c r="Q4" s="3" t="s">
        <v>3</v>
      </c>
      <c r="R4" s="3" t="s">
        <v>4</v>
      </c>
      <c r="S4" s="3" t="s">
        <v>5</v>
      </c>
      <c r="U4" s="3" t="s">
        <v>1</v>
      </c>
      <c r="V4" s="3" t="s">
        <v>2</v>
      </c>
      <c r="W4" s="3" t="s">
        <v>3</v>
      </c>
      <c r="X4" s="3" t="s">
        <v>4</v>
      </c>
      <c r="Y4" s="3" t="s">
        <v>5</v>
      </c>
      <c r="AA4" s="3" t="s">
        <v>1</v>
      </c>
      <c r="AB4" s="3" t="s">
        <v>2</v>
      </c>
      <c r="AC4" s="3" t="s">
        <v>3</v>
      </c>
      <c r="AD4" s="3" t="s">
        <v>4</v>
      </c>
      <c r="AE4" s="3" t="s">
        <v>5</v>
      </c>
      <c r="AG4" s="2" t="s">
        <v>1</v>
      </c>
      <c r="AH4" s="2" t="s">
        <v>2</v>
      </c>
      <c r="AI4" s="2" t="s">
        <v>3</v>
      </c>
      <c r="AJ4" s="2" t="s">
        <v>4</v>
      </c>
      <c r="AK4" s="2" t="s">
        <v>5</v>
      </c>
      <c r="AM4" s="2" t="s">
        <v>1</v>
      </c>
      <c r="AN4" s="2" t="s">
        <v>2</v>
      </c>
      <c r="AO4" s="2" t="s">
        <v>3</v>
      </c>
      <c r="AP4" s="2" t="s">
        <v>4</v>
      </c>
      <c r="AQ4" s="2" t="s">
        <v>5</v>
      </c>
      <c r="AS4" s="2" t="s">
        <v>1</v>
      </c>
      <c r="AT4" s="2" t="s">
        <v>2</v>
      </c>
      <c r="AU4" s="2" t="s">
        <v>3</v>
      </c>
      <c r="AV4" s="2" t="s">
        <v>4</v>
      </c>
      <c r="AW4" s="2" t="s">
        <v>5</v>
      </c>
    </row>
    <row r="5" spans="2:49" x14ac:dyDescent="0.15">
      <c r="B5" s="2">
        <v>1</v>
      </c>
      <c r="C5" s="2">
        <v>0.25</v>
      </c>
      <c r="D5" s="2">
        <v>0</v>
      </c>
      <c r="E5" s="2">
        <v>0</v>
      </c>
      <c r="F5" s="2">
        <v>0</v>
      </c>
      <c r="G5" s="2">
        <v>0</v>
      </c>
      <c r="I5" s="2">
        <v>0.14999999999999991</v>
      </c>
      <c r="J5" s="2">
        <v>4.9999999999999933E-2</v>
      </c>
      <c r="K5" s="2">
        <v>0</v>
      </c>
      <c r="L5" s="2">
        <v>0</v>
      </c>
      <c r="M5" s="2">
        <v>0</v>
      </c>
      <c r="O5" s="3">
        <f t="shared" ref="O5:O36" si="0">C5+I5</f>
        <v>0.39999999999999991</v>
      </c>
      <c r="P5" s="3">
        <f t="shared" ref="P5:P36" si="1">D5+J5</f>
        <v>4.9999999999999933E-2</v>
      </c>
      <c r="Q5" s="3">
        <f t="shared" ref="Q5:Q36" si="2">E5+K5</f>
        <v>0</v>
      </c>
      <c r="R5" s="3">
        <f t="shared" ref="R5:R36" si="3">F5+L5</f>
        <v>0</v>
      </c>
      <c r="S5" s="3">
        <f t="shared" ref="S5:S36" si="4">G5+M5</f>
        <v>0</v>
      </c>
      <c r="U5" s="1">
        <f>C5/O5</f>
        <v>0.62500000000000011</v>
      </c>
      <c r="V5" s="1">
        <f t="shared" ref="V5:Y5" si="5">D5/P5</f>
        <v>0</v>
      </c>
      <c r="W5" s="1" t="e">
        <f t="shared" si="5"/>
        <v>#DIV/0!</v>
      </c>
      <c r="X5" s="1" t="e">
        <f t="shared" si="5"/>
        <v>#DIV/0!</v>
      </c>
      <c r="Y5" s="1" t="e">
        <f t="shared" si="5"/>
        <v>#DIV/0!</v>
      </c>
      <c r="AA5" s="1">
        <f>I5/O5</f>
        <v>0.37499999999999989</v>
      </c>
      <c r="AB5" s="1">
        <f t="shared" ref="AB5:AE5" si="6">J5/P5</f>
        <v>1</v>
      </c>
      <c r="AC5" s="1" t="e">
        <f t="shared" si="6"/>
        <v>#DIV/0!</v>
      </c>
      <c r="AD5" s="1" t="e">
        <f t="shared" si="6"/>
        <v>#DIV/0!</v>
      </c>
      <c r="AE5" s="1" t="e">
        <f t="shared" si="6"/>
        <v>#DIV/0!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M5" s="1" t="e">
        <f t="shared" ref="AM5:AM36" si="7">C5/AG5</f>
        <v>#DIV/0!</v>
      </c>
      <c r="AN5" s="1" t="e">
        <f t="shared" ref="AN5:AN36" si="8">D5/AH5</f>
        <v>#DIV/0!</v>
      </c>
      <c r="AO5" s="1" t="e">
        <f t="shared" ref="AO5:AO36" si="9">E5/AI5</f>
        <v>#DIV/0!</v>
      </c>
      <c r="AP5" s="1" t="e">
        <f t="shared" ref="AP5:AP36" si="10">F5/AJ5</f>
        <v>#DIV/0!</v>
      </c>
      <c r="AQ5" s="1" t="e">
        <f t="shared" ref="AQ5:AQ36" si="11">G5/AK5</f>
        <v>#DIV/0!</v>
      </c>
      <c r="AS5" s="1" t="e">
        <f t="shared" ref="AS5:AS36" si="12">I5/AG5</f>
        <v>#DIV/0!</v>
      </c>
      <c r="AT5" s="1" t="e">
        <f t="shared" ref="AT5:AT36" si="13">J5/AH5</f>
        <v>#DIV/0!</v>
      </c>
      <c r="AU5" s="1" t="e">
        <f t="shared" ref="AU5:AU36" si="14">K5/AI5</f>
        <v>#DIV/0!</v>
      </c>
      <c r="AV5" s="1" t="e">
        <f t="shared" ref="AV5:AV36" si="15">L5/AJ5</f>
        <v>#DIV/0!</v>
      </c>
      <c r="AW5" s="1" t="e">
        <f t="shared" ref="AW5:AW36" si="16">M5/AK5</f>
        <v>#DIV/0!</v>
      </c>
    </row>
    <row r="6" spans="2:49" x14ac:dyDescent="0.15">
      <c r="B6" s="2">
        <v>2</v>
      </c>
      <c r="C6" s="2">
        <v>0.5</v>
      </c>
      <c r="D6" s="2">
        <v>0</v>
      </c>
      <c r="E6" s="2">
        <v>0</v>
      </c>
      <c r="F6" s="2">
        <v>0</v>
      </c>
      <c r="G6" s="2">
        <v>0</v>
      </c>
      <c r="I6" s="2">
        <v>0.30000000000000027</v>
      </c>
      <c r="J6" s="2">
        <v>9.9999999999999978E-2</v>
      </c>
      <c r="K6" s="2">
        <v>0</v>
      </c>
      <c r="L6" s="2">
        <v>0</v>
      </c>
      <c r="M6" s="2">
        <v>0</v>
      </c>
      <c r="O6" s="3">
        <f t="shared" si="0"/>
        <v>0.80000000000000027</v>
      </c>
      <c r="P6" s="3">
        <f t="shared" si="1"/>
        <v>9.9999999999999978E-2</v>
      </c>
      <c r="Q6" s="3">
        <f t="shared" si="2"/>
        <v>0</v>
      </c>
      <c r="R6" s="3">
        <f t="shared" si="3"/>
        <v>0</v>
      </c>
      <c r="S6" s="3">
        <f t="shared" si="4"/>
        <v>0</v>
      </c>
      <c r="U6" s="1">
        <f t="shared" ref="U6:U69" si="17">C6/O6</f>
        <v>0.62499999999999978</v>
      </c>
      <c r="V6" s="1">
        <f t="shared" ref="V6:V69" si="18">D6/P6</f>
        <v>0</v>
      </c>
      <c r="W6" s="1" t="e">
        <f t="shared" ref="W6:W69" si="19">E6/Q6</f>
        <v>#DIV/0!</v>
      </c>
      <c r="X6" s="1" t="e">
        <f t="shared" ref="X6:X69" si="20">F6/R6</f>
        <v>#DIV/0!</v>
      </c>
      <c r="Y6" s="1" t="e">
        <f t="shared" ref="Y6:Y69" si="21">G6/S6</f>
        <v>#DIV/0!</v>
      </c>
      <c r="AA6" s="1">
        <f t="shared" ref="AA6:AA69" si="22">I6/O6</f>
        <v>0.37500000000000022</v>
      </c>
      <c r="AB6" s="1">
        <f t="shared" ref="AB6:AB69" si="23">J6/P6</f>
        <v>1</v>
      </c>
      <c r="AC6" s="1" t="e">
        <f t="shared" ref="AC6:AC69" si="24">K6/Q6</f>
        <v>#DIV/0!</v>
      </c>
      <c r="AD6" s="1" t="e">
        <f t="shared" ref="AD6:AD69" si="25">L6/R6</f>
        <v>#DIV/0!</v>
      </c>
      <c r="AE6" s="1" t="e">
        <f t="shared" ref="AE6:AE69" si="26">M6/S6</f>
        <v>#DIV/0!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M6" s="1" t="e">
        <f t="shared" si="7"/>
        <v>#DIV/0!</v>
      </c>
      <c r="AN6" s="1" t="e">
        <f t="shared" si="8"/>
        <v>#DIV/0!</v>
      </c>
      <c r="AO6" s="1" t="e">
        <f t="shared" si="9"/>
        <v>#DIV/0!</v>
      </c>
      <c r="AP6" s="1" t="e">
        <f t="shared" si="10"/>
        <v>#DIV/0!</v>
      </c>
      <c r="AQ6" s="1" t="e">
        <f t="shared" si="11"/>
        <v>#DIV/0!</v>
      </c>
      <c r="AS6" s="1" t="e">
        <f t="shared" si="12"/>
        <v>#DIV/0!</v>
      </c>
      <c r="AT6" s="1" t="e">
        <f t="shared" si="13"/>
        <v>#DIV/0!</v>
      </c>
      <c r="AU6" s="1" t="e">
        <f t="shared" si="14"/>
        <v>#DIV/0!</v>
      </c>
      <c r="AV6" s="1" t="e">
        <f t="shared" si="15"/>
        <v>#DIV/0!</v>
      </c>
      <c r="AW6" s="1" t="e">
        <f t="shared" si="16"/>
        <v>#DIV/0!</v>
      </c>
    </row>
    <row r="7" spans="2:49" x14ac:dyDescent="0.15">
      <c r="B7" s="2">
        <v>3</v>
      </c>
      <c r="C7" s="2">
        <v>0.75</v>
      </c>
      <c r="D7" s="2">
        <v>0</v>
      </c>
      <c r="E7" s="2">
        <v>0</v>
      </c>
      <c r="F7" s="2">
        <v>0</v>
      </c>
      <c r="G7" s="2">
        <v>0</v>
      </c>
      <c r="I7" s="2">
        <v>0.45000000000000018</v>
      </c>
      <c r="J7" s="2">
        <v>0.14999999999999991</v>
      </c>
      <c r="K7" s="2">
        <v>0</v>
      </c>
      <c r="L7" s="2">
        <v>0</v>
      </c>
      <c r="M7" s="2">
        <v>0</v>
      </c>
      <c r="O7" s="3">
        <f t="shared" si="0"/>
        <v>1.2000000000000002</v>
      </c>
      <c r="P7" s="3">
        <f t="shared" si="1"/>
        <v>0.14999999999999991</v>
      </c>
      <c r="Q7" s="3">
        <f t="shared" si="2"/>
        <v>0</v>
      </c>
      <c r="R7" s="3">
        <f t="shared" si="3"/>
        <v>0</v>
      </c>
      <c r="S7" s="3">
        <f t="shared" si="4"/>
        <v>0</v>
      </c>
      <c r="U7" s="1">
        <f t="shared" si="17"/>
        <v>0.62499999999999989</v>
      </c>
      <c r="V7" s="1">
        <f t="shared" si="18"/>
        <v>0</v>
      </c>
      <c r="W7" s="1" t="e">
        <f t="shared" si="19"/>
        <v>#DIV/0!</v>
      </c>
      <c r="X7" s="1" t="e">
        <f t="shared" si="20"/>
        <v>#DIV/0!</v>
      </c>
      <c r="Y7" s="1" t="e">
        <f t="shared" si="21"/>
        <v>#DIV/0!</v>
      </c>
      <c r="AA7" s="1">
        <f t="shared" si="22"/>
        <v>0.37500000000000011</v>
      </c>
      <c r="AB7" s="1">
        <f t="shared" si="23"/>
        <v>1</v>
      </c>
      <c r="AC7" s="1" t="e">
        <f t="shared" si="24"/>
        <v>#DIV/0!</v>
      </c>
      <c r="AD7" s="1" t="e">
        <f t="shared" si="25"/>
        <v>#DIV/0!</v>
      </c>
      <c r="AE7" s="1" t="e">
        <f t="shared" si="26"/>
        <v>#DIV/0!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M7" s="1" t="e">
        <f t="shared" si="7"/>
        <v>#DIV/0!</v>
      </c>
      <c r="AN7" s="1" t="e">
        <f t="shared" si="8"/>
        <v>#DIV/0!</v>
      </c>
      <c r="AO7" s="1" t="e">
        <f t="shared" si="9"/>
        <v>#DIV/0!</v>
      </c>
      <c r="AP7" s="1" t="e">
        <f t="shared" si="10"/>
        <v>#DIV/0!</v>
      </c>
      <c r="AQ7" s="1" t="e">
        <f t="shared" si="11"/>
        <v>#DIV/0!</v>
      </c>
      <c r="AS7" s="1" t="e">
        <f t="shared" si="12"/>
        <v>#DIV/0!</v>
      </c>
      <c r="AT7" s="1" t="e">
        <f t="shared" si="13"/>
        <v>#DIV/0!</v>
      </c>
      <c r="AU7" s="1" t="e">
        <f t="shared" si="14"/>
        <v>#DIV/0!</v>
      </c>
      <c r="AV7" s="1" t="e">
        <f t="shared" si="15"/>
        <v>#DIV/0!</v>
      </c>
      <c r="AW7" s="1" t="e">
        <f t="shared" si="16"/>
        <v>#DIV/0!</v>
      </c>
    </row>
    <row r="8" spans="2:49" x14ac:dyDescent="0.15">
      <c r="B8" s="2">
        <v>4</v>
      </c>
      <c r="C8" s="2">
        <v>1</v>
      </c>
      <c r="D8" s="2">
        <v>0</v>
      </c>
      <c r="E8" s="2">
        <v>0</v>
      </c>
      <c r="F8" s="2">
        <v>0</v>
      </c>
      <c r="G8" s="2">
        <v>0</v>
      </c>
      <c r="I8" s="2">
        <v>0.60000000000000009</v>
      </c>
      <c r="J8" s="2">
        <v>0.19999999999999996</v>
      </c>
      <c r="K8" s="2">
        <v>0</v>
      </c>
      <c r="L8" s="2">
        <v>0</v>
      </c>
      <c r="M8" s="2">
        <v>0</v>
      </c>
      <c r="O8" s="3">
        <f t="shared" si="0"/>
        <v>1.6</v>
      </c>
      <c r="P8" s="3">
        <f t="shared" si="1"/>
        <v>0.19999999999999996</v>
      </c>
      <c r="Q8" s="3">
        <f t="shared" si="2"/>
        <v>0</v>
      </c>
      <c r="R8" s="3">
        <f t="shared" si="3"/>
        <v>0</v>
      </c>
      <c r="S8" s="3">
        <f t="shared" si="4"/>
        <v>0</v>
      </c>
      <c r="U8" s="1">
        <f t="shared" si="17"/>
        <v>0.625</v>
      </c>
      <c r="V8" s="1">
        <f t="shared" si="18"/>
        <v>0</v>
      </c>
      <c r="W8" s="1" t="e">
        <f t="shared" si="19"/>
        <v>#DIV/0!</v>
      </c>
      <c r="X8" s="1" t="e">
        <f t="shared" si="20"/>
        <v>#DIV/0!</v>
      </c>
      <c r="Y8" s="1" t="e">
        <f t="shared" si="21"/>
        <v>#DIV/0!</v>
      </c>
      <c r="AA8" s="1">
        <f t="shared" si="22"/>
        <v>0.37500000000000006</v>
      </c>
      <c r="AB8" s="1">
        <f t="shared" si="23"/>
        <v>1</v>
      </c>
      <c r="AC8" s="1" t="e">
        <f t="shared" si="24"/>
        <v>#DIV/0!</v>
      </c>
      <c r="AD8" s="1" t="e">
        <f t="shared" si="25"/>
        <v>#DIV/0!</v>
      </c>
      <c r="AE8" s="1" t="e">
        <f t="shared" si="26"/>
        <v>#DIV/0!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M8" s="1" t="e">
        <f t="shared" si="7"/>
        <v>#DIV/0!</v>
      </c>
      <c r="AN8" s="1" t="e">
        <f t="shared" si="8"/>
        <v>#DIV/0!</v>
      </c>
      <c r="AO8" s="1" t="e">
        <f t="shared" si="9"/>
        <v>#DIV/0!</v>
      </c>
      <c r="AP8" s="1" t="e">
        <f t="shared" si="10"/>
        <v>#DIV/0!</v>
      </c>
      <c r="AQ8" s="1" t="e">
        <f t="shared" si="11"/>
        <v>#DIV/0!</v>
      </c>
      <c r="AS8" s="1" t="e">
        <f t="shared" si="12"/>
        <v>#DIV/0!</v>
      </c>
      <c r="AT8" s="1" t="e">
        <f t="shared" si="13"/>
        <v>#DIV/0!</v>
      </c>
      <c r="AU8" s="1" t="e">
        <f t="shared" si="14"/>
        <v>#DIV/0!</v>
      </c>
      <c r="AV8" s="1" t="e">
        <f t="shared" si="15"/>
        <v>#DIV/0!</v>
      </c>
      <c r="AW8" s="1" t="e">
        <f t="shared" si="16"/>
        <v>#DIV/0!</v>
      </c>
    </row>
    <row r="9" spans="2:49" x14ac:dyDescent="0.15">
      <c r="B9" s="2">
        <v>5</v>
      </c>
      <c r="C9" s="2">
        <v>1.25</v>
      </c>
      <c r="D9" s="2">
        <v>0</v>
      </c>
      <c r="E9" s="2">
        <v>0</v>
      </c>
      <c r="F9" s="2">
        <v>0</v>
      </c>
      <c r="G9" s="2">
        <v>0</v>
      </c>
      <c r="I9" s="2">
        <v>0.75</v>
      </c>
      <c r="J9" s="2">
        <v>0.25</v>
      </c>
      <c r="K9" s="2">
        <v>0</v>
      </c>
      <c r="L9" s="2">
        <v>0</v>
      </c>
      <c r="M9" s="2">
        <v>0</v>
      </c>
      <c r="O9" s="3">
        <f t="shared" si="0"/>
        <v>2</v>
      </c>
      <c r="P9" s="3">
        <f t="shared" si="1"/>
        <v>0.25</v>
      </c>
      <c r="Q9" s="3">
        <f t="shared" si="2"/>
        <v>0</v>
      </c>
      <c r="R9" s="3">
        <f t="shared" si="3"/>
        <v>0</v>
      </c>
      <c r="S9" s="3">
        <f t="shared" si="4"/>
        <v>0</v>
      </c>
      <c r="U9" s="1">
        <f t="shared" si="17"/>
        <v>0.625</v>
      </c>
      <c r="V9" s="1">
        <f t="shared" si="18"/>
        <v>0</v>
      </c>
      <c r="W9" s="1" t="e">
        <f t="shared" si="19"/>
        <v>#DIV/0!</v>
      </c>
      <c r="X9" s="1" t="e">
        <f t="shared" si="20"/>
        <v>#DIV/0!</v>
      </c>
      <c r="Y9" s="1" t="e">
        <f t="shared" si="21"/>
        <v>#DIV/0!</v>
      </c>
      <c r="AA9" s="1">
        <f t="shared" si="22"/>
        <v>0.375</v>
      </c>
      <c r="AB9" s="1">
        <f t="shared" si="23"/>
        <v>1</v>
      </c>
      <c r="AC9" s="1" t="e">
        <f t="shared" si="24"/>
        <v>#DIV/0!</v>
      </c>
      <c r="AD9" s="1" t="e">
        <f t="shared" si="25"/>
        <v>#DIV/0!</v>
      </c>
      <c r="AE9" s="1" t="e">
        <f t="shared" si="26"/>
        <v>#DIV/0!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M9" s="1" t="e">
        <f t="shared" si="7"/>
        <v>#DIV/0!</v>
      </c>
      <c r="AN9" s="1" t="e">
        <f t="shared" si="8"/>
        <v>#DIV/0!</v>
      </c>
      <c r="AO9" s="1" t="e">
        <f t="shared" si="9"/>
        <v>#DIV/0!</v>
      </c>
      <c r="AP9" s="1" t="e">
        <f t="shared" si="10"/>
        <v>#DIV/0!</v>
      </c>
      <c r="AQ9" s="1" t="e">
        <f t="shared" si="11"/>
        <v>#DIV/0!</v>
      </c>
      <c r="AS9" s="1" t="e">
        <f t="shared" si="12"/>
        <v>#DIV/0!</v>
      </c>
      <c r="AT9" s="1" t="e">
        <f t="shared" si="13"/>
        <v>#DIV/0!</v>
      </c>
      <c r="AU9" s="1" t="e">
        <f t="shared" si="14"/>
        <v>#DIV/0!</v>
      </c>
      <c r="AV9" s="1" t="e">
        <f t="shared" si="15"/>
        <v>#DIV/0!</v>
      </c>
      <c r="AW9" s="1" t="e">
        <f t="shared" si="16"/>
        <v>#DIV/0!</v>
      </c>
    </row>
    <row r="10" spans="2:49" x14ac:dyDescent="0.15">
      <c r="B10" s="2">
        <v>6</v>
      </c>
      <c r="C10" s="2">
        <v>1.5</v>
      </c>
      <c r="D10" s="2">
        <v>0</v>
      </c>
      <c r="E10" s="2">
        <v>0</v>
      </c>
      <c r="F10" s="2">
        <v>0</v>
      </c>
      <c r="G10" s="2">
        <v>0</v>
      </c>
      <c r="I10" s="2">
        <v>0.89999999999999991</v>
      </c>
      <c r="J10" s="2">
        <v>0.29999999999999993</v>
      </c>
      <c r="K10" s="2">
        <v>0</v>
      </c>
      <c r="L10" s="2">
        <v>0</v>
      </c>
      <c r="M10" s="2">
        <v>0</v>
      </c>
      <c r="O10" s="3">
        <f t="shared" si="0"/>
        <v>2.4</v>
      </c>
      <c r="P10" s="3">
        <f t="shared" si="1"/>
        <v>0.29999999999999993</v>
      </c>
      <c r="Q10" s="3">
        <f t="shared" si="2"/>
        <v>0</v>
      </c>
      <c r="R10" s="3">
        <f t="shared" si="3"/>
        <v>0</v>
      </c>
      <c r="S10" s="3">
        <f t="shared" si="4"/>
        <v>0</v>
      </c>
      <c r="U10" s="1">
        <f t="shared" si="17"/>
        <v>0.625</v>
      </c>
      <c r="V10" s="1">
        <f t="shared" si="18"/>
        <v>0</v>
      </c>
      <c r="W10" s="1" t="e">
        <f t="shared" si="19"/>
        <v>#DIV/0!</v>
      </c>
      <c r="X10" s="1" t="e">
        <f t="shared" si="20"/>
        <v>#DIV/0!</v>
      </c>
      <c r="Y10" s="1" t="e">
        <f t="shared" si="21"/>
        <v>#DIV/0!</v>
      </c>
      <c r="AA10" s="1">
        <f t="shared" si="22"/>
        <v>0.375</v>
      </c>
      <c r="AB10" s="1">
        <f t="shared" si="23"/>
        <v>1</v>
      </c>
      <c r="AC10" s="1" t="e">
        <f t="shared" si="24"/>
        <v>#DIV/0!</v>
      </c>
      <c r="AD10" s="1" t="e">
        <f t="shared" si="25"/>
        <v>#DIV/0!</v>
      </c>
      <c r="AE10" s="1" t="e">
        <f t="shared" si="26"/>
        <v>#DIV/0!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M10" s="1" t="e">
        <f t="shared" si="7"/>
        <v>#DIV/0!</v>
      </c>
      <c r="AN10" s="1" t="e">
        <f t="shared" si="8"/>
        <v>#DIV/0!</v>
      </c>
      <c r="AO10" s="1" t="e">
        <f t="shared" si="9"/>
        <v>#DIV/0!</v>
      </c>
      <c r="AP10" s="1" t="e">
        <f t="shared" si="10"/>
        <v>#DIV/0!</v>
      </c>
      <c r="AQ10" s="1" t="e">
        <f t="shared" si="11"/>
        <v>#DIV/0!</v>
      </c>
      <c r="AS10" s="1" t="e">
        <f t="shared" si="12"/>
        <v>#DIV/0!</v>
      </c>
      <c r="AT10" s="1" t="e">
        <f t="shared" si="13"/>
        <v>#DIV/0!</v>
      </c>
      <c r="AU10" s="1" t="e">
        <f t="shared" si="14"/>
        <v>#DIV/0!</v>
      </c>
      <c r="AV10" s="1" t="e">
        <f t="shared" si="15"/>
        <v>#DIV/0!</v>
      </c>
      <c r="AW10" s="1" t="e">
        <f t="shared" si="16"/>
        <v>#DIV/0!</v>
      </c>
    </row>
    <row r="11" spans="2:49" x14ac:dyDescent="0.15">
      <c r="B11" s="2">
        <v>7</v>
      </c>
      <c r="C11" s="2">
        <v>1.75</v>
      </c>
      <c r="D11" s="2">
        <v>0</v>
      </c>
      <c r="E11" s="2">
        <v>0</v>
      </c>
      <c r="F11" s="2">
        <v>0</v>
      </c>
      <c r="G11" s="2">
        <v>0</v>
      </c>
      <c r="I11" s="2">
        <v>1.05</v>
      </c>
      <c r="J11" s="2">
        <v>0.35</v>
      </c>
      <c r="K11" s="2">
        <v>0</v>
      </c>
      <c r="L11" s="2">
        <v>0</v>
      </c>
      <c r="M11" s="2">
        <v>0</v>
      </c>
      <c r="O11" s="3">
        <f t="shared" si="0"/>
        <v>2.8</v>
      </c>
      <c r="P11" s="3">
        <f t="shared" si="1"/>
        <v>0.35</v>
      </c>
      <c r="Q11" s="3">
        <f t="shared" si="2"/>
        <v>0</v>
      </c>
      <c r="R11" s="3">
        <f t="shared" si="3"/>
        <v>0</v>
      </c>
      <c r="S11" s="3">
        <f t="shared" si="4"/>
        <v>0</v>
      </c>
      <c r="U11" s="1">
        <f t="shared" si="17"/>
        <v>0.625</v>
      </c>
      <c r="V11" s="1">
        <f t="shared" si="18"/>
        <v>0</v>
      </c>
      <c r="W11" s="1" t="e">
        <f t="shared" si="19"/>
        <v>#DIV/0!</v>
      </c>
      <c r="X11" s="1" t="e">
        <f t="shared" si="20"/>
        <v>#DIV/0!</v>
      </c>
      <c r="Y11" s="1" t="e">
        <f t="shared" si="21"/>
        <v>#DIV/0!</v>
      </c>
      <c r="AA11" s="1">
        <f t="shared" si="22"/>
        <v>0.37500000000000006</v>
      </c>
      <c r="AB11" s="1">
        <f t="shared" si="23"/>
        <v>1</v>
      </c>
      <c r="AC11" s="1" t="e">
        <f t="shared" si="24"/>
        <v>#DIV/0!</v>
      </c>
      <c r="AD11" s="1" t="e">
        <f t="shared" si="25"/>
        <v>#DIV/0!</v>
      </c>
      <c r="AE11" s="1" t="e">
        <f t="shared" si="26"/>
        <v>#DIV/0!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M11" s="1" t="e">
        <f t="shared" si="7"/>
        <v>#DIV/0!</v>
      </c>
      <c r="AN11" s="1" t="e">
        <f t="shared" si="8"/>
        <v>#DIV/0!</v>
      </c>
      <c r="AO11" s="1" t="e">
        <f t="shared" si="9"/>
        <v>#DIV/0!</v>
      </c>
      <c r="AP11" s="1" t="e">
        <f t="shared" si="10"/>
        <v>#DIV/0!</v>
      </c>
      <c r="AQ11" s="1" t="e">
        <f t="shared" si="11"/>
        <v>#DIV/0!</v>
      </c>
      <c r="AS11" s="1" t="e">
        <f t="shared" si="12"/>
        <v>#DIV/0!</v>
      </c>
      <c r="AT11" s="1" t="e">
        <f t="shared" si="13"/>
        <v>#DIV/0!</v>
      </c>
      <c r="AU11" s="1" t="e">
        <f t="shared" si="14"/>
        <v>#DIV/0!</v>
      </c>
      <c r="AV11" s="1" t="e">
        <f t="shared" si="15"/>
        <v>#DIV/0!</v>
      </c>
      <c r="AW11" s="1" t="e">
        <f t="shared" si="16"/>
        <v>#DIV/0!</v>
      </c>
    </row>
    <row r="12" spans="2:49" x14ac:dyDescent="0.15">
      <c r="B12" s="2">
        <v>8</v>
      </c>
      <c r="C12" s="2">
        <v>2</v>
      </c>
      <c r="D12" s="2">
        <v>0</v>
      </c>
      <c r="E12" s="2">
        <v>0</v>
      </c>
      <c r="F12" s="2">
        <v>0</v>
      </c>
      <c r="G12" s="2">
        <v>0</v>
      </c>
      <c r="I12" s="2">
        <v>1.2000000000000002</v>
      </c>
      <c r="J12" s="2">
        <v>0.39999999999999991</v>
      </c>
      <c r="K12" s="2">
        <v>0</v>
      </c>
      <c r="L12" s="2">
        <v>0</v>
      </c>
      <c r="M12" s="2">
        <v>0</v>
      </c>
      <c r="O12" s="3">
        <f t="shared" si="0"/>
        <v>3.2</v>
      </c>
      <c r="P12" s="3">
        <f t="shared" si="1"/>
        <v>0.39999999999999991</v>
      </c>
      <c r="Q12" s="3">
        <f t="shared" si="2"/>
        <v>0</v>
      </c>
      <c r="R12" s="3">
        <f t="shared" si="3"/>
        <v>0</v>
      </c>
      <c r="S12" s="3">
        <f t="shared" si="4"/>
        <v>0</v>
      </c>
      <c r="U12" s="1">
        <f t="shared" si="17"/>
        <v>0.625</v>
      </c>
      <c r="V12" s="1">
        <f t="shared" si="18"/>
        <v>0</v>
      </c>
      <c r="W12" s="1" t="e">
        <f t="shared" si="19"/>
        <v>#DIV/0!</v>
      </c>
      <c r="X12" s="1" t="e">
        <f t="shared" si="20"/>
        <v>#DIV/0!</v>
      </c>
      <c r="Y12" s="1" t="e">
        <f t="shared" si="21"/>
        <v>#DIV/0!</v>
      </c>
      <c r="AA12" s="1">
        <f t="shared" si="22"/>
        <v>0.37500000000000006</v>
      </c>
      <c r="AB12" s="1">
        <f t="shared" si="23"/>
        <v>1</v>
      </c>
      <c r="AC12" s="1" t="e">
        <f t="shared" si="24"/>
        <v>#DIV/0!</v>
      </c>
      <c r="AD12" s="1" t="e">
        <f t="shared" si="25"/>
        <v>#DIV/0!</v>
      </c>
      <c r="AE12" s="1" t="e">
        <f t="shared" si="26"/>
        <v>#DIV/0!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M12" s="1" t="e">
        <f t="shared" si="7"/>
        <v>#DIV/0!</v>
      </c>
      <c r="AN12" s="1" t="e">
        <f t="shared" si="8"/>
        <v>#DIV/0!</v>
      </c>
      <c r="AO12" s="1" t="e">
        <f t="shared" si="9"/>
        <v>#DIV/0!</v>
      </c>
      <c r="AP12" s="1" t="e">
        <f t="shared" si="10"/>
        <v>#DIV/0!</v>
      </c>
      <c r="AQ12" s="1" t="e">
        <f t="shared" si="11"/>
        <v>#DIV/0!</v>
      </c>
      <c r="AS12" s="1" t="e">
        <f t="shared" si="12"/>
        <v>#DIV/0!</v>
      </c>
      <c r="AT12" s="1" t="e">
        <f t="shared" si="13"/>
        <v>#DIV/0!</v>
      </c>
      <c r="AU12" s="1" t="e">
        <f t="shared" si="14"/>
        <v>#DIV/0!</v>
      </c>
      <c r="AV12" s="1" t="e">
        <f t="shared" si="15"/>
        <v>#DIV/0!</v>
      </c>
      <c r="AW12" s="1" t="e">
        <f t="shared" si="16"/>
        <v>#DIV/0!</v>
      </c>
    </row>
    <row r="13" spans="2:49" x14ac:dyDescent="0.15">
      <c r="B13" s="2">
        <v>9</v>
      </c>
      <c r="C13" s="2">
        <v>2.25</v>
      </c>
      <c r="D13" s="2">
        <v>0</v>
      </c>
      <c r="E13" s="2">
        <v>0</v>
      </c>
      <c r="F13" s="2">
        <v>0</v>
      </c>
      <c r="G13" s="2">
        <v>0</v>
      </c>
      <c r="I13" s="2">
        <v>1.35</v>
      </c>
      <c r="J13" s="2">
        <v>0.44999999999999996</v>
      </c>
      <c r="K13" s="2">
        <v>0</v>
      </c>
      <c r="L13" s="2">
        <v>0</v>
      </c>
      <c r="M13" s="2">
        <v>0</v>
      </c>
      <c r="O13" s="3">
        <f t="shared" si="0"/>
        <v>3.6</v>
      </c>
      <c r="P13" s="3">
        <f t="shared" si="1"/>
        <v>0.44999999999999996</v>
      </c>
      <c r="Q13" s="3">
        <f t="shared" si="2"/>
        <v>0</v>
      </c>
      <c r="R13" s="3">
        <f t="shared" si="3"/>
        <v>0</v>
      </c>
      <c r="S13" s="3">
        <f t="shared" si="4"/>
        <v>0</v>
      </c>
      <c r="U13" s="1">
        <f t="shared" si="17"/>
        <v>0.625</v>
      </c>
      <c r="V13" s="1">
        <f t="shared" si="18"/>
        <v>0</v>
      </c>
      <c r="W13" s="1" t="e">
        <f t="shared" si="19"/>
        <v>#DIV/0!</v>
      </c>
      <c r="X13" s="1" t="e">
        <f t="shared" si="20"/>
        <v>#DIV/0!</v>
      </c>
      <c r="Y13" s="1" t="e">
        <f t="shared" si="21"/>
        <v>#DIV/0!</v>
      </c>
      <c r="AA13" s="1">
        <f t="shared" si="22"/>
        <v>0.375</v>
      </c>
      <c r="AB13" s="1">
        <f t="shared" si="23"/>
        <v>1</v>
      </c>
      <c r="AC13" s="1" t="e">
        <f t="shared" si="24"/>
        <v>#DIV/0!</v>
      </c>
      <c r="AD13" s="1" t="e">
        <f t="shared" si="25"/>
        <v>#DIV/0!</v>
      </c>
      <c r="AE13" s="1" t="e">
        <f t="shared" si="26"/>
        <v>#DIV/0!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M13" s="1" t="e">
        <f t="shared" si="7"/>
        <v>#DIV/0!</v>
      </c>
      <c r="AN13" s="1" t="e">
        <f t="shared" si="8"/>
        <v>#DIV/0!</v>
      </c>
      <c r="AO13" s="1" t="e">
        <f t="shared" si="9"/>
        <v>#DIV/0!</v>
      </c>
      <c r="AP13" s="1" t="e">
        <f t="shared" si="10"/>
        <v>#DIV/0!</v>
      </c>
      <c r="AQ13" s="1" t="e">
        <f t="shared" si="11"/>
        <v>#DIV/0!</v>
      </c>
      <c r="AS13" s="1" t="e">
        <f t="shared" si="12"/>
        <v>#DIV/0!</v>
      </c>
      <c r="AT13" s="1" t="e">
        <f t="shared" si="13"/>
        <v>#DIV/0!</v>
      </c>
      <c r="AU13" s="1" t="e">
        <f t="shared" si="14"/>
        <v>#DIV/0!</v>
      </c>
      <c r="AV13" s="1" t="e">
        <f t="shared" si="15"/>
        <v>#DIV/0!</v>
      </c>
      <c r="AW13" s="1" t="e">
        <f t="shared" si="16"/>
        <v>#DIV/0!</v>
      </c>
    </row>
    <row r="14" spans="2:49" x14ac:dyDescent="0.15">
      <c r="B14" s="2">
        <v>10</v>
      </c>
      <c r="C14" s="2">
        <v>2.5</v>
      </c>
      <c r="D14" s="2">
        <v>0</v>
      </c>
      <c r="E14" s="2">
        <v>0</v>
      </c>
      <c r="F14" s="2">
        <v>0</v>
      </c>
      <c r="G14" s="2">
        <v>0</v>
      </c>
      <c r="I14" s="2">
        <v>1.5</v>
      </c>
      <c r="J14" s="2">
        <v>0.5</v>
      </c>
      <c r="K14" s="2">
        <v>0</v>
      </c>
      <c r="L14" s="2">
        <v>0</v>
      </c>
      <c r="M14" s="2">
        <v>0</v>
      </c>
      <c r="O14" s="3">
        <f t="shared" si="0"/>
        <v>4</v>
      </c>
      <c r="P14" s="3">
        <f t="shared" si="1"/>
        <v>0.5</v>
      </c>
      <c r="Q14" s="3">
        <f t="shared" si="2"/>
        <v>0</v>
      </c>
      <c r="R14" s="3">
        <f t="shared" si="3"/>
        <v>0</v>
      </c>
      <c r="S14" s="3">
        <f t="shared" si="4"/>
        <v>0</v>
      </c>
      <c r="U14" s="1">
        <f t="shared" si="17"/>
        <v>0.625</v>
      </c>
      <c r="V14" s="1">
        <f t="shared" si="18"/>
        <v>0</v>
      </c>
      <c r="W14" s="1" t="e">
        <f t="shared" si="19"/>
        <v>#DIV/0!</v>
      </c>
      <c r="X14" s="1" t="e">
        <f t="shared" si="20"/>
        <v>#DIV/0!</v>
      </c>
      <c r="Y14" s="1" t="e">
        <f t="shared" si="21"/>
        <v>#DIV/0!</v>
      </c>
      <c r="AA14" s="1">
        <f t="shared" si="22"/>
        <v>0.375</v>
      </c>
      <c r="AB14" s="1">
        <f t="shared" si="23"/>
        <v>1</v>
      </c>
      <c r="AC14" s="1" t="e">
        <f t="shared" si="24"/>
        <v>#DIV/0!</v>
      </c>
      <c r="AD14" s="1" t="e">
        <f t="shared" si="25"/>
        <v>#DIV/0!</v>
      </c>
      <c r="AE14" s="1" t="e">
        <f t="shared" si="26"/>
        <v>#DIV/0!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M14" s="1" t="e">
        <f t="shared" si="7"/>
        <v>#DIV/0!</v>
      </c>
      <c r="AN14" s="1" t="e">
        <f t="shared" si="8"/>
        <v>#DIV/0!</v>
      </c>
      <c r="AO14" s="1" t="e">
        <f t="shared" si="9"/>
        <v>#DIV/0!</v>
      </c>
      <c r="AP14" s="1" t="e">
        <f t="shared" si="10"/>
        <v>#DIV/0!</v>
      </c>
      <c r="AQ14" s="1" t="e">
        <f t="shared" si="11"/>
        <v>#DIV/0!</v>
      </c>
      <c r="AS14" s="1" t="e">
        <f t="shared" si="12"/>
        <v>#DIV/0!</v>
      </c>
      <c r="AT14" s="1" t="e">
        <f t="shared" si="13"/>
        <v>#DIV/0!</v>
      </c>
      <c r="AU14" s="1" t="e">
        <f t="shared" si="14"/>
        <v>#DIV/0!</v>
      </c>
      <c r="AV14" s="1" t="e">
        <f t="shared" si="15"/>
        <v>#DIV/0!</v>
      </c>
      <c r="AW14" s="1" t="e">
        <f t="shared" si="16"/>
        <v>#DIV/0!</v>
      </c>
    </row>
    <row r="15" spans="2:49" x14ac:dyDescent="0.15">
      <c r="B15" s="2">
        <v>11</v>
      </c>
      <c r="C15" s="2">
        <v>2.75</v>
      </c>
      <c r="D15" s="2">
        <v>0</v>
      </c>
      <c r="E15" s="2">
        <v>0</v>
      </c>
      <c r="F15" s="2">
        <v>0</v>
      </c>
      <c r="G15" s="2">
        <v>0</v>
      </c>
      <c r="I15" s="2">
        <v>1.6500000000000001</v>
      </c>
      <c r="J15" s="2">
        <v>0.55000000000000004</v>
      </c>
      <c r="K15" s="2">
        <v>0</v>
      </c>
      <c r="L15" s="2">
        <v>0</v>
      </c>
      <c r="M15" s="2">
        <v>0</v>
      </c>
      <c r="O15" s="3">
        <f t="shared" si="0"/>
        <v>4.4000000000000004</v>
      </c>
      <c r="P15" s="3">
        <f t="shared" si="1"/>
        <v>0.55000000000000004</v>
      </c>
      <c r="Q15" s="3">
        <f t="shared" si="2"/>
        <v>0</v>
      </c>
      <c r="R15" s="3">
        <f t="shared" si="3"/>
        <v>0</v>
      </c>
      <c r="S15" s="3">
        <f t="shared" si="4"/>
        <v>0</v>
      </c>
      <c r="U15" s="1">
        <f t="shared" si="17"/>
        <v>0.625</v>
      </c>
      <c r="V15" s="1">
        <f t="shared" si="18"/>
        <v>0</v>
      </c>
      <c r="W15" s="1" t="e">
        <f t="shared" si="19"/>
        <v>#DIV/0!</v>
      </c>
      <c r="X15" s="1" t="e">
        <f t="shared" si="20"/>
        <v>#DIV/0!</v>
      </c>
      <c r="Y15" s="1" t="e">
        <f t="shared" si="21"/>
        <v>#DIV/0!</v>
      </c>
      <c r="AA15" s="1">
        <f t="shared" si="22"/>
        <v>0.375</v>
      </c>
      <c r="AB15" s="1">
        <f t="shared" si="23"/>
        <v>1</v>
      </c>
      <c r="AC15" s="1" t="e">
        <f t="shared" si="24"/>
        <v>#DIV/0!</v>
      </c>
      <c r="AD15" s="1" t="e">
        <f t="shared" si="25"/>
        <v>#DIV/0!</v>
      </c>
      <c r="AE15" s="1" t="e">
        <f t="shared" si="26"/>
        <v>#DIV/0!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M15" s="1" t="e">
        <f t="shared" si="7"/>
        <v>#DIV/0!</v>
      </c>
      <c r="AN15" s="1" t="e">
        <f t="shared" si="8"/>
        <v>#DIV/0!</v>
      </c>
      <c r="AO15" s="1" t="e">
        <f t="shared" si="9"/>
        <v>#DIV/0!</v>
      </c>
      <c r="AP15" s="1" t="e">
        <f t="shared" si="10"/>
        <v>#DIV/0!</v>
      </c>
      <c r="AQ15" s="1" t="e">
        <f t="shared" si="11"/>
        <v>#DIV/0!</v>
      </c>
      <c r="AS15" s="1" t="e">
        <f t="shared" si="12"/>
        <v>#DIV/0!</v>
      </c>
      <c r="AT15" s="1" t="e">
        <f t="shared" si="13"/>
        <v>#DIV/0!</v>
      </c>
      <c r="AU15" s="1" t="e">
        <f t="shared" si="14"/>
        <v>#DIV/0!</v>
      </c>
      <c r="AV15" s="1" t="e">
        <f t="shared" si="15"/>
        <v>#DIV/0!</v>
      </c>
      <c r="AW15" s="1" t="e">
        <f t="shared" si="16"/>
        <v>#DIV/0!</v>
      </c>
    </row>
    <row r="16" spans="2:49" x14ac:dyDescent="0.15">
      <c r="B16" s="2">
        <v>12</v>
      </c>
      <c r="C16" s="2">
        <v>3</v>
      </c>
      <c r="D16" s="2">
        <v>0</v>
      </c>
      <c r="E16" s="2">
        <v>0</v>
      </c>
      <c r="F16" s="2">
        <v>0</v>
      </c>
      <c r="G16" s="2">
        <v>0</v>
      </c>
      <c r="I16" s="2">
        <v>1.8</v>
      </c>
      <c r="J16" s="2">
        <v>0.6</v>
      </c>
      <c r="K16" s="2">
        <v>0</v>
      </c>
      <c r="L16" s="2">
        <v>0</v>
      </c>
      <c r="M16" s="2">
        <v>0</v>
      </c>
      <c r="O16" s="3">
        <f t="shared" si="0"/>
        <v>4.8</v>
      </c>
      <c r="P16" s="3">
        <f t="shared" si="1"/>
        <v>0.6</v>
      </c>
      <c r="Q16" s="3">
        <f t="shared" si="2"/>
        <v>0</v>
      </c>
      <c r="R16" s="3">
        <f t="shared" si="3"/>
        <v>0</v>
      </c>
      <c r="S16" s="3">
        <f t="shared" si="4"/>
        <v>0</v>
      </c>
      <c r="U16" s="1">
        <f t="shared" si="17"/>
        <v>0.625</v>
      </c>
      <c r="V16" s="1">
        <f t="shared" si="18"/>
        <v>0</v>
      </c>
      <c r="W16" s="1" t="e">
        <f t="shared" si="19"/>
        <v>#DIV/0!</v>
      </c>
      <c r="X16" s="1" t="e">
        <f t="shared" si="20"/>
        <v>#DIV/0!</v>
      </c>
      <c r="Y16" s="1" t="e">
        <f t="shared" si="21"/>
        <v>#DIV/0!</v>
      </c>
      <c r="AA16" s="1">
        <f t="shared" si="22"/>
        <v>0.375</v>
      </c>
      <c r="AB16" s="1">
        <f t="shared" si="23"/>
        <v>1</v>
      </c>
      <c r="AC16" s="1" t="e">
        <f t="shared" si="24"/>
        <v>#DIV/0!</v>
      </c>
      <c r="AD16" s="1" t="e">
        <f t="shared" si="25"/>
        <v>#DIV/0!</v>
      </c>
      <c r="AE16" s="1" t="e">
        <f t="shared" si="26"/>
        <v>#DIV/0!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M16" s="1" t="e">
        <f t="shared" si="7"/>
        <v>#DIV/0!</v>
      </c>
      <c r="AN16" s="1" t="e">
        <f t="shared" si="8"/>
        <v>#DIV/0!</v>
      </c>
      <c r="AO16" s="1" t="e">
        <f t="shared" si="9"/>
        <v>#DIV/0!</v>
      </c>
      <c r="AP16" s="1" t="e">
        <f t="shared" si="10"/>
        <v>#DIV/0!</v>
      </c>
      <c r="AQ16" s="1" t="e">
        <f t="shared" si="11"/>
        <v>#DIV/0!</v>
      </c>
      <c r="AS16" s="1" t="e">
        <f t="shared" si="12"/>
        <v>#DIV/0!</v>
      </c>
      <c r="AT16" s="1" t="e">
        <f t="shared" si="13"/>
        <v>#DIV/0!</v>
      </c>
      <c r="AU16" s="1" t="e">
        <f t="shared" si="14"/>
        <v>#DIV/0!</v>
      </c>
      <c r="AV16" s="1" t="e">
        <f t="shared" si="15"/>
        <v>#DIV/0!</v>
      </c>
      <c r="AW16" s="1" t="e">
        <f t="shared" si="16"/>
        <v>#DIV/0!</v>
      </c>
    </row>
    <row r="17" spans="2:49" x14ac:dyDescent="0.15">
      <c r="B17" s="2">
        <v>13</v>
      </c>
      <c r="C17" s="2">
        <v>3.25</v>
      </c>
      <c r="D17" s="2">
        <v>0</v>
      </c>
      <c r="E17" s="2">
        <v>0</v>
      </c>
      <c r="F17" s="2">
        <v>0</v>
      </c>
      <c r="G17" s="2">
        <v>0</v>
      </c>
      <c r="I17" s="2">
        <v>1.95</v>
      </c>
      <c r="J17" s="2">
        <v>0.64999999999999991</v>
      </c>
      <c r="K17" s="2">
        <v>0</v>
      </c>
      <c r="L17" s="2">
        <v>0</v>
      </c>
      <c r="M17" s="2">
        <v>0</v>
      </c>
      <c r="O17" s="3">
        <f t="shared" si="0"/>
        <v>5.2</v>
      </c>
      <c r="P17" s="3">
        <f t="shared" si="1"/>
        <v>0.64999999999999991</v>
      </c>
      <c r="Q17" s="3">
        <f t="shared" si="2"/>
        <v>0</v>
      </c>
      <c r="R17" s="3">
        <f t="shared" si="3"/>
        <v>0</v>
      </c>
      <c r="S17" s="3">
        <f t="shared" si="4"/>
        <v>0</v>
      </c>
      <c r="U17" s="1">
        <f t="shared" si="17"/>
        <v>0.625</v>
      </c>
      <c r="V17" s="1">
        <f t="shared" si="18"/>
        <v>0</v>
      </c>
      <c r="W17" s="1" t="e">
        <f t="shared" si="19"/>
        <v>#DIV/0!</v>
      </c>
      <c r="X17" s="1" t="e">
        <f t="shared" si="20"/>
        <v>#DIV/0!</v>
      </c>
      <c r="Y17" s="1" t="e">
        <f t="shared" si="21"/>
        <v>#DIV/0!</v>
      </c>
      <c r="AA17" s="1">
        <f t="shared" si="22"/>
        <v>0.375</v>
      </c>
      <c r="AB17" s="1">
        <f t="shared" si="23"/>
        <v>1</v>
      </c>
      <c r="AC17" s="1" t="e">
        <f t="shared" si="24"/>
        <v>#DIV/0!</v>
      </c>
      <c r="AD17" s="1" t="e">
        <f t="shared" si="25"/>
        <v>#DIV/0!</v>
      </c>
      <c r="AE17" s="1" t="e">
        <f t="shared" si="26"/>
        <v>#DIV/0!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M17" s="1" t="e">
        <f t="shared" si="7"/>
        <v>#DIV/0!</v>
      </c>
      <c r="AN17" s="1" t="e">
        <f t="shared" si="8"/>
        <v>#DIV/0!</v>
      </c>
      <c r="AO17" s="1" t="e">
        <f t="shared" si="9"/>
        <v>#DIV/0!</v>
      </c>
      <c r="AP17" s="1" t="e">
        <f t="shared" si="10"/>
        <v>#DIV/0!</v>
      </c>
      <c r="AQ17" s="1" t="e">
        <f t="shared" si="11"/>
        <v>#DIV/0!</v>
      </c>
      <c r="AS17" s="1" t="e">
        <f t="shared" si="12"/>
        <v>#DIV/0!</v>
      </c>
      <c r="AT17" s="1" t="e">
        <f t="shared" si="13"/>
        <v>#DIV/0!</v>
      </c>
      <c r="AU17" s="1" t="e">
        <f t="shared" si="14"/>
        <v>#DIV/0!</v>
      </c>
      <c r="AV17" s="1" t="e">
        <f t="shared" si="15"/>
        <v>#DIV/0!</v>
      </c>
      <c r="AW17" s="1" t="e">
        <f t="shared" si="16"/>
        <v>#DIV/0!</v>
      </c>
    </row>
    <row r="18" spans="2:49" x14ac:dyDescent="0.15">
      <c r="B18" s="2">
        <v>14</v>
      </c>
      <c r="C18" s="2">
        <v>3.5</v>
      </c>
      <c r="D18" s="2">
        <v>0</v>
      </c>
      <c r="E18" s="2">
        <v>0</v>
      </c>
      <c r="F18" s="2">
        <v>0</v>
      </c>
      <c r="G18" s="2">
        <v>0</v>
      </c>
      <c r="I18" s="2">
        <v>2.1</v>
      </c>
      <c r="J18" s="2">
        <v>0.7</v>
      </c>
      <c r="K18" s="2">
        <v>0</v>
      </c>
      <c r="L18" s="2">
        <v>0</v>
      </c>
      <c r="M18" s="2">
        <v>0</v>
      </c>
      <c r="O18" s="3">
        <f t="shared" si="0"/>
        <v>5.6</v>
      </c>
      <c r="P18" s="3">
        <f t="shared" si="1"/>
        <v>0.7</v>
      </c>
      <c r="Q18" s="3">
        <f t="shared" si="2"/>
        <v>0</v>
      </c>
      <c r="R18" s="3">
        <f t="shared" si="3"/>
        <v>0</v>
      </c>
      <c r="S18" s="3">
        <f t="shared" si="4"/>
        <v>0</v>
      </c>
      <c r="U18" s="1">
        <f t="shared" si="17"/>
        <v>0.625</v>
      </c>
      <c r="V18" s="1">
        <f t="shared" si="18"/>
        <v>0</v>
      </c>
      <c r="W18" s="1" t="e">
        <f t="shared" si="19"/>
        <v>#DIV/0!</v>
      </c>
      <c r="X18" s="1" t="e">
        <f t="shared" si="20"/>
        <v>#DIV/0!</v>
      </c>
      <c r="Y18" s="1" t="e">
        <f t="shared" si="21"/>
        <v>#DIV/0!</v>
      </c>
      <c r="AA18" s="1">
        <f t="shared" si="22"/>
        <v>0.37500000000000006</v>
      </c>
      <c r="AB18" s="1">
        <f t="shared" si="23"/>
        <v>1</v>
      </c>
      <c r="AC18" s="1" t="e">
        <f t="shared" si="24"/>
        <v>#DIV/0!</v>
      </c>
      <c r="AD18" s="1" t="e">
        <f t="shared" si="25"/>
        <v>#DIV/0!</v>
      </c>
      <c r="AE18" s="1" t="e">
        <f t="shared" si="26"/>
        <v>#DIV/0!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M18" s="1" t="e">
        <f t="shared" si="7"/>
        <v>#DIV/0!</v>
      </c>
      <c r="AN18" s="1" t="e">
        <f t="shared" si="8"/>
        <v>#DIV/0!</v>
      </c>
      <c r="AO18" s="1" t="e">
        <f t="shared" si="9"/>
        <v>#DIV/0!</v>
      </c>
      <c r="AP18" s="1" t="e">
        <f t="shared" si="10"/>
        <v>#DIV/0!</v>
      </c>
      <c r="AQ18" s="1" t="e">
        <f t="shared" si="11"/>
        <v>#DIV/0!</v>
      </c>
      <c r="AS18" s="1" t="e">
        <f t="shared" si="12"/>
        <v>#DIV/0!</v>
      </c>
      <c r="AT18" s="1" t="e">
        <f t="shared" si="13"/>
        <v>#DIV/0!</v>
      </c>
      <c r="AU18" s="1" t="e">
        <f t="shared" si="14"/>
        <v>#DIV/0!</v>
      </c>
      <c r="AV18" s="1" t="e">
        <f t="shared" si="15"/>
        <v>#DIV/0!</v>
      </c>
      <c r="AW18" s="1" t="e">
        <f t="shared" si="16"/>
        <v>#DIV/0!</v>
      </c>
    </row>
    <row r="19" spans="2:49" x14ac:dyDescent="0.15">
      <c r="B19" s="2">
        <v>15</v>
      </c>
      <c r="C19" s="2">
        <v>3.75</v>
      </c>
      <c r="D19" s="2">
        <v>0</v>
      </c>
      <c r="E19" s="2">
        <v>0</v>
      </c>
      <c r="F19" s="2">
        <v>0</v>
      </c>
      <c r="G19" s="2">
        <v>0</v>
      </c>
      <c r="I19" s="2">
        <v>2.25</v>
      </c>
      <c r="J19" s="2">
        <v>0.75</v>
      </c>
      <c r="K19" s="2">
        <v>0</v>
      </c>
      <c r="L19" s="2">
        <v>0</v>
      </c>
      <c r="M19" s="2">
        <v>0</v>
      </c>
      <c r="O19" s="3">
        <f t="shared" si="0"/>
        <v>6</v>
      </c>
      <c r="P19" s="3">
        <f t="shared" si="1"/>
        <v>0.75</v>
      </c>
      <c r="Q19" s="3">
        <f t="shared" si="2"/>
        <v>0</v>
      </c>
      <c r="R19" s="3">
        <f t="shared" si="3"/>
        <v>0</v>
      </c>
      <c r="S19" s="3">
        <f t="shared" si="4"/>
        <v>0</v>
      </c>
      <c r="U19" s="1">
        <f t="shared" si="17"/>
        <v>0.625</v>
      </c>
      <c r="V19" s="1">
        <f t="shared" si="18"/>
        <v>0</v>
      </c>
      <c r="W19" s="1" t="e">
        <f t="shared" si="19"/>
        <v>#DIV/0!</v>
      </c>
      <c r="X19" s="1" t="e">
        <f t="shared" si="20"/>
        <v>#DIV/0!</v>
      </c>
      <c r="Y19" s="1" t="e">
        <f t="shared" si="21"/>
        <v>#DIV/0!</v>
      </c>
      <c r="AA19" s="1">
        <f t="shared" si="22"/>
        <v>0.375</v>
      </c>
      <c r="AB19" s="1">
        <f t="shared" si="23"/>
        <v>1</v>
      </c>
      <c r="AC19" s="1" t="e">
        <f t="shared" si="24"/>
        <v>#DIV/0!</v>
      </c>
      <c r="AD19" s="1" t="e">
        <f t="shared" si="25"/>
        <v>#DIV/0!</v>
      </c>
      <c r="AE19" s="1" t="e">
        <f t="shared" si="26"/>
        <v>#DIV/0!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M19" s="1" t="e">
        <f t="shared" si="7"/>
        <v>#DIV/0!</v>
      </c>
      <c r="AN19" s="1" t="e">
        <f t="shared" si="8"/>
        <v>#DIV/0!</v>
      </c>
      <c r="AO19" s="1" t="e">
        <f t="shared" si="9"/>
        <v>#DIV/0!</v>
      </c>
      <c r="AP19" s="1" t="e">
        <f t="shared" si="10"/>
        <v>#DIV/0!</v>
      </c>
      <c r="AQ19" s="1" t="e">
        <f t="shared" si="11"/>
        <v>#DIV/0!</v>
      </c>
      <c r="AS19" s="1" t="e">
        <f t="shared" si="12"/>
        <v>#DIV/0!</v>
      </c>
      <c r="AT19" s="1" t="e">
        <f t="shared" si="13"/>
        <v>#DIV/0!</v>
      </c>
      <c r="AU19" s="1" t="e">
        <f t="shared" si="14"/>
        <v>#DIV/0!</v>
      </c>
      <c r="AV19" s="1" t="e">
        <f t="shared" si="15"/>
        <v>#DIV/0!</v>
      </c>
      <c r="AW19" s="1" t="e">
        <f t="shared" si="16"/>
        <v>#DIV/0!</v>
      </c>
    </row>
    <row r="20" spans="2:49" x14ac:dyDescent="0.15">
      <c r="B20" s="2">
        <v>16</v>
      </c>
      <c r="C20" s="2">
        <v>4</v>
      </c>
      <c r="D20" s="2">
        <v>0</v>
      </c>
      <c r="E20" s="2">
        <v>0</v>
      </c>
      <c r="F20" s="2">
        <v>0</v>
      </c>
      <c r="G20" s="2">
        <v>0</v>
      </c>
      <c r="I20" s="2">
        <v>2.4</v>
      </c>
      <c r="J20" s="2">
        <v>0.8</v>
      </c>
      <c r="K20" s="2">
        <v>0</v>
      </c>
      <c r="L20" s="2">
        <v>0</v>
      </c>
      <c r="M20" s="2">
        <v>0</v>
      </c>
      <c r="O20" s="3">
        <f t="shared" si="0"/>
        <v>6.4</v>
      </c>
      <c r="P20" s="3">
        <f t="shared" si="1"/>
        <v>0.8</v>
      </c>
      <c r="Q20" s="3">
        <f t="shared" si="2"/>
        <v>0</v>
      </c>
      <c r="R20" s="3">
        <f t="shared" si="3"/>
        <v>0</v>
      </c>
      <c r="S20" s="3">
        <f t="shared" si="4"/>
        <v>0</v>
      </c>
      <c r="U20" s="1">
        <f t="shared" si="17"/>
        <v>0.625</v>
      </c>
      <c r="V20" s="1">
        <f t="shared" si="18"/>
        <v>0</v>
      </c>
      <c r="W20" s="1" t="e">
        <f t="shared" si="19"/>
        <v>#DIV/0!</v>
      </c>
      <c r="X20" s="1" t="e">
        <f t="shared" si="20"/>
        <v>#DIV/0!</v>
      </c>
      <c r="Y20" s="1" t="e">
        <f t="shared" si="21"/>
        <v>#DIV/0!</v>
      </c>
      <c r="AA20" s="1">
        <f t="shared" si="22"/>
        <v>0.37499999999999994</v>
      </c>
      <c r="AB20" s="1">
        <f t="shared" si="23"/>
        <v>1</v>
      </c>
      <c r="AC20" s="1" t="e">
        <f t="shared" si="24"/>
        <v>#DIV/0!</v>
      </c>
      <c r="AD20" s="1" t="e">
        <f t="shared" si="25"/>
        <v>#DIV/0!</v>
      </c>
      <c r="AE20" s="1" t="e">
        <f t="shared" si="26"/>
        <v>#DIV/0!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M20" s="1" t="e">
        <f t="shared" si="7"/>
        <v>#DIV/0!</v>
      </c>
      <c r="AN20" s="1" t="e">
        <f t="shared" si="8"/>
        <v>#DIV/0!</v>
      </c>
      <c r="AO20" s="1" t="e">
        <f t="shared" si="9"/>
        <v>#DIV/0!</v>
      </c>
      <c r="AP20" s="1" t="e">
        <f t="shared" si="10"/>
        <v>#DIV/0!</v>
      </c>
      <c r="AQ20" s="1" t="e">
        <f t="shared" si="11"/>
        <v>#DIV/0!</v>
      </c>
      <c r="AS20" s="1" t="e">
        <f t="shared" si="12"/>
        <v>#DIV/0!</v>
      </c>
      <c r="AT20" s="1" t="e">
        <f t="shared" si="13"/>
        <v>#DIV/0!</v>
      </c>
      <c r="AU20" s="1" t="e">
        <f t="shared" si="14"/>
        <v>#DIV/0!</v>
      </c>
      <c r="AV20" s="1" t="e">
        <f t="shared" si="15"/>
        <v>#DIV/0!</v>
      </c>
      <c r="AW20" s="1" t="e">
        <f t="shared" si="16"/>
        <v>#DIV/0!</v>
      </c>
    </row>
    <row r="21" spans="2:49" x14ac:dyDescent="0.15">
      <c r="B21" s="2">
        <v>17</v>
      </c>
      <c r="C21" s="2">
        <v>4.25</v>
      </c>
      <c r="D21" s="2">
        <v>0</v>
      </c>
      <c r="E21" s="2">
        <v>0</v>
      </c>
      <c r="F21" s="2">
        <v>0</v>
      </c>
      <c r="G21" s="2">
        <v>0</v>
      </c>
      <c r="I21" s="2">
        <v>2.5499999999999998</v>
      </c>
      <c r="J21" s="2">
        <v>0.85</v>
      </c>
      <c r="K21" s="2">
        <v>0</v>
      </c>
      <c r="L21" s="2">
        <v>0</v>
      </c>
      <c r="M21" s="2">
        <v>0</v>
      </c>
      <c r="O21" s="3">
        <f t="shared" si="0"/>
        <v>6.8</v>
      </c>
      <c r="P21" s="3">
        <f t="shared" si="1"/>
        <v>0.85</v>
      </c>
      <c r="Q21" s="3">
        <f t="shared" si="2"/>
        <v>0</v>
      </c>
      <c r="R21" s="3">
        <f t="shared" si="3"/>
        <v>0</v>
      </c>
      <c r="S21" s="3">
        <f t="shared" si="4"/>
        <v>0</v>
      </c>
      <c r="U21" s="1">
        <f t="shared" si="17"/>
        <v>0.625</v>
      </c>
      <c r="V21" s="1">
        <f t="shared" si="18"/>
        <v>0</v>
      </c>
      <c r="W21" s="1" t="e">
        <f t="shared" si="19"/>
        <v>#DIV/0!</v>
      </c>
      <c r="X21" s="1" t="e">
        <f t="shared" si="20"/>
        <v>#DIV/0!</v>
      </c>
      <c r="Y21" s="1" t="e">
        <f t="shared" si="21"/>
        <v>#DIV/0!</v>
      </c>
      <c r="AA21" s="1">
        <f t="shared" si="22"/>
        <v>0.375</v>
      </c>
      <c r="AB21" s="1">
        <f t="shared" si="23"/>
        <v>1</v>
      </c>
      <c r="AC21" s="1" t="e">
        <f t="shared" si="24"/>
        <v>#DIV/0!</v>
      </c>
      <c r="AD21" s="1" t="e">
        <f t="shared" si="25"/>
        <v>#DIV/0!</v>
      </c>
      <c r="AE21" s="1" t="e">
        <f t="shared" si="26"/>
        <v>#DIV/0!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M21" s="1" t="e">
        <f t="shared" si="7"/>
        <v>#DIV/0!</v>
      </c>
      <c r="AN21" s="1" t="e">
        <f t="shared" si="8"/>
        <v>#DIV/0!</v>
      </c>
      <c r="AO21" s="1" t="e">
        <f t="shared" si="9"/>
        <v>#DIV/0!</v>
      </c>
      <c r="AP21" s="1" t="e">
        <f t="shared" si="10"/>
        <v>#DIV/0!</v>
      </c>
      <c r="AQ21" s="1" t="e">
        <f t="shared" si="11"/>
        <v>#DIV/0!</v>
      </c>
      <c r="AS21" s="1" t="e">
        <f t="shared" si="12"/>
        <v>#DIV/0!</v>
      </c>
      <c r="AT21" s="1" t="e">
        <f t="shared" si="13"/>
        <v>#DIV/0!</v>
      </c>
      <c r="AU21" s="1" t="e">
        <f t="shared" si="14"/>
        <v>#DIV/0!</v>
      </c>
      <c r="AV21" s="1" t="e">
        <f t="shared" si="15"/>
        <v>#DIV/0!</v>
      </c>
      <c r="AW21" s="1" t="e">
        <f t="shared" si="16"/>
        <v>#DIV/0!</v>
      </c>
    </row>
    <row r="22" spans="2:49" x14ac:dyDescent="0.15">
      <c r="B22" s="2">
        <v>18</v>
      </c>
      <c r="C22" s="2">
        <v>4.5</v>
      </c>
      <c r="D22" s="2">
        <v>0</v>
      </c>
      <c r="E22" s="2">
        <v>0</v>
      </c>
      <c r="F22" s="2">
        <v>0</v>
      </c>
      <c r="G22" s="2">
        <v>0</v>
      </c>
      <c r="I22" s="2">
        <v>2.7</v>
      </c>
      <c r="J22" s="2">
        <v>0.9</v>
      </c>
      <c r="K22" s="2">
        <v>0</v>
      </c>
      <c r="L22" s="2">
        <v>0</v>
      </c>
      <c r="M22" s="2">
        <v>0</v>
      </c>
      <c r="O22" s="3">
        <f t="shared" si="0"/>
        <v>7.2</v>
      </c>
      <c r="P22" s="3">
        <f t="shared" si="1"/>
        <v>0.9</v>
      </c>
      <c r="Q22" s="3">
        <f t="shared" si="2"/>
        <v>0</v>
      </c>
      <c r="R22" s="3">
        <f t="shared" si="3"/>
        <v>0</v>
      </c>
      <c r="S22" s="3">
        <f t="shared" si="4"/>
        <v>0</v>
      </c>
      <c r="U22" s="1">
        <f t="shared" si="17"/>
        <v>0.625</v>
      </c>
      <c r="V22" s="1">
        <f t="shared" si="18"/>
        <v>0</v>
      </c>
      <c r="W22" s="1" t="e">
        <f t="shared" si="19"/>
        <v>#DIV/0!</v>
      </c>
      <c r="X22" s="1" t="e">
        <f t="shared" si="20"/>
        <v>#DIV/0!</v>
      </c>
      <c r="Y22" s="1" t="e">
        <f t="shared" si="21"/>
        <v>#DIV/0!</v>
      </c>
      <c r="AA22" s="1">
        <f t="shared" si="22"/>
        <v>0.375</v>
      </c>
      <c r="AB22" s="1">
        <f t="shared" si="23"/>
        <v>1</v>
      </c>
      <c r="AC22" s="1" t="e">
        <f t="shared" si="24"/>
        <v>#DIV/0!</v>
      </c>
      <c r="AD22" s="1" t="e">
        <f t="shared" si="25"/>
        <v>#DIV/0!</v>
      </c>
      <c r="AE22" s="1" t="e">
        <f t="shared" si="26"/>
        <v>#DIV/0!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M22" s="1" t="e">
        <f t="shared" si="7"/>
        <v>#DIV/0!</v>
      </c>
      <c r="AN22" s="1" t="e">
        <f t="shared" si="8"/>
        <v>#DIV/0!</v>
      </c>
      <c r="AO22" s="1" t="e">
        <f t="shared" si="9"/>
        <v>#DIV/0!</v>
      </c>
      <c r="AP22" s="1" t="e">
        <f t="shared" si="10"/>
        <v>#DIV/0!</v>
      </c>
      <c r="AQ22" s="1" t="e">
        <f t="shared" si="11"/>
        <v>#DIV/0!</v>
      </c>
      <c r="AS22" s="1" t="e">
        <f t="shared" si="12"/>
        <v>#DIV/0!</v>
      </c>
      <c r="AT22" s="1" t="e">
        <f t="shared" si="13"/>
        <v>#DIV/0!</v>
      </c>
      <c r="AU22" s="1" t="e">
        <f t="shared" si="14"/>
        <v>#DIV/0!</v>
      </c>
      <c r="AV22" s="1" t="e">
        <f t="shared" si="15"/>
        <v>#DIV/0!</v>
      </c>
      <c r="AW22" s="1" t="e">
        <f t="shared" si="16"/>
        <v>#DIV/0!</v>
      </c>
    </row>
    <row r="23" spans="2:49" x14ac:dyDescent="0.15">
      <c r="B23" s="2">
        <v>19</v>
      </c>
      <c r="C23" s="2">
        <v>4.75</v>
      </c>
      <c r="D23" s="2">
        <v>0</v>
      </c>
      <c r="E23" s="2">
        <v>0</v>
      </c>
      <c r="F23" s="2">
        <v>0</v>
      </c>
      <c r="G23" s="2">
        <v>0</v>
      </c>
      <c r="I23" s="2">
        <v>2.85</v>
      </c>
      <c r="J23" s="2">
        <v>0.95</v>
      </c>
      <c r="K23" s="2">
        <v>0</v>
      </c>
      <c r="L23" s="2">
        <v>0</v>
      </c>
      <c r="M23" s="2">
        <v>0</v>
      </c>
      <c r="O23" s="3">
        <f t="shared" si="0"/>
        <v>7.6</v>
      </c>
      <c r="P23" s="3">
        <f t="shared" si="1"/>
        <v>0.95</v>
      </c>
      <c r="Q23" s="3">
        <f t="shared" si="2"/>
        <v>0</v>
      </c>
      <c r="R23" s="3">
        <f t="shared" si="3"/>
        <v>0</v>
      </c>
      <c r="S23" s="3">
        <f t="shared" si="4"/>
        <v>0</v>
      </c>
      <c r="U23" s="1">
        <f t="shared" si="17"/>
        <v>0.625</v>
      </c>
      <c r="V23" s="1">
        <f t="shared" si="18"/>
        <v>0</v>
      </c>
      <c r="W23" s="1" t="e">
        <f t="shared" si="19"/>
        <v>#DIV/0!</v>
      </c>
      <c r="X23" s="1" t="e">
        <f t="shared" si="20"/>
        <v>#DIV/0!</v>
      </c>
      <c r="Y23" s="1" t="e">
        <f t="shared" si="21"/>
        <v>#DIV/0!</v>
      </c>
      <c r="AA23" s="1">
        <f t="shared" si="22"/>
        <v>0.37500000000000006</v>
      </c>
      <c r="AB23" s="1">
        <f t="shared" si="23"/>
        <v>1</v>
      </c>
      <c r="AC23" s="1" t="e">
        <f t="shared" si="24"/>
        <v>#DIV/0!</v>
      </c>
      <c r="AD23" s="1" t="e">
        <f t="shared" si="25"/>
        <v>#DIV/0!</v>
      </c>
      <c r="AE23" s="1" t="e">
        <f t="shared" si="26"/>
        <v>#DIV/0!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M23" s="1" t="e">
        <f t="shared" si="7"/>
        <v>#DIV/0!</v>
      </c>
      <c r="AN23" s="1" t="e">
        <f t="shared" si="8"/>
        <v>#DIV/0!</v>
      </c>
      <c r="AO23" s="1" t="e">
        <f t="shared" si="9"/>
        <v>#DIV/0!</v>
      </c>
      <c r="AP23" s="1" t="e">
        <f t="shared" si="10"/>
        <v>#DIV/0!</v>
      </c>
      <c r="AQ23" s="1" t="e">
        <f t="shared" si="11"/>
        <v>#DIV/0!</v>
      </c>
      <c r="AS23" s="1" t="e">
        <f t="shared" si="12"/>
        <v>#DIV/0!</v>
      </c>
      <c r="AT23" s="1" t="e">
        <f t="shared" si="13"/>
        <v>#DIV/0!</v>
      </c>
      <c r="AU23" s="1" t="e">
        <f t="shared" si="14"/>
        <v>#DIV/0!</v>
      </c>
      <c r="AV23" s="1" t="e">
        <f t="shared" si="15"/>
        <v>#DIV/0!</v>
      </c>
      <c r="AW23" s="1" t="e">
        <f t="shared" si="16"/>
        <v>#DIV/0!</v>
      </c>
    </row>
    <row r="24" spans="2:49" x14ac:dyDescent="0.15">
      <c r="B24" s="2">
        <v>20</v>
      </c>
      <c r="C24" s="2">
        <v>5</v>
      </c>
      <c r="D24" s="2">
        <v>0</v>
      </c>
      <c r="E24" s="2">
        <v>0</v>
      </c>
      <c r="F24" s="2">
        <v>0</v>
      </c>
      <c r="G24" s="2">
        <v>0</v>
      </c>
      <c r="I24" s="2">
        <v>9</v>
      </c>
      <c r="J24" s="2">
        <v>3</v>
      </c>
      <c r="K24" s="2">
        <v>0</v>
      </c>
      <c r="L24" s="2">
        <v>0</v>
      </c>
      <c r="M24" s="2">
        <v>0</v>
      </c>
      <c r="O24" s="3">
        <f t="shared" si="0"/>
        <v>14</v>
      </c>
      <c r="P24" s="3">
        <f t="shared" si="1"/>
        <v>3</v>
      </c>
      <c r="Q24" s="3">
        <f t="shared" si="2"/>
        <v>0</v>
      </c>
      <c r="R24" s="3">
        <f t="shared" si="3"/>
        <v>0</v>
      </c>
      <c r="S24" s="3">
        <f t="shared" si="4"/>
        <v>0</v>
      </c>
      <c r="U24" s="1">
        <f t="shared" si="17"/>
        <v>0.35714285714285715</v>
      </c>
      <c r="V24" s="1">
        <f t="shared" si="18"/>
        <v>0</v>
      </c>
      <c r="W24" s="1" t="e">
        <f t="shared" si="19"/>
        <v>#DIV/0!</v>
      </c>
      <c r="X24" s="1" t="e">
        <f t="shared" si="20"/>
        <v>#DIV/0!</v>
      </c>
      <c r="Y24" s="1" t="e">
        <f t="shared" si="21"/>
        <v>#DIV/0!</v>
      </c>
      <c r="AA24" s="1">
        <f t="shared" si="22"/>
        <v>0.6428571428571429</v>
      </c>
      <c r="AB24" s="1">
        <f t="shared" si="23"/>
        <v>1</v>
      </c>
      <c r="AC24" s="1" t="e">
        <f t="shared" si="24"/>
        <v>#DIV/0!</v>
      </c>
      <c r="AD24" s="1" t="e">
        <f t="shared" si="25"/>
        <v>#DIV/0!</v>
      </c>
      <c r="AE24" s="1" t="e">
        <f t="shared" si="26"/>
        <v>#DIV/0!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M24" s="1" t="e">
        <f t="shared" si="7"/>
        <v>#DIV/0!</v>
      </c>
      <c r="AN24" s="1" t="e">
        <f t="shared" si="8"/>
        <v>#DIV/0!</v>
      </c>
      <c r="AO24" s="1" t="e">
        <f t="shared" si="9"/>
        <v>#DIV/0!</v>
      </c>
      <c r="AP24" s="1" t="e">
        <f t="shared" si="10"/>
        <v>#DIV/0!</v>
      </c>
      <c r="AQ24" s="1" t="e">
        <f t="shared" si="11"/>
        <v>#DIV/0!</v>
      </c>
      <c r="AS24" s="1" t="e">
        <f t="shared" si="12"/>
        <v>#DIV/0!</v>
      </c>
      <c r="AT24" s="1" t="e">
        <f t="shared" si="13"/>
        <v>#DIV/0!</v>
      </c>
      <c r="AU24" s="1" t="e">
        <f t="shared" si="14"/>
        <v>#DIV/0!</v>
      </c>
      <c r="AV24" s="1" t="e">
        <f t="shared" si="15"/>
        <v>#DIV/0!</v>
      </c>
      <c r="AW24" s="1" t="e">
        <f t="shared" si="16"/>
        <v>#DIV/0!</v>
      </c>
    </row>
    <row r="25" spans="2:49" x14ac:dyDescent="0.15">
      <c r="B25" s="2">
        <v>21</v>
      </c>
      <c r="C25" s="2">
        <v>6.25</v>
      </c>
      <c r="D25" s="2">
        <v>0</v>
      </c>
      <c r="E25" s="2">
        <v>0</v>
      </c>
      <c r="F25" s="2">
        <v>0</v>
      </c>
      <c r="G25" s="2">
        <v>0</v>
      </c>
      <c r="I25" s="2">
        <v>9.4</v>
      </c>
      <c r="J25" s="2">
        <v>3.4666666666666668</v>
      </c>
      <c r="K25" s="2">
        <v>0.2</v>
      </c>
      <c r="L25" s="2">
        <v>0</v>
      </c>
      <c r="M25" s="2">
        <v>0</v>
      </c>
      <c r="O25" s="3">
        <f t="shared" si="0"/>
        <v>15.65</v>
      </c>
      <c r="P25" s="3">
        <f t="shared" si="1"/>
        <v>3.4666666666666668</v>
      </c>
      <c r="Q25" s="3">
        <f t="shared" si="2"/>
        <v>0.2</v>
      </c>
      <c r="R25" s="3">
        <f t="shared" si="3"/>
        <v>0</v>
      </c>
      <c r="S25" s="3">
        <f t="shared" si="4"/>
        <v>0</v>
      </c>
      <c r="U25" s="1">
        <f t="shared" si="17"/>
        <v>0.39936102236421722</v>
      </c>
      <c r="V25" s="1">
        <f t="shared" si="18"/>
        <v>0</v>
      </c>
      <c r="W25" s="1">
        <f t="shared" si="19"/>
        <v>0</v>
      </c>
      <c r="X25" s="1" t="e">
        <f t="shared" si="20"/>
        <v>#DIV/0!</v>
      </c>
      <c r="Y25" s="1" t="e">
        <f t="shared" si="21"/>
        <v>#DIV/0!</v>
      </c>
      <c r="AA25" s="1">
        <f t="shared" si="22"/>
        <v>0.60063897763578278</v>
      </c>
      <c r="AB25" s="1">
        <f t="shared" si="23"/>
        <v>1</v>
      </c>
      <c r="AC25" s="1">
        <f t="shared" si="24"/>
        <v>1</v>
      </c>
      <c r="AD25" s="1" t="e">
        <f t="shared" si="25"/>
        <v>#DIV/0!</v>
      </c>
      <c r="AE25" s="1" t="e">
        <f t="shared" si="26"/>
        <v>#DIV/0!</v>
      </c>
      <c r="AG25" s="2">
        <v>0.12792692788041618</v>
      </c>
      <c r="AH25" s="2">
        <v>6.396346394020809E-2</v>
      </c>
      <c r="AI25" s="2">
        <v>0</v>
      </c>
      <c r="AJ25" s="2">
        <v>0</v>
      </c>
      <c r="AK25" s="2">
        <v>0</v>
      </c>
      <c r="AM25" s="1">
        <f t="shared" si="7"/>
        <v>48.856015723619883</v>
      </c>
      <c r="AN25" s="1">
        <f t="shared" si="8"/>
        <v>0</v>
      </c>
      <c r="AO25" s="1" t="e">
        <f t="shared" si="9"/>
        <v>#DIV/0!</v>
      </c>
      <c r="AP25" s="1" t="e">
        <f t="shared" si="10"/>
        <v>#DIV/0!</v>
      </c>
      <c r="AQ25" s="1" t="e">
        <f t="shared" si="11"/>
        <v>#DIV/0!</v>
      </c>
      <c r="AS25" s="1">
        <f t="shared" si="12"/>
        <v>73.47944764832431</v>
      </c>
      <c r="AT25" s="1">
        <f t="shared" si="13"/>
        <v>54.197606776068994</v>
      </c>
      <c r="AU25" s="1" t="e">
        <f t="shared" si="14"/>
        <v>#DIV/0!</v>
      </c>
      <c r="AV25" s="1" t="e">
        <f t="shared" si="15"/>
        <v>#DIV/0!</v>
      </c>
      <c r="AW25" s="1" t="e">
        <f t="shared" si="16"/>
        <v>#DIV/0!</v>
      </c>
    </row>
    <row r="26" spans="2:49" x14ac:dyDescent="0.15">
      <c r="B26" s="2">
        <v>22</v>
      </c>
      <c r="C26" s="2">
        <v>7.5</v>
      </c>
      <c r="D26" s="2">
        <v>0</v>
      </c>
      <c r="E26" s="2">
        <v>0</v>
      </c>
      <c r="F26" s="2">
        <v>0</v>
      </c>
      <c r="G26" s="2">
        <v>0</v>
      </c>
      <c r="I26" s="2">
        <v>9.8000000000000007</v>
      </c>
      <c r="J26" s="2">
        <v>3.9333333333333336</v>
      </c>
      <c r="K26" s="2">
        <v>0.4</v>
      </c>
      <c r="L26" s="2">
        <v>0</v>
      </c>
      <c r="M26" s="2">
        <v>0</v>
      </c>
      <c r="O26" s="3">
        <f t="shared" si="0"/>
        <v>17.3</v>
      </c>
      <c r="P26" s="3">
        <f t="shared" si="1"/>
        <v>3.9333333333333336</v>
      </c>
      <c r="Q26" s="3">
        <f t="shared" si="2"/>
        <v>0.4</v>
      </c>
      <c r="R26" s="3">
        <f t="shared" si="3"/>
        <v>0</v>
      </c>
      <c r="S26" s="3">
        <f t="shared" si="4"/>
        <v>0</v>
      </c>
      <c r="U26" s="1">
        <f t="shared" si="17"/>
        <v>0.43352601156069365</v>
      </c>
      <c r="V26" s="1">
        <f t="shared" si="18"/>
        <v>0</v>
      </c>
      <c r="W26" s="1">
        <f t="shared" si="19"/>
        <v>0</v>
      </c>
      <c r="X26" s="1" t="e">
        <f t="shared" si="20"/>
        <v>#DIV/0!</v>
      </c>
      <c r="Y26" s="1" t="e">
        <f t="shared" si="21"/>
        <v>#DIV/0!</v>
      </c>
      <c r="AA26" s="1">
        <f t="shared" si="22"/>
        <v>0.56647398843930641</v>
      </c>
      <c r="AB26" s="1">
        <f t="shared" si="23"/>
        <v>1</v>
      </c>
      <c r="AC26" s="1">
        <f t="shared" si="24"/>
        <v>1</v>
      </c>
      <c r="AD26" s="1" t="e">
        <f t="shared" si="25"/>
        <v>#DIV/0!</v>
      </c>
      <c r="AE26" s="1" t="e">
        <f t="shared" si="26"/>
        <v>#DIV/0!</v>
      </c>
      <c r="AG26" s="2">
        <v>0.3952540483689797</v>
      </c>
      <c r="AH26" s="2">
        <v>0.19762702418448985</v>
      </c>
      <c r="AI26" s="2">
        <v>0</v>
      </c>
      <c r="AJ26" s="2">
        <v>0</v>
      </c>
      <c r="AK26" s="2">
        <v>0</v>
      </c>
      <c r="AM26" s="1">
        <f t="shared" si="7"/>
        <v>18.975137714461965</v>
      </c>
      <c r="AN26" s="1">
        <f t="shared" si="8"/>
        <v>0</v>
      </c>
      <c r="AO26" s="1" t="e">
        <f t="shared" si="9"/>
        <v>#DIV/0!</v>
      </c>
      <c r="AP26" s="1" t="e">
        <f t="shared" si="10"/>
        <v>#DIV/0!</v>
      </c>
      <c r="AQ26" s="1" t="e">
        <f t="shared" si="11"/>
        <v>#DIV/0!</v>
      </c>
      <c r="AS26" s="1">
        <f t="shared" si="12"/>
        <v>24.794179946896968</v>
      </c>
      <c r="AT26" s="1">
        <f t="shared" si="13"/>
        <v>19.902811113835661</v>
      </c>
      <c r="AU26" s="1" t="e">
        <f t="shared" si="14"/>
        <v>#DIV/0!</v>
      </c>
      <c r="AV26" s="1" t="e">
        <f t="shared" si="15"/>
        <v>#DIV/0!</v>
      </c>
      <c r="AW26" s="1" t="e">
        <f t="shared" si="16"/>
        <v>#DIV/0!</v>
      </c>
    </row>
    <row r="27" spans="2:49" x14ac:dyDescent="0.15">
      <c r="B27" s="2">
        <v>23</v>
      </c>
      <c r="C27" s="2">
        <v>8.75</v>
      </c>
      <c r="D27" s="2">
        <v>0</v>
      </c>
      <c r="E27" s="2">
        <v>0</v>
      </c>
      <c r="F27" s="2">
        <v>0</v>
      </c>
      <c r="G27" s="2">
        <v>0</v>
      </c>
      <c r="I27" s="2">
        <v>10.199999999999999</v>
      </c>
      <c r="J27" s="2">
        <v>4.4000000000000004</v>
      </c>
      <c r="K27" s="2">
        <v>0.60000000000000009</v>
      </c>
      <c r="L27" s="2">
        <v>0</v>
      </c>
      <c r="M27" s="2">
        <v>0</v>
      </c>
      <c r="O27" s="3">
        <f t="shared" si="0"/>
        <v>18.95</v>
      </c>
      <c r="P27" s="3">
        <f t="shared" si="1"/>
        <v>4.4000000000000004</v>
      </c>
      <c r="Q27" s="3">
        <f t="shared" si="2"/>
        <v>0.60000000000000009</v>
      </c>
      <c r="R27" s="3">
        <f t="shared" si="3"/>
        <v>0</v>
      </c>
      <c r="S27" s="3">
        <f t="shared" si="4"/>
        <v>0</v>
      </c>
      <c r="U27" s="1">
        <f t="shared" si="17"/>
        <v>0.46174142480211083</v>
      </c>
      <c r="V27" s="1">
        <f t="shared" si="18"/>
        <v>0</v>
      </c>
      <c r="W27" s="1">
        <f t="shared" si="19"/>
        <v>0</v>
      </c>
      <c r="X27" s="1" t="e">
        <f t="shared" si="20"/>
        <v>#DIV/0!</v>
      </c>
      <c r="Y27" s="1" t="e">
        <f t="shared" si="21"/>
        <v>#DIV/0!</v>
      </c>
      <c r="AA27" s="1">
        <f t="shared" si="22"/>
        <v>0.53825857519788911</v>
      </c>
      <c r="AB27" s="1">
        <f t="shared" si="23"/>
        <v>1</v>
      </c>
      <c r="AC27" s="1">
        <f t="shared" si="24"/>
        <v>1</v>
      </c>
      <c r="AD27" s="1" t="e">
        <f t="shared" si="25"/>
        <v>#DIV/0!</v>
      </c>
      <c r="AE27" s="1" t="e">
        <f t="shared" si="26"/>
        <v>#DIV/0!</v>
      </c>
      <c r="AG27" s="2">
        <v>0.81468984009758194</v>
      </c>
      <c r="AH27" s="2">
        <v>0.40734492004879097</v>
      </c>
      <c r="AI27" s="2">
        <v>0</v>
      </c>
      <c r="AJ27" s="2">
        <v>0</v>
      </c>
      <c r="AK27" s="2">
        <v>0</v>
      </c>
      <c r="AM27" s="1">
        <f t="shared" si="7"/>
        <v>10.740283687534317</v>
      </c>
      <c r="AN27" s="1">
        <f t="shared" si="8"/>
        <v>0</v>
      </c>
      <c r="AO27" s="1" t="e">
        <f t="shared" si="9"/>
        <v>#DIV/0!</v>
      </c>
      <c r="AP27" s="1" t="e">
        <f t="shared" si="10"/>
        <v>#DIV/0!</v>
      </c>
      <c r="AQ27" s="1" t="e">
        <f t="shared" si="11"/>
        <v>#DIV/0!</v>
      </c>
      <c r="AS27" s="1">
        <f t="shared" si="12"/>
        <v>12.520102127182859</v>
      </c>
      <c r="AT27" s="1">
        <f t="shared" si="13"/>
        <v>10.801656737177371</v>
      </c>
      <c r="AU27" s="1" t="e">
        <f t="shared" si="14"/>
        <v>#DIV/0!</v>
      </c>
      <c r="AV27" s="1" t="e">
        <f t="shared" si="15"/>
        <v>#DIV/0!</v>
      </c>
      <c r="AW27" s="1" t="e">
        <f t="shared" si="16"/>
        <v>#DIV/0!</v>
      </c>
    </row>
    <row r="28" spans="2:49" x14ac:dyDescent="0.15">
      <c r="B28" s="2">
        <v>24</v>
      </c>
      <c r="C28" s="2">
        <v>10</v>
      </c>
      <c r="D28" s="2">
        <v>0</v>
      </c>
      <c r="E28" s="2">
        <v>0</v>
      </c>
      <c r="F28" s="2">
        <v>0</v>
      </c>
      <c r="G28" s="2">
        <v>0</v>
      </c>
      <c r="I28" s="2">
        <v>10.6</v>
      </c>
      <c r="J28" s="2">
        <v>4.8666666666666671</v>
      </c>
      <c r="K28" s="2">
        <v>0.8</v>
      </c>
      <c r="L28" s="2">
        <v>0</v>
      </c>
      <c r="M28" s="2">
        <v>0</v>
      </c>
      <c r="O28" s="3">
        <f t="shared" si="0"/>
        <v>20.6</v>
      </c>
      <c r="P28" s="3">
        <f t="shared" si="1"/>
        <v>4.8666666666666671</v>
      </c>
      <c r="Q28" s="3">
        <f t="shared" si="2"/>
        <v>0.8</v>
      </c>
      <c r="R28" s="3">
        <f t="shared" si="3"/>
        <v>0</v>
      </c>
      <c r="S28" s="3">
        <f t="shared" si="4"/>
        <v>0</v>
      </c>
      <c r="U28" s="1">
        <f t="shared" si="17"/>
        <v>0.48543689320388345</v>
      </c>
      <c r="V28" s="1">
        <f t="shared" si="18"/>
        <v>0</v>
      </c>
      <c r="W28" s="1">
        <f t="shared" si="19"/>
        <v>0</v>
      </c>
      <c r="X28" s="1" t="e">
        <f t="shared" si="20"/>
        <v>#DIV/0!</v>
      </c>
      <c r="Y28" s="1" t="e">
        <f t="shared" si="21"/>
        <v>#DIV/0!</v>
      </c>
      <c r="AA28" s="1">
        <f t="shared" si="22"/>
        <v>0.5145631067961165</v>
      </c>
      <c r="AB28" s="1">
        <f t="shared" si="23"/>
        <v>1</v>
      </c>
      <c r="AC28" s="1">
        <f t="shared" si="24"/>
        <v>1</v>
      </c>
      <c r="AD28" s="1" t="e">
        <f t="shared" si="25"/>
        <v>#DIV/0!</v>
      </c>
      <c r="AE28" s="1" t="e">
        <f t="shared" si="26"/>
        <v>#DIV/0!</v>
      </c>
      <c r="AG28" s="2">
        <v>1.4002962030407669</v>
      </c>
      <c r="AH28" s="2">
        <v>0.70014810152038343</v>
      </c>
      <c r="AI28" s="2">
        <v>0</v>
      </c>
      <c r="AJ28" s="2">
        <v>0</v>
      </c>
      <c r="AK28" s="2">
        <v>0</v>
      </c>
      <c r="AM28" s="1">
        <f t="shared" si="7"/>
        <v>7.1413462225240858</v>
      </c>
      <c r="AN28" s="1">
        <f t="shared" si="8"/>
        <v>0</v>
      </c>
      <c r="AO28" s="1" t="e">
        <f t="shared" si="9"/>
        <v>#DIV/0!</v>
      </c>
      <c r="AP28" s="1" t="e">
        <f t="shared" si="10"/>
        <v>#DIV/0!</v>
      </c>
      <c r="AQ28" s="1" t="e">
        <f t="shared" si="11"/>
        <v>#DIV/0!</v>
      </c>
      <c r="AS28" s="1">
        <f t="shared" si="12"/>
        <v>7.5698269958755304</v>
      </c>
      <c r="AT28" s="1">
        <f t="shared" si="13"/>
        <v>6.9509103232567773</v>
      </c>
      <c r="AU28" s="1" t="e">
        <f t="shared" si="14"/>
        <v>#DIV/0!</v>
      </c>
      <c r="AV28" s="1" t="e">
        <f t="shared" si="15"/>
        <v>#DIV/0!</v>
      </c>
      <c r="AW28" s="1" t="e">
        <f t="shared" si="16"/>
        <v>#DIV/0!</v>
      </c>
    </row>
    <row r="29" spans="2:49" x14ac:dyDescent="0.15">
      <c r="B29" s="2">
        <v>25</v>
      </c>
      <c r="C29" s="2">
        <v>11.25</v>
      </c>
      <c r="D29" s="2">
        <v>0</v>
      </c>
      <c r="E29" s="2">
        <v>0</v>
      </c>
      <c r="F29" s="2">
        <v>0</v>
      </c>
      <c r="G29" s="2">
        <v>0</v>
      </c>
      <c r="I29" s="2">
        <v>11</v>
      </c>
      <c r="J29" s="2">
        <v>5.3333333333333339</v>
      </c>
      <c r="K29" s="2">
        <v>1</v>
      </c>
      <c r="L29" s="2">
        <v>0</v>
      </c>
      <c r="M29" s="2">
        <v>0</v>
      </c>
      <c r="O29" s="3">
        <f t="shared" si="0"/>
        <v>22.25</v>
      </c>
      <c r="P29" s="3">
        <f t="shared" si="1"/>
        <v>5.3333333333333339</v>
      </c>
      <c r="Q29" s="3">
        <f t="shared" si="2"/>
        <v>1</v>
      </c>
      <c r="R29" s="3">
        <f t="shared" si="3"/>
        <v>0</v>
      </c>
      <c r="S29" s="3">
        <f t="shared" si="4"/>
        <v>0</v>
      </c>
      <c r="U29" s="1">
        <f t="shared" si="17"/>
        <v>0.5056179775280899</v>
      </c>
      <c r="V29" s="1">
        <f t="shared" si="18"/>
        <v>0</v>
      </c>
      <c r="W29" s="1">
        <f t="shared" si="19"/>
        <v>0</v>
      </c>
      <c r="X29" s="1" t="e">
        <f t="shared" si="20"/>
        <v>#DIV/0!</v>
      </c>
      <c r="Y29" s="1" t="e">
        <f t="shared" si="21"/>
        <v>#DIV/0!</v>
      </c>
      <c r="AA29" s="1">
        <f t="shared" si="22"/>
        <v>0.4943820224719101</v>
      </c>
      <c r="AB29" s="1">
        <f t="shared" si="23"/>
        <v>1</v>
      </c>
      <c r="AC29" s="1">
        <f t="shared" si="24"/>
        <v>1</v>
      </c>
      <c r="AD29" s="1" t="e">
        <f t="shared" si="25"/>
        <v>#DIV/0!</v>
      </c>
      <c r="AE29" s="1" t="e">
        <f t="shared" si="26"/>
        <v>#DIV/0!</v>
      </c>
      <c r="AG29" s="2">
        <v>2.1676172711506858</v>
      </c>
      <c r="AH29" s="2">
        <v>1.0838086355753429</v>
      </c>
      <c r="AI29" s="2">
        <v>0</v>
      </c>
      <c r="AJ29" s="2">
        <v>0</v>
      </c>
      <c r="AK29" s="2">
        <v>0</v>
      </c>
      <c r="AM29" s="1">
        <f t="shared" si="7"/>
        <v>5.1900306155190883</v>
      </c>
      <c r="AN29" s="1">
        <f t="shared" si="8"/>
        <v>0</v>
      </c>
      <c r="AO29" s="1" t="e">
        <f t="shared" si="9"/>
        <v>#DIV/0!</v>
      </c>
      <c r="AP29" s="1" t="e">
        <f t="shared" si="10"/>
        <v>#DIV/0!</v>
      </c>
      <c r="AQ29" s="1" t="e">
        <f t="shared" si="11"/>
        <v>#DIV/0!</v>
      </c>
      <c r="AS29" s="1">
        <f t="shared" si="12"/>
        <v>5.0746966018408859</v>
      </c>
      <c r="AT29" s="1">
        <f t="shared" si="13"/>
        <v>4.9209179169366175</v>
      </c>
      <c r="AU29" s="1" t="e">
        <f t="shared" si="14"/>
        <v>#DIV/0!</v>
      </c>
      <c r="AV29" s="1" t="e">
        <f t="shared" si="15"/>
        <v>#DIV/0!</v>
      </c>
      <c r="AW29" s="1" t="e">
        <f t="shared" si="16"/>
        <v>#DIV/0!</v>
      </c>
    </row>
    <row r="30" spans="2:49" x14ac:dyDescent="0.15">
      <c r="B30" s="2">
        <v>26</v>
      </c>
      <c r="C30" s="2">
        <v>12.5</v>
      </c>
      <c r="D30" s="2">
        <v>0</v>
      </c>
      <c r="E30" s="2">
        <v>0</v>
      </c>
      <c r="F30" s="2">
        <v>0</v>
      </c>
      <c r="G30" s="2">
        <v>0</v>
      </c>
      <c r="I30" s="2">
        <v>11.4</v>
      </c>
      <c r="J30" s="2">
        <v>5.8</v>
      </c>
      <c r="K30" s="2">
        <v>1.2000000000000002</v>
      </c>
      <c r="L30" s="2">
        <v>0</v>
      </c>
      <c r="M30" s="2">
        <v>0</v>
      </c>
      <c r="O30" s="3">
        <f t="shared" si="0"/>
        <v>23.9</v>
      </c>
      <c r="P30" s="3">
        <f t="shared" si="1"/>
        <v>5.8</v>
      </c>
      <c r="Q30" s="3">
        <f t="shared" si="2"/>
        <v>1.2000000000000002</v>
      </c>
      <c r="R30" s="3">
        <f t="shared" si="3"/>
        <v>0</v>
      </c>
      <c r="S30" s="3">
        <f t="shared" si="4"/>
        <v>0</v>
      </c>
      <c r="U30" s="1">
        <f t="shared" si="17"/>
        <v>0.52301255230125521</v>
      </c>
      <c r="V30" s="1">
        <f t="shared" si="18"/>
        <v>0</v>
      </c>
      <c r="W30" s="1">
        <f t="shared" si="19"/>
        <v>0</v>
      </c>
      <c r="X30" s="1" t="e">
        <f t="shared" si="20"/>
        <v>#DIV/0!</v>
      </c>
      <c r="Y30" s="1" t="e">
        <f t="shared" si="21"/>
        <v>#DIV/0!</v>
      </c>
      <c r="AA30" s="1">
        <f t="shared" si="22"/>
        <v>0.47698744769874479</v>
      </c>
      <c r="AB30" s="1">
        <f t="shared" si="23"/>
        <v>1</v>
      </c>
      <c r="AC30" s="1">
        <f t="shared" si="24"/>
        <v>1</v>
      </c>
      <c r="AD30" s="1" t="e">
        <f t="shared" si="25"/>
        <v>#DIV/0!</v>
      </c>
      <c r="AE30" s="1" t="e">
        <f t="shared" si="26"/>
        <v>#DIV/0!</v>
      </c>
      <c r="AG30" s="2">
        <v>3.0533028708908381</v>
      </c>
      <c r="AH30" s="2">
        <v>1.526651435445419</v>
      </c>
      <c r="AI30" s="2">
        <v>0</v>
      </c>
      <c r="AJ30" s="2">
        <v>0</v>
      </c>
      <c r="AK30" s="2">
        <v>0</v>
      </c>
      <c r="AM30" s="1">
        <f t="shared" si="7"/>
        <v>4.0939273071043143</v>
      </c>
      <c r="AN30" s="1">
        <f t="shared" si="8"/>
        <v>0</v>
      </c>
      <c r="AO30" s="1" t="e">
        <f t="shared" si="9"/>
        <v>#DIV/0!</v>
      </c>
      <c r="AP30" s="1" t="e">
        <f t="shared" si="10"/>
        <v>#DIV/0!</v>
      </c>
      <c r="AQ30" s="1" t="e">
        <f t="shared" si="11"/>
        <v>#DIV/0!</v>
      </c>
      <c r="AS30" s="1">
        <f t="shared" si="12"/>
        <v>3.7336617040791347</v>
      </c>
      <c r="AT30" s="1">
        <f t="shared" si="13"/>
        <v>3.7991645409928032</v>
      </c>
      <c r="AU30" s="1" t="e">
        <f t="shared" si="14"/>
        <v>#DIV/0!</v>
      </c>
      <c r="AV30" s="1" t="e">
        <f t="shared" si="15"/>
        <v>#DIV/0!</v>
      </c>
      <c r="AW30" s="1" t="e">
        <f t="shared" si="16"/>
        <v>#DIV/0!</v>
      </c>
    </row>
    <row r="31" spans="2:49" x14ac:dyDescent="0.15">
      <c r="B31" s="2">
        <v>27</v>
      </c>
      <c r="C31" s="2">
        <v>13.75</v>
      </c>
      <c r="D31" s="2">
        <v>0</v>
      </c>
      <c r="E31" s="2">
        <v>0</v>
      </c>
      <c r="F31" s="2">
        <v>0</v>
      </c>
      <c r="G31" s="2">
        <v>0</v>
      </c>
      <c r="I31" s="2">
        <v>11.8</v>
      </c>
      <c r="J31" s="2">
        <v>6.2666666666666666</v>
      </c>
      <c r="K31" s="2">
        <v>1.4000000000000001</v>
      </c>
      <c r="L31" s="2">
        <v>0</v>
      </c>
      <c r="M31" s="2">
        <v>0</v>
      </c>
      <c r="O31" s="3">
        <f t="shared" si="0"/>
        <v>25.55</v>
      </c>
      <c r="P31" s="3">
        <f t="shared" si="1"/>
        <v>6.2666666666666666</v>
      </c>
      <c r="Q31" s="3">
        <f t="shared" si="2"/>
        <v>1.4000000000000001</v>
      </c>
      <c r="R31" s="3">
        <f t="shared" si="3"/>
        <v>0</v>
      </c>
      <c r="S31" s="3">
        <f t="shared" si="4"/>
        <v>0</v>
      </c>
      <c r="U31" s="1">
        <f t="shared" si="17"/>
        <v>0.53816046966731901</v>
      </c>
      <c r="V31" s="1">
        <f t="shared" si="18"/>
        <v>0</v>
      </c>
      <c r="W31" s="1">
        <f t="shared" si="19"/>
        <v>0</v>
      </c>
      <c r="X31" s="1" t="e">
        <f t="shared" si="20"/>
        <v>#DIV/0!</v>
      </c>
      <c r="Y31" s="1" t="e">
        <f t="shared" si="21"/>
        <v>#DIV/0!</v>
      </c>
      <c r="AA31" s="1">
        <f t="shared" si="22"/>
        <v>0.46183953033268105</v>
      </c>
      <c r="AB31" s="1">
        <f t="shared" si="23"/>
        <v>1</v>
      </c>
      <c r="AC31" s="1">
        <f t="shared" si="24"/>
        <v>1</v>
      </c>
      <c r="AD31" s="1" t="e">
        <f t="shared" si="25"/>
        <v>#DIV/0!</v>
      </c>
      <c r="AE31" s="1" t="e">
        <f t="shared" si="26"/>
        <v>#DIV/0!</v>
      </c>
      <c r="AG31" s="2">
        <v>4.06818228308261</v>
      </c>
      <c r="AH31" s="2">
        <v>2.034091141541305</v>
      </c>
      <c r="AI31" s="2">
        <v>0</v>
      </c>
      <c r="AJ31" s="2">
        <v>0</v>
      </c>
      <c r="AK31" s="2">
        <v>0</v>
      </c>
      <c r="AM31" s="1">
        <f t="shared" si="7"/>
        <v>3.3798878819119982</v>
      </c>
      <c r="AN31" s="1">
        <f t="shared" si="8"/>
        <v>0</v>
      </c>
      <c r="AO31" s="1" t="e">
        <f t="shared" si="9"/>
        <v>#DIV/0!</v>
      </c>
      <c r="AP31" s="1" t="e">
        <f t="shared" si="10"/>
        <v>#DIV/0!</v>
      </c>
      <c r="AQ31" s="1" t="e">
        <f t="shared" si="11"/>
        <v>#DIV/0!</v>
      </c>
      <c r="AS31" s="1">
        <f t="shared" si="12"/>
        <v>2.9005583277499332</v>
      </c>
      <c r="AT31" s="1">
        <f t="shared" si="13"/>
        <v>3.0808190147852397</v>
      </c>
      <c r="AU31" s="1" t="e">
        <f t="shared" si="14"/>
        <v>#DIV/0!</v>
      </c>
      <c r="AV31" s="1" t="e">
        <f t="shared" si="15"/>
        <v>#DIV/0!</v>
      </c>
      <c r="AW31" s="1" t="e">
        <f t="shared" si="16"/>
        <v>#DIV/0!</v>
      </c>
    </row>
    <row r="32" spans="2:49" x14ac:dyDescent="0.15">
      <c r="B32" s="2">
        <v>28</v>
      </c>
      <c r="C32" s="2">
        <v>15</v>
      </c>
      <c r="D32" s="2">
        <v>0</v>
      </c>
      <c r="E32" s="2">
        <v>0</v>
      </c>
      <c r="F32" s="2">
        <v>0</v>
      </c>
      <c r="G32" s="2">
        <v>0</v>
      </c>
      <c r="I32" s="2">
        <v>12.2</v>
      </c>
      <c r="J32" s="2">
        <v>6.7333333333333334</v>
      </c>
      <c r="K32" s="2">
        <v>1.6</v>
      </c>
      <c r="L32" s="2">
        <v>0</v>
      </c>
      <c r="M32" s="2">
        <v>0</v>
      </c>
      <c r="O32" s="3">
        <f t="shared" si="0"/>
        <v>27.2</v>
      </c>
      <c r="P32" s="3">
        <f t="shared" si="1"/>
        <v>6.7333333333333334</v>
      </c>
      <c r="Q32" s="3">
        <f t="shared" si="2"/>
        <v>1.6</v>
      </c>
      <c r="R32" s="3">
        <f t="shared" si="3"/>
        <v>0</v>
      </c>
      <c r="S32" s="3">
        <f t="shared" si="4"/>
        <v>0</v>
      </c>
      <c r="U32" s="1">
        <f t="shared" si="17"/>
        <v>0.55147058823529416</v>
      </c>
      <c r="V32" s="1">
        <f t="shared" si="18"/>
        <v>0</v>
      </c>
      <c r="W32" s="1">
        <f t="shared" si="19"/>
        <v>0</v>
      </c>
      <c r="X32" s="1" t="e">
        <f t="shared" si="20"/>
        <v>#DIV/0!</v>
      </c>
      <c r="Y32" s="1" t="e">
        <f t="shared" si="21"/>
        <v>#DIV/0!</v>
      </c>
      <c r="AA32" s="1">
        <f t="shared" si="22"/>
        <v>0.44852941176470584</v>
      </c>
      <c r="AB32" s="1">
        <f t="shared" si="23"/>
        <v>1</v>
      </c>
      <c r="AC32" s="1">
        <f t="shared" si="24"/>
        <v>1</v>
      </c>
      <c r="AD32" s="1" t="e">
        <f t="shared" si="25"/>
        <v>#DIV/0!</v>
      </c>
      <c r="AE32" s="1" t="e">
        <f t="shared" si="26"/>
        <v>#DIV/0!</v>
      </c>
      <c r="AG32" s="2">
        <v>5.2241531862379853</v>
      </c>
      <c r="AH32" s="2">
        <v>2.6120765931189927</v>
      </c>
      <c r="AI32" s="2">
        <v>0</v>
      </c>
      <c r="AJ32" s="2">
        <v>0</v>
      </c>
      <c r="AK32" s="2">
        <v>0</v>
      </c>
      <c r="AM32" s="1">
        <f t="shared" si="7"/>
        <v>2.8712787441828045</v>
      </c>
      <c r="AN32" s="1">
        <f t="shared" si="8"/>
        <v>0</v>
      </c>
      <c r="AO32" s="1" t="e">
        <f t="shared" si="9"/>
        <v>#DIV/0!</v>
      </c>
      <c r="AP32" s="1" t="e">
        <f t="shared" si="10"/>
        <v>#DIV/0!</v>
      </c>
      <c r="AQ32" s="1" t="e">
        <f t="shared" si="11"/>
        <v>#DIV/0!</v>
      </c>
      <c r="AS32" s="1">
        <f t="shared" si="12"/>
        <v>2.3353067119353477</v>
      </c>
      <c r="AT32" s="1">
        <f t="shared" si="13"/>
        <v>2.5777702503330069</v>
      </c>
      <c r="AU32" s="1" t="e">
        <f t="shared" si="14"/>
        <v>#DIV/0!</v>
      </c>
      <c r="AV32" s="1" t="e">
        <f t="shared" si="15"/>
        <v>#DIV/0!</v>
      </c>
      <c r="AW32" s="1" t="e">
        <f t="shared" si="16"/>
        <v>#DIV/0!</v>
      </c>
    </row>
    <row r="33" spans="2:49" x14ac:dyDescent="0.15">
      <c r="B33" s="2">
        <v>29</v>
      </c>
      <c r="C33" s="2">
        <v>17.727272727272727</v>
      </c>
      <c r="D33" s="2">
        <v>0</v>
      </c>
      <c r="E33" s="2">
        <v>0</v>
      </c>
      <c r="F33" s="2">
        <v>0</v>
      </c>
      <c r="G33" s="2">
        <v>0</v>
      </c>
      <c r="I33" s="2">
        <v>12.6</v>
      </c>
      <c r="J33" s="2">
        <v>7.2</v>
      </c>
      <c r="K33" s="2">
        <v>1.8</v>
      </c>
      <c r="L33" s="2">
        <v>0</v>
      </c>
      <c r="M33" s="2">
        <v>0</v>
      </c>
      <c r="O33" s="3">
        <f t="shared" si="0"/>
        <v>30.327272727272728</v>
      </c>
      <c r="P33" s="3">
        <f t="shared" si="1"/>
        <v>7.2</v>
      </c>
      <c r="Q33" s="3">
        <f t="shared" si="2"/>
        <v>1.8</v>
      </c>
      <c r="R33" s="3">
        <f t="shared" si="3"/>
        <v>0</v>
      </c>
      <c r="S33" s="3">
        <f t="shared" si="4"/>
        <v>0</v>
      </c>
      <c r="U33" s="1">
        <f t="shared" si="17"/>
        <v>0.58453237410071934</v>
      </c>
      <c r="V33" s="1">
        <f t="shared" si="18"/>
        <v>0</v>
      </c>
      <c r="W33" s="1">
        <f t="shared" si="19"/>
        <v>0</v>
      </c>
      <c r="X33" s="1" t="e">
        <f t="shared" si="20"/>
        <v>#DIV/0!</v>
      </c>
      <c r="Y33" s="1" t="e">
        <f t="shared" si="21"/>
        <v>#DIV/0!</v>
      </c>
      <c r="AA33" s="1">
        <f t="shared" si="22"/>
        <v>0.41546762589928055</v>
      </c>
      <c r="AB33" s="1">
        <f t="shared" si="23"/>
        <v>1</v>
      </c>
      <c r="AC33" s="1">
        <f t="shared" si="24"/>
        <v>1</v>
      </c>
      <c r="AD33" s="1" t="e">
        <f t="shared" si="25"/>
        <v>#DIV/0!</v>
      </c>
      <c r="AE33" s="1" t="e">
        <f t="shared" si="26"/>
        <v>#DIV/0!</v>
      </c>
      <c r="AG33" s="2">
        <v>6.5342792354815336</v>
      </c>
      <c r="AH33" s="2">
        <v>3.2671396177407668</v>
      </c>
      <c r="AI33" s="2">
        <v>0</v>
      </c>
      <c r="AJ33" s="2">
        <v>0</v>
      </c>
      <c r="AK33" s="2">
        <v>0</v>
      </c>
      <c r="AM33" s="1">
        <f t="shared" si="7"/>
        <v>2.7129652848339503</v>
      </c>
      <c r="AN33" s="1">
        <f t="shared" si="8"/>
        <v>0</v>
      </c>
      <c r="AO33" s="1" t="e">
        <f t="shared" si="9"/>
        <v>#DIV/0!</v>
      </c>
      <c r="AP33" s="1" t="e">
        <f t="shared" si="10"/>
        <v>#DIV/0!</v>
      </c>
      <c r="AQ33" s="1" t="e">
        <f t="shared" si="11"/>
        <v>#DIV/0!</v>
      </c>
      <c r="AS33" s="1">
        <f t="shared" si="12"/>
        <v>1.928292248605054</v>
      </c>
      <c r="AT33" s="1">
        <f t="shared" si="13"/>
        <v>2.2037625698343475</v>
      </c>
      <c r="AU33" s="1" t="e">
        <f t="shared" si="14"/>
        <v>#DIV/0!</v>
      </c>
      <c r="AV33" s="1" t="e">
        <f t="shared" si="15"/>
        <v>#DIV/0!</v>
      </c>
      <c r="AW33" s="1" t="e">
        <f t="shared" si="16"/>
        <v>#DIV/0!</v>
      </c>
    </row>
    <row r="34" spans="2:49" x14ac:dyDescent="0.15">
      <c r="B34" s="2">
        <v>30</v>
      </c>
      <c r="C34" s="2">
        <v>20.454545454545453</v>
      </c>
      <c r="D34" s="2">
        <v>0</v>
      </c>
      <c r="E34" s="2">
        <v>0</v>
      </c>
      <c r="F34" s="2">
        <v>0</v>
      </c>
      <c r="G34" s="2">
        <v>0</v>
      </c>
      <c r="I34" s="2">
        <v>13</v>
      </c>
      <c r="J34" s="2">
        <v>7.666666666666667</v>
      </c>
      <c r="K34" s="2">
        <v>2</v>
      </c>
      <c r="L34" s="2">
        <v>0</v>
      </c>
      <c r="M34" s="2">
        <v>0</v>
      </c>
      <c r="O34" s="3">
        <f t="shared" si="0"/>
        <v>33.454545454545453</v>
      </c>
      <c r="P34" s="3">
        <f t="shared" si="1"/>
        <v>7.666666666666667</v>
      </c>
      <c r="Q34" s="3">
        <f t="shared" si="2"/>
        <v>2</v>
      </c>
      <c r="R34" s="3">
        <f t="shared" si="3"/>
        <v>0</v>
      </c>
      <c r="S34" s="3">
        <f t="shared" si="4"/>
        <v>0</v>
      </c>
      <c r="U34" s="1">
        <f t="shared" si="17"/>
        <v>0.61141304347826086</v>
      </c>
      <c r="V34" s="1">
        <f t="shared" si="18"/>
        <v>0</v>
      </c>
      <c r="W34" s="1">
        <f t="shared" si="19"/>
        <v>0</v>
      </c>
      <c r="X34" s="1" t="e">
        <f t="shared" si="20"/>
        <v>#DIV/0!</v>
      </c>
      <c r="Y34" s="1" t="e">
        <f t="shared" si="21"/>
        <v>#DIV/0!</v>
      </c>
      <c r="AA34" s="1">
        <f t="shared" si="22"/>
        <v>0.38858695652173914</v>
      </c>
      <c r="AB34" s="1">
        <f t="shared" si="23"/>
        <v>1</v>
      </c>
      <c r="AC34" s="1">
        <f t="shared" si="24"/>
        <v>1</v>
      </c>
      <c r="AD34" s="1" t="e">
        <f t="shared" si="25"/>
        <v>#DIV/0!</v>
      </c>
      <c r="AE34" s="1" t="e">
        <f t="shared" si="26"/>
        <v>#DIV/0!</v>
      </c>
      <c r="AG34" s="2">
        <v>8.012896144850707</v>
      </c>
      <c r="AH34" s="2">
        <v>4.0064480724253535</v>
      </c>
      <c r="AI34" s="2">
        <v>0</v>
      </c>
      <c r="AJ34" s="2">
        <v>0</v>
      </c>
      <c r="AK34" s="2">
        <v>0</v>
      </c>
      <c r="AM34" s="1">
        <f t="shared" si="7"/>
        <v>2.5527031780750171</v>
      </c>
      <c r="AN34" s="1">
        <f t="shared" si="8"/>
        <v>0</v>
      </c>
      <c r="AO34" s="1" t="e">
        <f t="shared" si="9"/>
        <v>#DIV/0!</v>
      </c>
      <c r="AP34" s="1" t="e">
        <f t="shared" si="10"/>
        <v>#DIV/0!</v>
      </c>
      <c r="AQ34" s="1" t="e">
        <f t="shared" si="11"/>
        <v>#DIV/0!</v>
      </c>
      <c r="AS34" s="1">
        <f t="shared" si="12"/>
        <v>1.6223846865098999</v>
      </c>
      <c r="AT34" s="1">
        <f t="shared" si="13"/>
        <v>1.9135819379347538</v>
      </c>
      <c r="AU34" s="1" t="e">
        <f t="shared" si="14"/>
        <v>#DIV/0!</v>
      </c>
      <c r="AV34" s="1" t="e">
        <f t="shared" si="15"/>
        <v>#DIV/0!</v>
      </c>
      <c r="AW34" s="1" t="e">
        <f t="shared" si="16"/>
        <v>#DIV/0!</v>
      </c>
    </row>
    <row r="35" spans="2:49" x14ac:dyDescent="0.15">
      <c r="B35" s="2">
        <v>31</v>
      </c>
      <c r="C35" s="2">
        <v>23.18181818181818</v>
      </c>
      <c r="D35" s="2">
        <v>0</v>
      </c>
      <c r="E35" s="2">
        <v>0</v>
      </c>
      <c r="F35" s="2">
        <v>0</v>
      </c>
      <c r="G35" s="2">
        <v>0</v>
      </c>
      <c r="I35" s="2">
        <v>13.4</v>
      </c>
      <c r="J35" s="2">
        <v>8.1333333333333329</v>
      </c>
      <c r="K35" s="2">
        <v>2.2000000000000002</v>
      </c>
      <c r="L35" s="2">
        <v>0</v>
      </c>
      <c r="M35" s="2">
        <v>0</v>
      </c>
      <c r="O35" s="3">
        <f t="shared" si="0"/>
        <v>36.581818181818178</v>
      </c>
      <c r="P35" s="3">
        <f t="shared" si="1"/>
        <v>8.1333333333333329</v>
      </c>
      <c r="Q35" s="3">
        <f t="shared" si="2"/>
        <v>2.2000000000000002</v>
      </c>
      <c r="R35" s="3">
        <f t="shared" si="3"/>
        <v>0</v>
      </c>
      <c r="S35" s="3">
        <f t="shared" si="4"/>
        <v>0</v>
      </c>
      <c r="U35" s="1">
        <f t="shared" si="17"/>
        <v>0.63369781312127238</v>
      </c>
      <c r="V35" s="1">
        <f t="shared" si="18"/>
        <v>0</v>
      </c>
      <c r="W35" s="1">
        <f t="shared" si="19"/>
        <v>0</v>
      </c>
      <c r="X35" s="1" t="e">
        <f t="shared" si="20"/>
        <v>#DIV/0!</v>
      </c>
      <c r="Y35" s="1" t="e">
        <f t="shared" si="21"/>
        <v>#DIV/0!</v>
      </c>
      <c r="AA35" s="1">
        <f t="shared" si="22"/>
        <v>0.36630218687872768</v>
      </c>
      <c r="AB35" s="1">
        <f t="shared" si="23"/>
        <v>1</v>
      </c>
      <c r="AC35" s="1">
        <f t="shared" si="24"/>
        <v>1</v>
      </c>
      <c r="AD35" s="1" t="e">
        <f t="shared" si="25"/>
        <v>#DIV/0!</v>
      </c>
      <c r="AE35" s="1" t="e">
        <f t="shared" si="26"/>
        <v>#DIV/0!</v>
      </c>
      <c r="AG35" s="2">
        <v>9.6757269909373598</v>
      </c>
      <c r="AH35" s="2">
        <v>4.8378634954686799</v>
      </c>
      <c r="AI35" s="2">
        <v>0</v>
      </c>
      <c r="AJ35" s="2">
        <v>0</v>
      </c>
      <c r="AK35" s="2">
        <v>0</v>
      </c>
      <c r="AM35" s="1">
        <f t="shared" si="7"/>
        <v>2.3958735300749101</v>
      </c>
      <c r="AN35" s="1">
        <f t="shared" si="8"/>
        <v>0</v>
      </c>
      <c r="AO35" s="1" t="e">
        <f t="shared" si="9"/>
        <v>#DIV/0!</v>
      </c>
      <c r="AP35" s="1" t="e">
        <f t="shared" si="10"/>
        <v>#DIV/0!</v>
      </c>
      <c r="AQ35" s="1" t="e">
        <f t="shared" si="11"/>
        <v>#DIV/0!</v>
      </c>
      <c r="AS35" s="1">
        <f t="shared" si="12"/>
        <v>1.384908856208007</v>
      </c>
      <c r="AT35" s="1">
        <f t="shared" si="13"/>
        <v>1.6811828901231527</v>
      </c>
      <c r="AU35" s="1" t="e">
        <f t="shared" si="14"/>
        <v>#DIV/0!</v>
      </c>
      <c r="AV35" s="1" t="e">
        <f t="shared" si="15"/>
        <v>#DIV/0!</v>
      </c>
      <c r="AW35" s="1" t="e">
        <f t="shared" si="16"/>
        <v>#DIV/0!</v>
      </c>
    </row>
    <row r="36" spans="2:49" x14ac:dyDescent="0.15">
      <c r="B36" s="2">
        <v>32</v>
      </c>
      <c r="C36" s="2">
        <v>25.909090909090907</v>
      </c>
      <c r="D36" s="2">
        <v>0</v>
      </c>
      <c r="E36" s="2">
        <v>0</v>
      </c>
      <c r="F36" s="2">
        <v>0</v>
      </c>
      <c r="G36" s="2">
        <v>0</v>
      </c>
      <c r="I36" s="2">
        <v>13.8</v>
      </c>
      <c r="J36" s="2">
        <v>8.6</v>
      </c>
      <c r="K36" s="2">
        <v>2.4000000000000004</v>
      </c>
      <c r="L36" s="2">
        <v>0</v>
      </c>
      <c r="M36" s="2">
        <v>0</v>
      </c>
      <c r="O36" s="3">
        <f t="shared" si="0"/>
        <v>39.709090909090904</v>
      </c>
      <c r="P36" s="3">
        <f t="shared" si="1"/>
        <v>8.6</v>
      </c>
      <c r="Q36" s="3">
        <f t="shared" si="2"/>
        <v>2.4000000000000004</v>
      </c>
      <c r="R36" s="3">
        <f t="shared" si="3"/>
        <v>0</v>
      </c>
      <c r="S36" s="3">
        <f t="shared" si="4"/>
        <v>0</v>
      </c>
      <c r="U36" s="1">
        <f t="shared" si="17"/>
        <v>0.65247252747252749</v>
      </c>
      <c r="V36" s="1">
        <f t="shared" si="18"/>
        <v>0</v>
      </c>
      <c r="W36" s="1">
        <f t="shared" si="19"/>
        <v>0</v>
      </c>
      <c r="X36" s="1" t="e">
        <f t="shared" si="20"/>
        <v>#DIV/0!</v>
      </c>
      <c r="Y36" s="1" t="e">
        <f t="shared" si="21"/>
        <v>#DIV/0!</v>
      </c>
      <c r="AA36" s="1">
        <f t="shared" si="22"/>
        <v>0.34752747252747257</v>
      </c>
      <c r="AB36" s="1">
        <f t="shared" si="23"/>
        <v>1</v>
      </c>
      <c r="AC36" s="1">
        <f t="shared" si="24"/>
        <v>1</v>
      </c>
      <c r="AD36" s="1" t="e">
        <f t="shared" si="25"/>
        <v>#DIV/0!</v>
      </c>
      <c r="AE36" s="1" t="e">
        <f t="shared" si="26"/>
        <v>#DIV/0!</v>
      </c>
      <c r="AG36" s="2">
        <v>11.540007515090156</v>
      </c>
      <c r="AH36" s="2">
        <v>5.7700037575450782</v>
      </c>
      <c r="AI36" s="2">
        <v>0</v>
      </c>
      <c r="AJ36" s="2">
        <v>0</v>
      </c>
      <c r="AK36" s="2">
        <v>0</v>
      </c>
      <c r="AM36" s="1">
        <f t="shared" si="7"/>
        <v>2.2451537293378001</v>
      </c>
      <c r="AN36" s="1">
        <f t="shared" si="8"/>
        <v>0</v>
      </c>
      <c r="AO36" s="1" t="e">
        <f t="shared" si="9"/>
        <v>#DIV/0!</v>
      </c>
      <c r="AP36" s="1" t="e">
        <f t="shared" si="10"/>
        <v>#DIV/0!</v>
      </c>
      <c r="AQ36" s="1" t="e">
        <f t="shared" si="11"/>
        <v>#DIV/0!</v>
      </c>
      <c r="AS36" s="1">
        <f t="shared" si="12"/>
        <v>1.1958397758367654</v>
      </c>
      <c r="AT36" s="1">
        <f t="shared" si="13"/>
        <v>1.4904669669849537</v>
      </c>
      <c r="AU36" s="1" t="e">
        <f t="shared" si="14"/>
        <v>#DIV/0!</v>
      </c>
      <c r="AV36" s="1" t="e">
        <f t="shared" si="15"/>
        <v>#DIV/0!</v>
      </c>
      <c r="AW36" s="1" t="e">
        <f t="shared" si="16"/>
        <v>#DIV/0!</v>
      </c>
    </row>
    <row r="37" spans="2:49" x14ac:dyDescent="0.15">
      <c r="B37" s="2">
        <v>33</v>
      </c>
      <c r="C37" s="2">
        <v>28.636363636363633</v>
      </c>
      <c r="D37" s="2">
        <v>0</v>
      </c>
      <c r="E37" s="2">
        <v>0</v>
      </c>
      <c r="F37" s="2">
        <v>0</v>
      </c>
      <c r="G37" s="2">
        <v>0</v>
      </c>
      <c r="I37" s="2">
        <v>14.2</v>
      </c>
      <c r="J37" s="2">
        <v>9.0666666666666664</v>
      </c>
      <c r="K37" s="2">
        <v>2.6</v>
      </c>
      <c r="L37" s="2">
        <v>0</v>
      </c>
      <c r="M37" s="2">
        <v>0</v>
      </c>
      <c r="O37" s="3">
        <f t="shared" ref="O37:O68" si="27">C37+I37</f>
        <v>42.836363636363629</v>
      </c>
      <c r="P37" s="3">
        <f t="shared" ref="P37:P68" si="28">D37+J37</f>
        <v>9.0666666666666664</v>
      </c>
      <c r="Q37" s="3">
        <f t="shared" ref="Q37:Q68" si="29">E37+K37</f>
        <v>2.6</v>
      </c>
      <c r="R37" s="3">
        <f t="shared" ref="R37:R68" si="30">F37+L37</f>
        <v>0</v>
      </c>
      <c r="S37" s="3">
        <f t="shared" ref="S37:S68" si="31">G37+M37</f>
        <v>0</v>
      </c>
      <c r="U37" s="1">
        <f t="shared" si="17"/>
        <v>0.66850594227504245</v>
      </c>
      <c r="V37" s="1">
        <f t="shared" si="18"/>
        <v>0</v>
      </c>
      <c r="W37" s="1">
        <f t="shared" si="19"/>
        <v>0</v>
      </c>
      <c r="X37" s="1" t="e">
        <f t="shared" si="20"/>
        <v>#DIV/0!</v>
      </c>
      <c r="Y37" s="1" t="e">
        <f t="shared" si="21"/>
        <v>#DIV/0!</v>
      </c>
      <c r="AA37" s="1">
        <f t="shared" si="22"/>
        <v>0.3314940577249576</v>
      </c>
      <c r="AB37" s="1">
        <f t="shared" si="23"/>
        <v>1</v>
      </c>
      <c r="AC37" s="1">
        <f t="shared" si="24"/>
        <v>1</v>
      </c>
      <c r="AD37" s="1" t="e">
        <f t="shared" si="25"/>
        <v>#DIV/0!</v>
      </c>
      <c r="AE37" s="1" t="e">
        <f t="shared" si="26"/>
        <v>#DIV/0!</v>
      </c>
      <c r="AG37" s="2">
        <v>13.624622265461767</v>
      </c>
      <c r="AH37" s="2">
        <v>6.8123111327308834</v>
      </c>
      <c r="AI37" s="2">
        <v>0</v>
      </c>
      <c r="AJ37" s="2">
        <v>0</v>
      </c>
      <c r="AK37" s="2">
        <v>0</v>
      </c>
      <c r="AM37" s="1">
        <f t="shared" ref="AM37:AM68" si="32">C37/AG37</f>
        <v>2.1018097293571527</v>
      </c>
      <c r="AN37" s="1">
        <f t="shared" ref="AN37:AN68" si="33">D37/AH37</f>
        <v>0</v>
      </c>
      <c r="AO37" s="1" t="e">
        <f t="shared" ref="AO37:AO68" si="34">E37/AI37</f>
        <v>#DIV/0!</v>
      </c>
      <c r="AP37" s="1" t="e">
        <f t="shared" ref="AP37:AP68" si="35">F37/AJ37</f>
        <v>#DIV/0!</v>
      </c>
      <c r="AQ37" s="1" t="e">
        <f t="shared" ref="AQ37:AQ68" si="36">G37/AK37</f>
        <v>#DIV/0!</v>
      </c>
      <c r="AS37" s="1">
        <f t="shared" ref="AS37:AS68" si="37">I37/AG37</f>
        <v>1.0422307292875788</v>
      </c>
      <c r="AT37" s="1">
        <f t="shared" ref="AT37:AT68" si="38">J37/AH37</f>
        <v>1.3309237481982226</v>
      </c>
      <c r="AU37" s="1" t="e">
        <f t="shared" ref="AU37:AU68" si="39">K37/AI37</f>
        <v>#DIV/0!</v>
      </c>
      <c r="AV37" s="1" t="e">
        <f t="shared" ref="AV37:AV68" si="40">L37/AJ37</f>
        <v>#DIV/0!</v>
      </c>
      <c r="AW37" s="1" t="e">
        <f t="shared" ref="AW37:AW68" si="41">M37/AK37</f>
        <v>#DIV/0!</v>
      </c>
    </row>
    <row r="38" spans="2:49" x14ac:dyDescent="0.15">
      <c r="B38" s="2">
        <v>34</v>
      </c>
      <c r="C38" s="2">
        <v>31.363636363636363</v>
      </c>
      <c r="D38" s="2">
        <v>0</v>
      </c>
      <c r="E38" s="2">
        <v>0</v>
      </c>
      <c r="F38" s="2">
        <v>0</v>
      </c>
      <c r="G38" s="2">
        <v>0</v>
      </c>
      <c r="I38" s="2">
        <v>14.600000000000001</v>
      </c>
      <c r="J38" s="2">
        <v>9.5333333333333332</v>
      </c>
      <c r="K38" s="2">
        <v>2.8000000000000003</v>
      </c>
      <c r="L38" s="2">
        <v>0</v>
      </c>
      <c r="M38" s="2">
        <v>0</v>
      </c>
      <c r="O38" s="3">
        <f t="shared" si="27"/>
        <v>45.963636363636368</v>
      </c>
      <c r="P38" s="3">
        <f t="shared" si="28"/>
        <v>9.5333333333333332</v>
      </c>
      <c r="Q38" s="3">
        <f t="shared" si="29"/>
        <v>2.8000000000000003</v>
      </c>
      <c r="R38" s="3">
        <f t="shared" si="30"/>
        <v>0</v>
      </c>
      <c r="S38" s="3">
        <f t="shared" si="31"/>
        <v>0</v>
      </c>
      <c r="U38" s="1">
        <f t="shared" si="17"/>
        <v>0.68235759493670878</v>
      </c>
      <c r="V38" s="1">
        <f t="shared" si="18"/>
        <v>0</v>
      </c>
      <c r="W38" s="1">
        <f t="shared" si="19"/>
        <v>0</v>
      </c>
      <c r="X38" s="1" t="e">
        <f t="shared" si="20"/>
        <v>#DIV/0!</v>
      </c>
      <c r="Y38" s="1" t="e">
        <f t="shared" si="21"/>
        <v>#DIV/0!</v>
      </c>
      <c r="AA38" s="1">
        <f t="shared" si="22"/>
        <v>0.31764240506329111</v>
      </c>
      <c r="AB38" s="1">
        <f t="shared" si="23"/>
        <v>1</v>
      </c>
      <c r="AC38" s="1">
        <f t="shared" si="24"/>
        <v>1</v>
      </c>
      <c r="AD38" s="1" t="e">
        <f t="shared" si="25"/>
        <v>#DIV/0!</v>
      </c>
      <c r="AE38" s="1" t="e">
        <f t="shared" si="26"/>
        <v>#DIV/0!</v>
      </c>
      <c r="AG38" s="2">
        <v>15.950252489441899</v>
      </c>
      <c r="AH38" s="2">
        <v>7.9751262447209497</v>
      </c>
      <c r="AI38" s="2">
        <v>0</v>
      </c>
      <c r="AJ38" s="2">
        <v>0</v>
      </c>
      <c r="AK38" s="2">
        <v>0</v>
      </c>
      <c r="AM38" s="1">
        <f t="shared" si="32"/>
        <v>1.9663410585128474</v>
      </c>
      <c r="AN38" s="1">
        <f t="shared" si="33"/>
        <v>0</v>
      </c>
      <c r="AO38" s="1" t="e">
        <f t="shared" si="34"/>
        <v>#DIV/0!</v>
      </c>
      <c r="AP38" s="1" t="e">
        <f t="shared" si="35"/>
        <v>#DIV/0!</v>
      </c>
      <c r="AQ38" s="1" t="e">
        <f t="shared" si="36"/>
        <v>#DIV/0!</v>
      </c>
      <c r="AS38" s="1">
        <f t="shared" si="37"/>
        <v>0.91534601158598061</v>
      </c>
      <c r="AT38" s="1">
        <f t="shared" si="38"/>
        <v>1.1953833758611436</v>
      </c>
      <c r="AU38" s="1" t="e">
        <f t="shared" si="39"/>
        <v>#DIV/0!</v>
      </c>
      <c r="AV38" s="1" t="e">
        <f t="shared" si="40"/>
        <v>#DIV/0!</v>
      </c>
      <c r="AW38" s="1" t="e">
        <f t="shared" si="41"/>
        <v>#DIV/0!</v>
      </c>
    </row>
    <row r="39" spans="2:49" x14ac:dyDescent="0.15">
      <c r="B39" s="2">
        <v>35</v>
      </c>
      <c r="C39" s="2">
        <v>34.090909090909093</v>
      </c>
      <c r="D39" s="2">
        <v>0</v>
      </c>
      <c r="E39" s="2">
        <v>0</v>
      </c>
      <c r="F39" s="2">
        <v>0</v>
      </c>
      <c r="G39" s="2">
        <v>0</v>
      </c>
      <c r="I39" s="2">
        <v>15</v>
      </c>
      <c r="J39" s="2">
        <v>30</v>
      </c>
      <c r="K39" s="2">
        <v>15</v>
      </c>
      <c r="L39" s="2">
        <v>0</v>
      </c>
      <c r="M39" s="2">
        <v>0</v>
      </c>
      <c r="O39" s="3">
        <f t="shared" si="27"/>
        <v>49.090909090909093</v>
      </c>
      <c r="P39" s="3">
        <f t="shared" si="28"/>
        <v>30</v>
      </c>
      <c r="Q39" s="3">
        <f t="shared" si="29"/>
        <v>15</v>
      </c>
      <c r="R39" s="3">
        <f t="shared" si="30"/>
        <v>0</v>
      </c>
      <c r="S39" s="3">
        <f t="shared" si="31"/>
        <v>0</v>
      </c>
      <c r="U39" s="1">
        <f t="shared" si="17"/>
        <v>0.69444444444444442</v>
      </c>
      <c r="V39" s="1">
        <f t="shared" si="18"/>
        <v>0</v>
      </c>
      <c r="W39" s="1">
        <f t="shared" si="19"/>
        <v>0</v>
      </c>
      <c r="X39" s="1" t="e">
        <f t="shared" si="20"/>
        <v>#DIV/0!</v>
      </c>
      <c r="Y39" s="1" t="e">
        <f t="shared" si="21"/>
        <v>#DIV/0!</v>
      </c>
      <c r="AA39" s="1">
        <f t="shared" si="22"/>
        <v>0.30555555555555552</v>
      </c>
      <c r="AB39" s="1">
        <f t="shared" si="23"/>
        <v>1</v>
      </c>
      <c r="AC39" s="1">
        <f t="shared" si="24"/>
        <v>1</v>
      </c>
      <c r="AD39" s="1" t="e">
        <f t="shared" si="25"/>
        <v>#DIV/0!</v>
      </c>
      <c r="AE39" s="1" t="e">
        <f t="shared" si="26"/>
        <v>#DIV/0!</v>
      </c>
      <c r="AG39" s="2">
        <v>18.539536761881568</v>
      </c>
      <c r="AH39" s="2">
        <v>9.2697683809407838</v>
      </c>
      <c r="AI39" s="2">
        <v>0</v>
      </c>
      <c r="AJ39" s="2">
        <v>0</v>
      </c>
      <c r="AK39" s="2">
        <v>0</v>
      </c>
      <c r="AM39" s="1">
        <f t="shared" si="32"/>
        <v>1.838822055198386</v>
      </c>
      <c r="AN39" s="1">
        <f t="shared" si="33"/>
        <v>0</v>
      </c>
      <c r="AO39" s="1" t="e">
        <f t="shared" si="34"/>
        <v>#DIV/0!</v>
      </c>
      <c r="AP39" s="1" t="e">
        <f t="shared" si="35"/>
        <v>#DIV/0!</v>
      </c>
      <c r="AQ39" s="1" t="e">
        <f t="shared" si="36"/>
        <v>#DIV/0!</v>
      </c>
      <c r="AS39" s="1">
        <f t="shared" si="37"/>
        <v>0.80908170428728976</v>
      </c>
      <c r="AT39" s="1">
        <f t="shared" si="38"/>
        <v>3.236326817149159</v>
      </c>
      <c r="AU39" s="1" t="e">
        <f t="shared" si="39"/>
        <v>#DIV/0!</v>
      </c>
      <c r="AV39" s="1" t="e">
        <f t="shared" si="40"/>
        <v>#DIV/0!</v>
      </c>
      <c r="AW39" s="1" t="e">
        <f t="shared" si="41"/>
        <v>#DIV/0!</v>
      </c>
    </row>
    <row r="40" spans="2:49" x14ac:dyDescent="0.15">
      <c r="B40" s="2">
        <v>36</v>
      </c>
      <c r="C40" s="2">
        <v>36.818181818181813</v>
      </c>
      <c r="D40" s="2">
        <v>0</v>
      </c>
      <c r="E40" s="2">
        <v>0</v>
      </c>
      <c r="F40" s="2">
        <v>0</v>
      </c>
      <c r="G40" s="2">
        <v>0</v>
      </c>
      <c r="I40" s="2">
        <v>15.15</v>
      </c>
      <c r="J40" s="2">
        <v>30.3</v>
      </c>
      <c r="K40" s="2">
        <v>15.65</v>
      </c>
      <c r="L40" s="2">
        <v>0.25</v>
      </c>
      <c r="M40" s="2">
        <v>0</v>
      </c>
      <c r="O40" s="3">
        <f t="shared" si="27"/>
        <v>51.968181818181812</v>
      </c>
      <c r="P40" s="3">
        <f t="shared" si="28"/>
        <v>30.3</v>
      </c>
      <c r="Q40" s="3">
        <f t="shared" si="29"/>
        <v>15.65</v>
      </c>
      <c r="R40" s="3">
        <f t="shared" si="30"/>
        <v>0.25</v>
      </c>
      <c r="S40" s="3">
        <f t="shared" si="31"/>
        <v>0</v>
      </c>
      <c r="U40" s="1">
        <f t="shared" si="17"/>
        <v>0.70847546575701914</v>
      </c>
      <c r="V40" s="1">
        <f t="shared" si="18"/>
        <v>0</v>
      </c>
      <c r="W40" s="1">
        <f t="shared" si="19"/>
        <v>0</v>
      </c>
      <c r="X40" s="1">
        <f t="shared" si="20"/>
        <v>0</v>
      </c>
      <c r="Y40" s="1" t="e">
        <f t="shared" si="21"/>
        <v>#DIV/0!</v>
      </c>
      <c r="AA40" s="1">
        <f t="shared" si="22"/>
        <v>0.29152453424298091</v>
      </c>
      <c r="AB40" s="1">
        <f t="shared" si="23"/>
        <v>1</v>
      </c>
      <c r="AC40" s="1">
        <f t="shared" si="24"/>
        <v>1</v>
      </c>
      <c r="AD40" s="1">
        <f t="shared" si="25"/>
        <v>1</v>
      </c>
      <c r="AE40" s="1" t="e">
        <f t="shared" si="26"/>
        <v>#DIV/0!</v>
      </c>
      <c r="AG40" s="2">
        <v>21.417245415434884</v>
      </c>
      <c r="AH40" s="2">
        <v>10.777139580421093</v>
      </c>
      <c r="AI40" s="2">
        <v>0.13703374540730087</v>
      </c>
      <c r="AJ40" s="2">
        <v>0</v>
      </c>
      <c r="AK40" s="2">
        <v>0</v>
      </c>
      <c r="AM40" s="1">
        <f t="shared" si="32"/>
        <v>1.7190904387567905</v>
      </c>
      <c r="AN40" s="1">
        <f t="shared" si="33"/>
        <v>0</v>
      </c>
      <c r="AO40" s="1">
        <f t="shared" si="34"/>
        <v>0</v>
      </c>
      <c r="AP40" s="1" t="e">
        <f t="shared" si="35"/>
        <v>#DIV/0!</v>
      </c>
      <c r="AQ40" s="1" t="e">
        <f t="shared" si="36"/>
        <v>#DIV/0!</v>
      </c>
      <c r="AS40" s="1">
        <f t="shared" si="37"/>
        <v>0.70737388054029426</v>
      </c>
      <c r="AT40" s="1">
        <f t="shared" si="38"/>
        <v>2.8115066872703616</v>
      </c>
      <c r="AU40" s="1">
        <f t="shared" si="39"/>
        <v>114.20544591760243</v>
      </c>
      <c r="AV40" s="1" t="e">
        <f t="shared" si="40"/>
        <v>#DIV/0!</v>
      </c>
      <c r="AW40" s="1" t="e">
        <f t="shared" si="41"/>
        <v>#DIV/0!</v>
      </c>
    </row>
    <row r="41" spans="2:49" x14ac:dyDescent="0.15">
      <c r="B41" s="2">
        <v>37</v>
      </c>
      <c r="C41" s="2">
        <v>39.545454545454547</v>
      </c>
      <c r="D41" s="2">
        <v>0</v>
      </c>
      <c r="E41" s="2">
        <v>0</v>
      </c>
      <c r="F41" s="2">
        <v>0</v>
      </c>
      <c r="G41" s="2">
        <v>0</v>
      </c>
      <c r="I41" s="2">
        <v>15.3</v>
      </c>
      <c r="J41" s="2">
        <v>30.6</v>
      </c>
      <c r="K41" s="2">
        <v>16.3</v>
      </c>
      <c r="L41" s="2">
        <v>0.5</v>
      </c>
      <c r="M41" s="2">
        <v>0</v>
      </c>
      <c r="O41" s="3">
        <f t="shared" si="27"/>
        <v>54.845454545454544</v>
      </c>
      <c r="P41" s="3">
        <f t="shared" si="28"/>
        <v>30.6</v>
      </c>
      <c r="Q41" s="3">
        <f t="shared" si="29"/>
        <v>16.3</v>
      </c>
      <c r="R41" s="3">
        <f t="shared" si="30"/>
        <v>0.5</v>
      </c>
      <c r="S41" s="3">
        <f t="shared" si="31"/>
        <v>0</v>
      </c>
      <c r="U41" s="1">
        <f t="shared" si="17"/>
        <v>0.72103431128791651</v>
      </c>
      <c r="V41" s="1">
        <f t="shared" si="18"/>
        <v>0</v>
      </c>
      <c r="W41" s="1">
        <f t="shared" si="19"/>
        <v>0</v>
      </c>
      <c r="X41" s="1">
        <f t="shared" si="20"/>
        <v>0</v>
      </c>
      <c r="Y41" s="1" t="e">
        <f t="shared" si="21"/>
        <v>#DIV/0!</v>
      </c>
      <c r="AA41" s="1">
        <f t="shared" si="22"/>
        <v>0.27896568871208355</v>
      </c>
      <c r="AB41" s="1">
        <f t="shared" si="23"/>
        <v>1</v>
      </c>
      <c r="AC41" s="1">
        <f t="shared" si="24"/>
        <v>1</v>
      </c>
      <c r="AD41" s="1">
        <f t="shared" si="25"/>
        <v>1</v>
      </c>
      <c r="AE41" s="1" t="e">
        <f t="shared" si="26"/>
        <v>#DIV/0!</v>
      </c>
      <c r="AG41" s="2">
        <v>24.610469926804715</v>
      </c>
      <c r="AH41" s="2">
        <v>12.518898404804636</v>
      </c>
      <c r="AI41" s="2">
        <v>0.42732688280455822</v>
      </c>
      <c r="AJ41" s="2">
        <v>0</v>
      </c>
      <c r="AK41" s="2">
        <v>0</v>
      </c>
      <c r="AM41" s="1">
        <f t="shared" si="32"/>
        <v>1.6068549143136539</v>
      </c>
      <c r="AN41" s="1">
        <f t="shared" si="33"/>
        <v>0</v>
      </c>
      <c r="AO41" s="1">
        <f t="shared" si="34"/>
        <v>0</v>
      </c>
      <c r="AP41" s="1" t="e">
        <f t="shared" si="35"/>
        <v>#DIV/0!</v>
      </c>
      <c r="AQ41" s="1" t="e">
        <f t="shared" si="36"/>
        <v>#DIV/0!</v>
      </c>
      <c r="AS41" s="1">
        <f t="shared" si="37"/>
        <v>0.62168662546893783</v>
      </c>
      <c r="AT41" s="1">
        <f t="shared" si="38"/>
        <v>2.4443045234919398</v>
      </c>
      <c r="AU41" s="1">
        <f t="shared" si="39"/>
        <v>38.144101520182041</v>
      </c>
      <c r="AV41" s="1" t="e">
        <f t="shared" si="40"/>
        <v>#DIV/0!</v>
      </c>
      <c r="AW41" s="1" t="e">
        <f t="shared" si="41"/>
        <v>#DIV/0!</v>
      </c>
    </row>
    <row r="42" spans="2:49" x14ac:dyDescent="0.15">
      <c r="B42" s="2">
        <v>38</v>
      </c>
      <c r="C42" s="2">
        <v>42.272727272727266</v>
      </c>
      <c r="D42" s="2">
        <v>0</v>
      </c>
      <c r="E42" s="2">
        <v>0</v>
      </c>
      <c r="F42" s="2">
        <v>0</v>
      </c>
      <c r="G42" s="2">
        <v>0</v>
      </c>
      <c r="I42" s="2">
        <v>15.45</v>
      </c>
      <c r="J42" s="2">
        <v>30.9</v>
      </c>
      <c r="K42" s="2">
        <v>16.95</v>
      </c>
      <c r="L42" s="2">
        <v>0.75</v>
      </c>
      <c r="M42" s="2">
        <v>0</v>
      </c>
      <c r="O42" s="3">
        <f t="shared" si="27"/>
        <v>57.722727272727269</v>
      </c>
      <c r="P42" s="3">
        <f t="shared" si="28"/>
        <v>30.9</v>
      </c>
      <c r="Q42" s="3">
        <f t="shared" si="29"/>
        <v>16.95</v>
      </c>
      <c r="R42" s="3">
        <f t="shared" si="30"/>
        <v>0.75</v>
      </c>
      <c r="S42" s="3">
        <f t="shared" si="31"/>
        <v>0</v>
      </c>
      <c r="U42" s="1">
        <f t="shared" si="17"/>
        <v>0.73234112922277339</v>
      </c>
      <c r="V42" s="1">
        <f t="shared" si="18"/>
        <v>0</v>
      </c>
      <c r="W42" s="1">
        <f t="shared" si="19"/>
        <v>0</v>
      </c>
      <c r="X42" s="1">
        <f t="shared" si="20"/>
        <v>0</v>
      </c>
      <c r="Y42" s="1" t="e">
        <f t="shared" si="21"/>
        <v>#DIV/0!</v>
      </c>
      <c r="AA42" s="1">
        <f t="shared" si="22"/>
        <v>0.26765887077722655</v>
      </c>
      <c r="AB42" s="1">
        <f t="shared" si="23"/>
        <v>1</v>
      </c>
      <c r="AC42" s="1">
        <f t="shared" si="24"/>
        <v>1</v>
      </c>
      <c r="AD42" s="1">
        <f t="shared" si="25"/>
        <v>1</v>
      </c>
      <c r="AE42" s="1" t="e">
        <f t="shared" si="26"/>
        <v>#DIV/0!</v>
      </c>
      <c r="AG42" s="2">
        <v>28.148828507200658</v>
      </c>
      <c r="AH42" s="2">
        <v>14.518840211115387</v>
      </c>
      <c r="AI42" s="2">
        <v>0.88885191503011618</v>
      </c>
      <c r="AJ42" s="2">
        <v>0</v>
      </c>
      <c r="AK42" s="2">
        <v>0</v>
      </c>
      <c r="AM42" s="1">
        <f t="shared" si="32"/>
        <v>1.5017579599063464</v>
      </c>
      <c r="AN42" s="1">
        <f t="shared" si="33"/>
        <v>0</v>
      </c>
      <c r="AO42" s="1">
        <f t="shared" si="34"/>
        <v>0</v>
      </c>
      <c r="AP42" s="1" t="e">
        <f t="shared" si="35"/>
        <v>#DIV/0!</v>
      </c>
      <c r="AQ42" s="1" t="e">
        <f t="shared" si="36"/>
        <v>#DIV/0!</v>
      </c>
      <c r="AS42" s="1">
        <f t="shared" si="37"/>
        <v>0.54886831244319056</v>
      </c>
      <c r="AT42" s="1">
        <f t="shared" si="38"/>
        <v>2.1282691696230298</v>
      </c>
      <c r="AU42" s="1">
        <f t="shared" si="39"/>
        <v>19.069543208922148</v>
      </c>
      <c r="AV42" s="1" t="e">
        <f t="shared" si="40"/>
        <v>#DIV/0!</v>
      </c>
      <c r="AW42" s="1" t="e">
        <f t="shared" si="41"/>
        <v>#DIV/0!</v>
      </c>
    </row>
    <row r="43" spans="2:49" x14ac:dyDescent="0.15">
      <c r="B43" s="2">
        <v>39</v>
      </c>
      <c r="C43" s="2">
        <v>45</v>
      </c>
      <c r="D43" s="2">
        <v>0</v>
      </c>
      <c r="E43" s="2">
        <v>0</v>
      </c>
      <c r="F43" s="2">
        <v>0</v>
      </c>
      <c r="G43" s="2">
        <v>0</v>
      </c>
      <c r="I43" s="2">
        <v>15.6</v>
      </c>
      <c r="J43" s="2">
        <v>31.2</v>
      </c>
      <c r="K43" s="2">
        <v>17.600000000000001</v>
      </c>
      <c r="L43" s="2">
        <v>1</v>
      </c>
      <c r="M43" s="2">
        <v>0</v>
      </c>
      <c r="O43" s="3">
        <f t="shared" si="27"/>
        <v>60.6</v>
      </c>
      <c r="P43" s="3">
        <f t="shared" si="28"/>
        <v>31.2</v>
      </c>
      <c r="Q43" s="3">
        <f t="shared" si="29"/>
        <v>17.600000000000001</v>
      </c>
      <c r="R43" s="3">
        <f t="shared" si="30"/>
        <v>1</v>
      </c>
      <c r="S43" s="3">
        <f t="shared" si="31"/>
        <v>0</v>
      </c>
      <c r="U43" s="1">
        <f t="shared" si="17"/>
        <v>0.74257425742574257</v>
      </c>
      <c r="V43" s="1">
        <f t="shared" si="18"/>
        <v>0</v>
      </c>
      <c r="W43" s="1">
        <f t="shared" si="19"/>
        <v>0</v>
      </c>
      <c r="X43" s="1">
        <f t="shared" si="20"/>
        <v>0</v>
      </c>
      <c r="Y43" s="1" t="e">
        <f t="shared" si="21"/>
        <v>#DIV/0!</v>
      </c>
      <c r="AA43" s="1">
        <f t="shared" si="22"/>
        <v>0.25742574257425743</v>
      </c>
      <c r="AB43" s="1">
        <f t="shared" si="23"/>
        <v>1</v>
      </c>
      <c r="AC43" s="1">
        <f t="shared" si="24"/>
        <v>1</v>
      </c>
      <c r="AD43" s="1">
        <f t="shared" si="25"/>
        <v>1</v>
      </c>
      <c r="AE43" s="1" t="e">
        <f t="shared" si="26"/>
        <v>#DIV/0!</v>
      </c>
      <c r="AG43" s="2">
        <v>32.064689247464251</v>
      </c>
      <c r="AH43" s="2">
        <v>16.803092309602484</v>
      </c>
      <c r="AI43" s="2">
        <v>1.5414953717407154</v>
      </c>
      <c r="AJ43" s="2">
        <v>0</v>
      </c>
      <c r="AK43" s="2">
        <v>0</v>
      </c>
      <c r="AM43" s="1">
        <f t="shared" si="32"/>
        <v>1.4034129460200118</v>
      </c>
      <c r="AN43" s="1">
        <f t="shared" si="33"/>
        <v>0</v>
      </c>
      <c r="AO43" s="1">
        <f t="shared" si="34"/>
        <v>0</v>
      </c>
      <c r="AP43" s="1" t="e">
        <f t="shared" si="35"/>
        <v>#DIV/0!</v>
      </c>
      <c r="AQ43" s="1" t="e">
        <f t="shared" si="36"/>
        <v>#DIV/0!</v>
      </c>
      <c r="AS43" s="1">
        <f t="shared" si="37"/>
        <v>0.48651648795360408</v>
      </c>
      <c r="AT43" s="1">
        <f t="shared" si="38"/>
        <v>1.8568010831060004</v>
      </c>
      <c r="AU43" s="1">
        <f t="shared" si="39"/>
        <v>11.417484815491473</v>
      </c>
      <c r="AV43" s="1" t="e">
        <f t="shared" si="40"/>
        <v>#DIV/0!</v>
      </c>
      <c r="AW43" s="1" t="e">
        <f t="shared" si="41"/>
        <v>#DIV/0!</v>
      </c>
    </row>
    <row r="44" spans="2:49" x14ac:dyDescent="0.15">
      <c r="B44" s="2">
        <v>40</v>
      </c>
      <c r="C44" s="2">
        <v>45</v>
      </c>
      <c r="D44" s="2">
        <v>4.4444444444444446</v>
      </c>
      <c r="E44" s="2">
        <v>0</v>
      </c>
      <c r="F44" s="2">
        <v>0</v>
      </c>
      <c r="G44" s="2">
        <v>0</v>
      </c>
      <c r="I44" s="2">
        <v>15.75</v>
      </c>
      <c r="J44" s="2">
        <v>31.5</v>
      </c>
      <c r="K44" s="2">
        <v>18.25</v>
      </c>
      <c r="L44" s="2">
        <v>1.25</v>
      </c>
      <c r="M44" s="2">
        <v>0</v>
      </c>
      <c r="O44" s="3">
        <f t="shared" si="27"/>
        <v>60.75</v>
      </c>
      <c r="P44" s="3">
        <f t="shared" si="28"/>
        <v>35.944444444444443</v>
      </c>
      <c r="Q44" s="3">
        <f t="shared" si="29"/>
        <v>18.25</v>
      </c>
      <c r="R44" s="3">
        <f t="shared" si="30"/>
        <v>1.25</v>
      </c>
      <c r="S44" s="3">
        <f t="shared" si="31"/>
        <v>0</v>
      </c>
      <c r="U44" s="1">
        <f t="shared" si="17"/>
        <v>0.7407407407407407</v>
      </c>
      <c r="V44" s="1">
        <f t="shared" si="18"/>
        <v>0.12364760432766617</v>
      </c>
      <c r="W44" s="1">
        <f t="shared" si="19"/>
        <v>0</v>
      </c>
      <c r="X44" s="1">
        <f t="shared" si="20"/>
        <v>0</v>
      </c>
      <c r="Y44" s="1" t="e">
        <f t="shared" si="21"/>
        <v>#DIV/0!</v>
      </c>
      <c r="AA44" s="1">
        <f t="shared" si="22"/>
        <v>0.25925925925925924</v>
      </c>
      <c r="AB44" s="1">
        <f t="shared" si="23"/>
        <v>0.87635239567233392</v>
      </c>
      <c r="AC44" s="1">
        <f t="shared" si="24"/>
        <v>1</v>
      </c>
      <c r="AD44" s="1">
        <f t="shared" si="25"/>
        <v>1</v>
      </c>
      <c r="AE44" s="1" t="e">
        <f t="shared" si="26"/>
        <v>#DIV/0!</v>
      </c>
      <c r="AG44" s="2">
        <v>36.393412278694825</v>
      </c>
      <c r="AH44" s="2">
        <v>19.400326128340829</v>
      </c>
      <c r="AI44" s="2">
        <v>2.4072399779868308</v>
      </c>
      <c r="AJ44" s="2">
        <v>0</v>
      </c>
      <c r="AK44" s="2">
        <v>0</v>
      </c>
      <c r="AM44" s="1">
        <f t="shared" si="32"/>
        <v>1.2364875174495134</v>
      </c>
      <c r="AN44" s="1">
        <f t="shared" si="33"/>
        <v>0.22909122326308781</v>
      </c>
      <c r="AO44" s="1">
        <f t="shared" si="34"/>
        <v>0</v>
      </c>
      <c r="AP44" s="1" t="e">
        <f t="shared" si="35"/>
        <v>#DIV/0!</v>
      </c>
      <c r="AQ44" s="1" t="e">
        <f t="shared" si="36"/>
        <v>#DIV/0!</v>
      </c>
      <c r="AS44" s="1">
        <f t="shared" si="37"/>
        <v>0.43277063110732966</v>
      </c>
      <c r="AT44" s="1">
        <f t="shared" si="38"/>
        <v>1.6236840448771348</v>
      </c>
      <c r="AU44" s="1">
        <f t="shared" si="39"/>
        <v>7.5812964917865946</v>
      </c>
      <c r="AV44" s="1" t="e">
        <f t="shared" si="40"/>
        <v>#DIV/0!</v>
      </c>
      <c r="AW44" s="1" t="e">
        <f t="shared" si="41"/>
        <v>#DIV/0!</v>
      </c>
    </row>
    <row r="45" spans="2:49" x14ac:dyDescent="0.15">
      <c r="B45" s="2">
        <v>41</v>
      </c>
      <c r="C45" s="2">
        <v>45</v>
      </c>
      <c r="D45" s="2">
        <v>8.8888888888888893</v>
      </c>
      <c r="E45" s="2">
        <v>0</v>
      </c>
      <c r="F45" s="2">
        <v>0</v>
      </c>
      <c r="G45" s="2">
        <v>0</v>
      </c>
      <c r="I45" s="2">
        <v>15.9</v>
      </c>
      <c r="J45" s="2">
        <v>31.8</v>
      </c>
      <c r="K45" s="2">
        <v>18.899999999999999</v>
      </c>
      <c r="L45" s="2">
        <v>1.5</v>
      </c>
      <c r="M45" s="2">
        <v>0</v>
      </c>
      <c r="O45" s="3">
        <f t="shared" si="27"/>
        <v>60.9</v>
      </c>
      <c r="P45" s="3">
        <f t="shared" si="28"/>
        <v>40.68888888888889</v>
      </c>
      <c r="Q45" s="3">
        <f t="shared" si="29"/>
        <v>18.899999999999999</v>
      </c>
      <c r="R45" s="3">
        <f t="shared" si="30"/>
        <v>1.5</v>
      </c>
      <c r="S45" s="3">
        <f t="shared" si="31"/>
        <v>0</v>
      </c>
      <c r="U45" s="1">
        <f t="shared" si="17"/>
        <v>0.73891625615763545</v>
      </c>
      <c r="V45" s="1">
        <f t="shared" si="18"/>
        <v>0.2184598580010923</v>
      </c>
      <c r="W45" s="1">
        <f t="shared" si="19"/>
        <v>0</v>
      </c>
      <c r="X45" s="1">
        <f t="shared" si="20"/>
        <v>0</v>
      </c>
      <c r="Y45" s="1" t="e">
        <f t="shared" si="21"/>
        <v>#DIV/0!</v>
      </c>
      <c r="AA45" s="1">
        <f t="shared" si="22"/>
        <v>0.26108374384236455</v>
      </c>
      <c r="AB45" s="1">
        <f t="shared" si="23"/>
        <v>0.78154014199890764</v>
      </c>
      <c r="AC45" s="1">
        <f t="shared" si="24"/>
        <v>1</v>
      </c>
      <c r="AD45" s="1">
        <f t="shared" si="25"/>
        <v>1</v>
      </c>
      <c r="AE45" s="1" t="e">
        <f t="shared" si="26"/>
        <v>#DIV/0!</v>
      </c>
      <c r="AG45" s="2">
        <v>41.081685600596018</v>
      </c>
      <c r="AH45" s="2">
        <v>22.250060892633712</v>
      </c>
      <c r="AI45" s="2">
        <v>3.372472720731194</v>
      </c>
      <c r="AJ45" s="2">
        <v>0</v>
      </c>
      <c r="AK45" s="2">
        <v>0</v>
      </c>
      <c r="AM45" s="1">
        <f t="shared" si="32"/>
        <v>1.0953786180415912</v>
      </c>
      <c r="AN45" s="1">
        <f t="shared" si="33"/>
        <v>0.39949953089034995</v>
      </c>
      <c r="AO45" s="1">
        <f t="shared" si="34"/>
        <v>0</v>
      </c>
      <c r="AP45" s="1" t="e">
        <f t="shared" si="35"/>
        <v>#DIV/0!</v>
      </c>
      <c r="AQ45" s="1" t="e">
        <f t="shared" si="36"/>
        <v>#DIV/0!</v>
      </c>
      <c r="AS45" s="1">
        <f t="shared" si="37"/>
        <v>0.38703377837469555</v>
      </c>
      <c r="AT45" s="1">
        <f t="shared" si="38"/>
        <v>1.4292095717602269</v>
      </c>
      <c r="AU45" s="1">
        <f t="shared" si="39"/>
        <v>5.6041965540057044</v>
      </c>
      <c r="AV45" s="1" t="e">
        <f t="shared" si="40"/>
        <v>#DIV/0!</v>
      </c>
      <c r="AW45" s="1" t="e">
        <f t="shared" si="41"/>
        <v>#DIV/0!</v>
      </c>
    </row>
    <row r="46" spans="2:49" x14ac:dyDescent="0.15">
      <c r="B46" s="2">
        <v>42</v>
      </c>
      <c r="C46" s="2">
        <v>45</v>
      </c>
      <c r="D46" s="2">
        <v>13.333333333333334</v>
      </c>
      <c r="E46" s="2">
        <v>0</v>
      </c>
      <c r="F46" s="2">
        <v>0</v>
      </c>
      <c r="G46" s="2">
        <v>0</v>
      </c>
      <c r="I46" s="2">
        <v>16.05</v>
      </c>
      <c r="J46" s="2">
        <v>32.1</v>
      </c>
      <c r="K46" s="2">
        <v>19.55</v>
      </c>
      <c r="L46" s="2">
        <v>1.75</v>
      </c>
      <c r="M46" s="2">
        <v>0</v>
      </c>
      <c r="O46" s="3">
        <f t="shared" si="27"/>
        <v>61.05</v>
      </c>
      <c r="P46" s="3">
        <f t="shared" si="28"/>
        <v>45.433333333333337</v>
      </c>
      <c r="Q46" s="3">
        <f t="shared" si="29"/>
        <v>19.55</v>
      </c>
      <c r="R46" s="3">
        <f t="shared" si="30"/>
        <v>1.75</v>
      </c>
      <c r="S46" s="3">
        <f t="shared" si="31"/>
        <v>0</v>
      </c>
      <c r="U46" s="1">
        <f t="shared" si="17"/>
        <v>0.73710073710073709</v>
      </c>
      <c r="V46" s="1">
        <f t="shared" si="18"/>
        <v>0.29347028613352899</v>
      </c>
      <c r="W46" s="1">
        <f t="shared" si="19"/>
        <v>0</v>
      </c>
      <c r="X46" s="1">
        <f t="shared" si="20"/>
        <v>0</v>
      </c>
      <c r="Y46" s="1" t="e">
        <f t="shared" si="21"/>
        <v>#DIV/0!</v>
      </c>
      <c r="AA46" s="1">
        <f t="shared" si="22"/>
        <v>0.26289926289926291</v>
      </c>
      <c r="AB46" s="1">
        <f t="shared" si="23"/>
        <v>0.70652971386647101</v>
      </c>
      <c r="AC46" s="1">
        <f t="shared" si="24"/>
        <v>1</v>
      </c>
      <c r="AD46" s="1">
        <f t="shared" si="25"/>
        <v>1</v>
      </c>
      <c r="AE46" s="1" t="e">
        <f t="shared" si="26"/>
        <v>#DIV/0!</v>
      </c>
      <c r="AG46" s="2">
        <v>46.160190733298705</v>
      </c>
      <c r="AH46" s="2">
        <v>25.375294820450748</v>
      </c>
      <c r="AI46" s="2">
        <v>4.4467718834183003</v>
      </c>
      <c r="AJ46" s="2">
        <v>0</v>
      </c>
      <c r="AK46" s="2">
        <v>0</v>
      </c>
      <c r="AM46" s="1">
        <f t="shared" si="32"/>
        <v>0.97486598918098111</v>
      </c>
      <c r="AN46" s="1">
        <f t="shared" si="33"/>
        <v>0.52544545502531781</v>
      </c>
      <c r="AO46" s="1">
        <f t="shared" si="34"/>
        <v>0</v>
      </c>
      <c r="AP46" s="1" t="e">
        <f t="shared" si="35"/>
        <v>#DIV/0!</v>
      </c>
      <c r="AQ46" s="1" t="e">
        <f t="shared" si="36"/>
        <v>#DIV/0!</v>
      </c>
      <c r="AS46" s="1">
        <f t="shared" si="37"/>
        <v>0.34770220280788328</v>
      </c>
      <c r="AT46" s="1">
        <f t="shared" si="38"/>
        <v>1.2650099329734528</v>
      </c>
      <c r="AU46" s="1">
        <f t="shared" si="39"/>
        <v>4.3964476956644836</v>
      </c>
      <c r="AV46" s="1" t="e">
        <f t="shared" si="40"/>
        <v>#DIV/0!</v>
      </c>
      <c r="AW46" s="1" t="e">
        <f t="shared" si="41"/>
        <v>#DIV/0!</v>
      </c>
    </row>
    <row r="47" spans="2:49" x14ac:dyDescent="0.15">
      <c r="B47" s="2">
        <v>43</v>
      </c>
      <c r="C47" s="2">
        <v>45</v>
      </c>
      <c r="D47" s="2">
        <v>17.777777777777779</v>
      </c>
      <c r="E47" s="2">
        <v>0</v>
      </c>
      <c r="F47" s="2">
        <v>0</v>
      </c>
      <c r="G47" s="2">
        <v>0</v>
      </c>
      <c r="I47" s="2">
        <v>16.2</v>
      </c>
      <c r="J47" s="2">
        <v>32.4</v>
      </c>
      <c r="K47" s="2">
        <v>20.2</v>
      </c>
      <c r="L47" s="2">
        <v>2</v>
      </c>
      <c r="M47" s="2">
        <v>0</v>
      </c>
      <c r="O47" s="3">
        <f t="shared" si="27"/>
        <v>61.2</v>
      </c>
      <c r="P47" s="3">
        <f t="shared" si="28"/>
        <v>50.177777777777777</v>
      </c>
      <c r="Q47" s="3">
        <f t="shared" si="29"/>
        <v>20.2</v>
      </c>
      <c r="R47" s="3">
        <f t="shared" si="30"/>
        <v>2</v>
      </c>
      <c r="S47" s="3">
        <f t="shared" si="31"/>
        <v>0</v>
      </c>
      <c r="U47" s="1">
        <f t="shared" si="17"/>
        <v>0.73529411764705876</v>
      </c>
      <c r="V47" s="1">
        <f t="shared" si="18"/>
        <v>0.35429583702391498</v>
      </c>
      <c r="W47" s="1">
        <f t="shared" si="19"/>
        <v>0</v>
      </c>
      <c r="X47" s="1">
        <f t="shared" si="20"/>
        <v>0</v>
      </c>
      <c r="Y47" s="1" t="e">
        <f t="shared" si="21"/>
        <v>#DIV/0!</v>
      </c>
      <c r="AA47" s="1">
        <f t="shared" si="22"/>
        <v>0.26470588235294118</v>
      </c>
      <c r="AB47" s="1">
        <f t="shared" si="23"/>
        <v>0.64570416297608502</v>
      </c>
      <c r="AC47" s="1">
        <f t="shared" si="24"/>
        <v>1</v>
      </c>
      <c r="AD47" s="1">
        <f t="shared" si="25"/>
        <v>1</v>
      </c>
      <c r="AE47" s="1" t="e">
        <f t="shared" si="26"/>
        <v>#DIV/0!</v>
      </c>
      <c r="AG47" s="2">
        <v>51.662223053837344</v>
      </c>
      <c r="AH47" s="2">
        <v>28.801088529465371</v>
      </c>
      <c r="AI47" s="2">
        <v>5.6406090850446091</v>
      </c>
      <c r="AJ47" s="2">
        <v>0</v>
      </c>
      <c r="AK47" s="2">
        <v>0</v>
      </c>
      <c r="AM47" s="1">
        <f t="shared" si="32"/>
        <v>0.87104265631591926</v>
      </c>
      <c r="AN47" s="1">
        <f t="shared" si="33"/>
        <v>0.61726062053487896</v>
      </c>
      <c r="AO47" s="1">
        <f t="shared" si="34"/>
        <v>0</v>
      </c>
      <c r="AP47" s="1" t="e">
        <f t="shared" si="35"/>
        <v>#DIV/0!</v>
      </c>
      <c r="AQ47" s="1" t="e">
        <f t="shared" si="36"/>
        <v>#DIV/0!</v>
      </c>
      <c r="AS47" s="1">
        <f t="shared" si="37"/>
        <v>0.3135753562737309</v>
      </c>
      <c r="AT47" s="1">
        <f t="shared" si="38"/>
        <v>1.1249574809248168</v>
      </c>
      <c r="AU47" s="1">
        <f t="shared" si="39"/>
        <v>3.5811735391409854</v>
      </c>
      <c r="AV47" s="1" t="e">
        <f t="shared" si="40"/>
        <v>#DIV/0!</v>
      </c>
      <c r="AW47" s="1" t="e">
        <f t="shared" si="41"/>
        <v>#DIV/0!</v>
      </c>
    </row>
    <row r="48" spans="2:49" x14ac:dyDescent="0.15">
      <c r="B48" s="2">
        <v>44</v>
      </c>
      <c r="C48" s="2">
        <v>45</v>
      </c>
      <c r="D48" s="2">
        <v>22.222222222222221</v>
      </c>
      <c r="E48" s="2">
        <v>0</v>
      </c>
      <c r="F48" s="2">
        <v>0</v>
      </c>
      <c r="G48" s="2">
        <v>0</v>
      </c>
      <c r="I48" s="2">
        <v>16.350000000000001</v>
      </c>
      <c r="J48" s="2">
        <v>32.700000000000003</v>
      </c>
      <c r="K48" s="2">
        <v>20.85</v>
      </c>
      <c r="L48" s="2">
        <v>2.25</v>
      </c>
      <c r="M48" s="2">
        <v>0</v>
      </c>
      <c r="O48" s="3">
        <f t="shared" si="27"/>
        <v>61.35</v>
      </c>
      <c r="P48" s="3">
        <f t="shared" si="28"/>
        <v>54.922222222222224</v>
      </c>
      <c r="Q48" s="3">
        <f t="shared" si="29"/>
        <v>20.85</v>
      </c>
      <c r="R48" s="3">
        <f t="shared" si="30"/>
        <v>2.25</v>
      </c>
      <c r="S48" s="3">
        <f t="shared" si="31"/>
        <v>0</v>
      </c>
      <c r="U48" s="1">
        <f t="shared" si="17"/>
        <v>0.73349633251833735</v>
      </c>
      <c r="V48" s="1">
        <f t="shared" si="18"/>
        <v>0.40461258345134532</v>
      </c>
      <c r="W48" s="1">
        <f t="shared" si="19"/>
        <v>0</v>
      </c>
      <c r="X48" s="1">
        <f t="shared" si="20"/>
        <v>0</v>
      </c>
      <c r="Y48" s="1" t="e">
        <f t="shared" si="21"/>
        <v>#DIV/0!</v>
      </c>
      <c r="AA48" s="1">
        <f t="shared" si="22"/>
        <v>0.2665036674816626</v>
      </c>
      <c r="AB48" s="1">
        <f t="shared" si="23"/>
        <v>0.59538741654865468</v>
      </c>
      <c r="AC48" s="1">
        <f t="shared" si="24"/>
        <v>1</v>
      </c>
      <c r="AD48" s="1">
        <f t="shared" si="25"/>
        <v>1</v>
      </c>
      <c r="AE48" s="1" t="e">
        <f t="shared" si="26"/>
        <v>#DIV/0!</v>
      </c>
      <c r="AG48" s="2">
        <v>57.623908953570336</v>
      </c>
      <c r="AH48" s="2">
        <v>32.554742614482443</v>
      </c>
      <c r="AI48" s="2">
        <v>6.9654281738741632</v>
      </c>
      <c r="AJ48" s="2">
        <v>0</v>
      </c>
      <c r="AK48" s="2">
        <v>0</v>
      </c>
      <c r="AM48" s="1">
        <f t="shared" si="32"/>
        <v>0.78092584861360459</v>
      </c>
      <c r="AN48" s="1">
        <f t="shared" si="33"/>
        <v>0.68261090205444741</v>
      </c>
      <c r="AO48" s="1">
        <f t="shared" si="34"/>
        <v>0</v>
      </c>
      <c r="AP48" s="1" t="e">
        <f t="shared" si="35"/>
        <v>#DIV/0!</v>
      </c>
      <c r="AQ48" s="1" t="e">
        <f t="shared" si="36"/>
        <v>#DIV/0!</v>
      </c>
      <c r="AS48" s="1">
        <f t="shared" si="37"/>
        <v>0.28373639166294301</v>
      </c>
      <c r="AT48" s="1">
        <f t="shared" si="38"/>
        <v>1.0044619423731196</v>
      </c>
      <c r="AU48" s="1">
        <f t="shared" si="39"/>
        <v>2.9933551074726328</v>
      </c>
      <c r="AV48" s="1" t="e">
        <f t="shared" si="40"/>
        <v>#DIV/0!</v>
      </c>
      <c r="AW48" s="1" t="e">
        <f t="shared" si="41"/>
        <v>#DIV/0!</v>
      </c>
    </row>
    <row r="49" spans="2:49" x14ac:dyDescent="0.15">
      <c r="B49" s="2">
        <v>45</v>
      </c>
      <c r="C49" s="2">
        <v>45</v>
      </c>
      <c r="D49" s="2">
        <v>26.666666666666668</v>
      </c>
      <c r="E49" s="2">
        <v>0</v>
      </c>
      <c r="F49" s="2">
        <v>0</v>
      </c>
      <c r="G49" s="2">
        <v>0</v>
      </c>
      <c r="I49" s="2">
        <v>16.5</v>
      </c>
      <c r="J49" s="2">
        <v>33</v>
      </c>
      <c r="K49" s="2">
        <v>21.5</v>
      </c>
      <c r="L49" s="2">
        <v>2.5</v>
      </c>
      <c r="M49" s="2">
        <v>0</v>
      </c>
      <c r="O49" s="3">
        <f t="shared" si="27"/>
        <v>61.5</v>
      </c>
      <c r="P49" s="3">
        <f t="shared" si="28"/>
        <v>59.666666666666671</v>
      </c>
      <c r="Q49" s="3">
        <f t="shared" si="29"/>
        <v>21.5</v>
      </c>
      <c r="R49" s="3">
        <f t="shared" si="30"/>
        <v>2.5</v>
      </c>
      <c r="S49" s="3">
        <f t="shared" si="31"/>
        <v>0</v>
      </c>
      <c r="U49" s="1">
        <f t="shared" si="17"/>
        <v>0.73170731707317072</v>
      </c>
      <c r="V49" s="1">
        <f t="shared" si="18"/>
        <v>0.44692737430167595</v>
      </c>
      <c r="W49" s="1">
        <f t="shared" si="19"/>
        <v>0</v>
      </c>
      <c r="X49" s="1">
        <f t="shared" si="20"/>
        <v>0</v>
      </c>
      <c r="Y49" s="1" t="e">
        <f t="shared" si="21"/>
        <v>#DIV/0!</v>
      </c>
      <c r="AA49" s="1">
        <f t="shared" si="22"/>
        <v>0.26829268292682928</v>
      </c>
      <c r="AB49" s="1">
        <f t="shared" si="23"/>
        <v>0.55307262569832394</v>
      </c>
      <c r="AC49" s="1">
        <f t="shared" si="24"/>
        <v>1</v>
      </c>
      <c r="AD49" s="1">
        <f t="shared" si="25"/>
        <v>1</v>
      </c>
      <c r="AE49" s="1" t="e">
        <f t="shared" si="26"/>
        <v>#DIV/0!</v>
      </c>
      <c r="AG49" s="2">
        <v>64.084440702779418</v>
      </c>
      <c r="AH49" s="2">
        <v>36.665990091251864</v>
      </c>
      <c r="AI49" s="2">
        <v>8.4337308441489558</v>
      </c>
      <c r="AJ49" s="2">
        <v>0</v>
      </c>
      <c r="AK49" s="2">
        <v>0</v>
      </c>
      <c r="AM49" s="1">
        <f t="shared" si="32"/>
        <v>0.70219852910487046</v>
      </c>
      <c r="AN49" s="1">
        <f t="shared" si="33"/>
        <v>0.72728614719800155</v>
      </c>
      <c r="AO49" s="1">
        <f t="shared" si="34"/>
        <v>0</v>
      </c>
      <c r="AP49" s="1" t="e">
        <f t="shared" si="35"/>
        <v>#DIV/0!</v>
      </c>
      <c r="AQ49" s="1" t="e">
        <f t="shared" si="36"/>
        <v>#DIV/0!</v>
      </c>
      <c r="AS49" s="1">
        <f t="shared" si="37"/>
        <v>0.25747279400511919</v>
      </c>
      <c r="AT49" s="1">
        <f t="shared" si="38"/>
        <v>0.90001660715752685</v>
      </c>
      <c r="AU49" s="1">
        <f t="shared" si="39"/>
        <v>2.5492869522764043</v>
      </c>
      <c r="AV49" s="1" t="e">
        <f t="shared" si="40"/>
        <v>#DIV/0!</v>
      </c>
      <c r="AW49" s="1" t="e">
        <f t="shared" si="41"/>
        <v>#DIV/0!</v>
      </c>
    </row>
    <row r="50" spans="2:49" x14ac:dyDescent="0.15">
      <c r="B50" s="2">
        <v>46</v>
      </c>
      <c r="C50" s="2">
        <v>45</v>
      </c>
      <c r="D50" s="2">
        <v>31.111111111111114</v>
      </c>
      <c r="E50" s="2">
        <v>0</v>
      </c>
      <c r="F50" s="2">
        <v>0</v>
      </c>
      <c r="G50" s="2">
        <v>0</v>
      </c>
      <c r="I50" s="2">
        <v>16.649999999999999</v>
      </c>
      <c r="J50" s="2">
        <v>33.299999999999997</v>
      </c>
      <c r="K50" s="2">
        <v>22.15</v>
      </c>
      <c r="L50" s="2">
        <v>2.75</v>
      </c>
      <c r="M50" s="2">
        <v>0</v>
      </c>
      <c r="O50" s="3">
        <f t="shared" si="27"/>
        <v>61.65</v>
      </c>
      <c r="P50" s="3">
        <f t="shared" si="28"/>
        <v>64.411111111111111</v>
      </c>
      <c r="Q50" s="3">
        <f t="shared" si="29"/>
        <v>22.15</v>
      </c>
      <c r="R50" s="3">
        <f t="shared" si="30"/>
        <v>2.75</v>
      </c>
      <c r="S50" s="3">
        <f t="shared" si="31"/>
        <v>0</v>
      </c>
      <c r="U50" s="1">
        <f t="shared" si="17"/>
        <v>0.72992700729927007</v>
      </c>
      <c r="V50" s="1">
        <f t="shared" si="18"/>
        <v>0.48300845264792136</v>
      </c>
      <c r="W50" s="1">
        <f t="shared" si="19"/>
        <v>0</v>
      </c>
      <c r="X50" s="1">
        <f t="shared" si="20"/>
        <v>0</v>
      </c>
      <c r="Y50" s="1" t="e">
        <f t="shared" si="21"/>
        <v>#DIV/0!</v>
      </c>
      <c r="AA50" s="1">
        <f t="shared" si="22"/>
        <v>0.27007299270072993</v>
      </c>
      <c r="AB50" s="1">
        <f t="shared" si="23"/>
        <v>0.51699154735207864</v>
      </c>
      <c r="AC50" s="1">
        <f t="shared" si="24"/>
        <v>1</v>
      </c>
      <c r="AD50" s="1">
        <f t="shared" si="25"/>
        <v>1</v>
      </c>
      <c r="AE50" s="1" t="e">
        <f t="shared" si="26"/>
        <v>#DIV/0!</v>
      </c>
      <c r="AG50" s="2">
        <v>71.086330445588217</v>
      </c>
      <c r="AH50" s="2">
        <v>41.16720492591466</v>
      </c>
      <c r="AI50" s="2">
        <v>10.059169534443855</v>
      </c>
      <c r="AJ50" s="2">
        <v>0</v>
      </c>
      <c r="AK50" s="2">
        <v>0</v>
      </c>
      <c r="AM50" s="1">
        <f t="shared" si="32"/>
        <v>0.63303309817693376</v>
      </c>
      <c r="AN50" s="1">
        <f t="shared" si="33"/>
        <v>0.75572561137194771</v>
      </c>
      <c r="AO50" s="1">
        <f t="shared" si="34"/>
        <v>0</v>
      </c>
      <c r="AP50" s="1" t="e">
        <f t="shared" si="35"/>
        <v>#DIV/0!</v>
      </c>
      <c r="AQ50" s="1" t="e">
        <f t="shared" si="36"/>
        <v>#DIV/0!</v>
      </c>
      <c r="AS50" s="1">
        <f t="shared" si="37"/>
        <v>0.23422224632546546</v>
      </c>
      <c r="AT50" s="1">
        <f t="shared" si="38"/>
        <v>0.80889630617204533</v>
      </c>
      <c r="AU50" s="1">
        <f t="shared" si="39"/>
        <v>2.2019710398711969</v>
      </c>
      <c r="AV50" s="1" t="e">
        <f t="shared" si="40"/>
        <v>#DIV/0!</v>
      </c>
      <c r="AW50" s="1" t="e">
        <f t="shared" si="41"/>
        <v>#DIV/0!</v>
      </c>
    </row>
    <row r="51" spans="2:49" x14ac:dyDescent="0.15">
      <c r="B51" s="2">
        <v>47</v>
      </c>
      <c r="C51" s="2">
        <v>45</v>
      </c>
      <c r="D51" s="2">
        <v>35.555555555555557</v>
      </c>
      <c r="E51" s="2">
        <v>0</v>
      </c>
      <c r="F51" s="2">
        <v>0</v>
      </c>
      <c r="G51" s="2">
        <v>0</v>
      </c>
      <c r="I51" s="2">
        <v>16.8</v>
      </c>
      <c r="J51" s="2">
        <v>33.6</v>
      </c>
      <c r="K51" s="2">
        <v>22.8</v>
      </c>
      <c r="L51" s="2">
        <v>3</v>
      </c>
      <c r="M51" s="2">
        <v>0</v>
      </c>
      <c r="O51" s="3">
        <f t="shared" si="27"/>
        <v>61.8</v>
      </c>
      <c r="P51" s="3">
        <f t="shared" si="28"/>
        <v>69.155555555555566</v>
      </c>
      <c r="Q51" s="3">
        <f t="shared" si="29"/>
        <v>22.8</v>
      </c>
      <c r="R51" s="3">
        <f t="shared" si="30"/>
        <v>3</v>
      </c>
      <c r="S51" s="3">
        <f t="shared" si="31"/>
        <v>0</v>
      </c>
      <c r="U51" s="1">
        <f t="shared" si="17"/>
        <v>0.72815533980582525</v>
      </c>
      <c r="V51" s="1">
        <f t="shared" si="18"/>
        <v>0.51413881748071977</v>
      </c>
      <c r="W51" s="1">
        <f t="shared" si="19"/>
        <v>0</v>
      </c>
      <c r="X51" s="1">
        <f t="shared" si="20"/>
        <v>0</v>
      </c>
      <c r="Y51" s="1" t="e">
        <f t="shared" si="21"/>
        <v>#DIV/0!</v>
      </c>
      <c r="AA51" s="1">
        <f t="shared" si="22"/>
        <v>0.2718446601941748</v>
      </c>
      <c r="AB51" s="1">
        <f t="shared" si="23"/>
        <v>0.48586118251928018</v>
      </c>
      <c r="AC51" s="1">
        <f t="shared" si="24"/>
        <v>1</v>
      </c>
      <c r="AD51" s="1">
        <f t="shared" si="25"/>
        <v>1</v>
      </c>
      <c r="AE51" s="1" t="e">
        <f t="shared" si="26"/>
        <v>#DIV/0!</v>
      </c>
      <c r="AG51" s="2">
        <v>78.675684861410105</v>
      </c>
      <c r="AH51" s="2">
        <v>46.09362796776395</v>
      </c>
      <c r="AI51" s="2">
        <v>11.856648211875354</v>
      </c>
      <c r="AJ51" s="2">
        <v>0</v>
      </c>
      <c r="AK51" s="2">
        <v>0</v>
      </c>
      <c r="AM51" s="1">
        <f t="shared" si="32"/>
        <v>0.57196832896045369</v>
      </c>
      <c r="AN51" s="1">
        <f t="shared" si="33"/>
        <v>0.77137680679901566</v>
      </c>
      <c r="AO51" s="1">
        <f t="shared" si="34"/>
        <v>0</v>
      </c>
      <c r="AP51" s="1" t="e">
        <f t="shared" si="35"/>
        <v>#DIV/0!</v>
      </c>
      <c r="AQ51" s="1" t="e">
        <f t="shared" si="36"/>
        <v>#DIV/0!</v>
      </c>
      <c r="AS51" s="1">
        <f t="shared" si="37"/>
        <v>0.21353484281190271</v>
      </c>
      <c r="AT51" s="1">
        <f t="shared" si="38"/>
        <v>0.72895108242506979</v>
      </c>
      <c r="AU51" s="1">
        <f t="shared" si="39"/>
        <v>1.9229717870151557</v>
      </c>
      <c r="AV51" s="1" t="e">
        <f t="shared" si="40"/>
        <v>#DIV/0!</v>
      </c>
      <c r="AW51" s="1" t="e">
        <f t="shared" si="41"/>
        <v>#DIV/0!</v>
      </c>
    </row>
    <row r="52" spans="2:49" x14ac:dyDescent="0.15">
      <c r="B52" s="2">
        <v>48</v>
      </c>
      <c r="C52" s="2">
        <v>45</v>
      </c>
      <c r="D52" s="2">
        <v>40</v>
      </c>
      <c r="E52" s="2">
        <v>0</v>
      </c>
      <c r="F52" s="2">
        <v>0</v>
      </c>
      <c r="G52" s="2">
        <v>0</v>
      </c>
      <c r="I52" s="2">
        <v>16.95</v>
      </c>
      <c r="J52" s="2">
        <v>33.9</v>
      </c>
      <c r="K52" s="2">
        <v>23.450000000000003</v>
      </c>
      <c r="L52" s="2">
        <v>3.25</v>
      </c>
      <c r="M52" s="2">
        <v>0</v>
      </c>
      <c r="O52" s="3">
        <f t="shared" si="27"/>
        <v>61.95</v>
      </c>
      <c r="P52" s="3">
        <f t="shared" si="28"/>
        <v>73.900000000000006</v>
      </c>
      <c r="Q52" s="3">
        <f t="shared" si="29"/>
        <v>23.450000000000003</v>
      </c>
      <c r="R52" s="3">
        <f t="shared" si="30"/>
        <v>3.25</v>
      </c>
      <c r="S52" s="3">
        <f t="shared" si="31"/>
        <v>0</v>
      </c>
      <c r="U52" s="1">
        <f t="shared" si="17"/>
        <v>0.72639225181598055</v>
      </c>
      <c r="V52" s="1">
        <f t="shared" si="18"/>
        <v>0.54127198917456021</v>
      </c>
      <c r="W52" s="1">
        <f t="shared" si="19"/>
        <v>0</v>
      </c>
      <c r="X52" s="1">
        <f t="shared" si="20"/>
        <v>0</v>
      </c>
      <c r="Y52" s="1" t="e">
        <f t="shared" si="21"/>
        <v>#DIV/0!</v>
      </c>
      <c r="AA52" s="1">
        <f t="shared" si="22"/>
        <v>0.27360774818401934</v>
      </c>
      <c r="AB52" s="1">
        <f t="shared" si="23"/>
        <v>0.45872801082543974</v>
      </c>
      <c r="AC52" s="1">
        <f t="shared" si="24"/>
        <v>1</v>
      </c>
      <c r="AD52" s="1">
        <f t="shared" si="25"/>
        <v>1</v>
      </c>
      <c r="AE52" s="1" t="e">
        <f t="shared" si="26"/>
        <v>#DIV/0!</v>
      </c>
      <c r="AG52" s="2">
        <v>86.902502151104244</v>
      </c>
      <c r="AH52" s="2">
        <v>51.4836117092877</v>
      </c>
      <c r="AI52" s="2">
        <v>13.84243169559463</v>
      </c>
      <c r="AJ52" s="2">
        <v>0</v>
      </c>
      <c r="AK52" s="2">
        <v>0</v>
      </c>
      <c r="AM52" s="1">
        <f t="shared" si="32"/>
        <v>0.51782168391141314</v>
      </c>
      <c r="AN52" s="1">
        <f t="shared" si="33"/>
        <v>0.77694626837502845</v>
      </c>
      <c r="AO52" s="1">
        <f t="shared" si="34"/>
        <v>0</v>
      </c>
      <c r="AP52" s="1" t="e">
        <f t="shared" si="35"/>
        <v>#DIV/0!</v>
      </c>
      <c r="AQ52" s="1" t="e">
        <f t="shared" si="36"/>
        <v>#DIV/0!</v>
      </c>
      <c r="AS52" s="1">
        <f t="shared" si="37"/>
        <v>0.19504616760663226</v>
      </c>
      <c r="AT52" s="1">
        <f t="shared" si="38"/>
        <v>0.65846196244783661</v>
      </c>
      <c r="AU52" s="1">
        <f t="shared" si="39"/>
        <v>1.6940665134336905</v>
      </c>
      <c r="AV52" s="1" t="e">
        <f t="shared" si="40"/>
        <v>#DIV/0!</v>
      </c>
      <c r="AW52" s="1" t="e">
        <f t="shared" si="41"/>
        <v>#DIV/0!</v>
      </c>
    </row>
    <row r="53" spans="2:49" x14ac:dyDescent="0.15">
      <c r="B53" s="2">
        <v>49</v>
      </c>
      <c r="C53" s="2">
        <v>45</v>
      </c>
      <c r="D53" s="2">
        <v>58.75</v>
      </c>
      <c r="E53" s="2">
        <v>0</v>
      </c>
      <c r="F53" s="2">
        <v>0</v>
      </c>
      <c r="G53" s="2">
        <v>0</v>
      </c>
      <c r="I53" s="2">
        <v>17.100000000000001</v>
      </c>
      <c r="J53" s="2">
        <v>34.200000000000003</v>
      </c>
      <c r="K53" s="2">
        <v>24.1</v>
      </c>
      <c r="L53" s="2">
        <v>3.5</v>
      </c>
      <c r="M53" s="2">
        <v>0</v>
      </c>
      <c r="O53" s="3">
        <f t="shared" si="27"/>
        <v>62.1</v>
      </c>
      <c r="P53" s="3">
        <f t="shared" si="28"/>
        <v>92.95</v>
      </c>
      <c r="Q53" s="3">
        <f t="shared" si="29"/>
        <v>24.1</v>
      </c>
      <c r="R53" s="3">
        <f t="shared" si="30"/>
        <v>3.5</v>
      </c>
      <c r="S53" s="3">
        <f t="shared" si="31"/>
        <v>0</v>
      </c>
      <c r="U53" s="1">
        <f t="shared" si="17"/>
        <v>0.72463768115942029</v>
      </c>
      <c r="V53" s="1">
        <f t="shared" si="18"/>
        <v>0.63206024744486278</v>
      </c>
      <c r="W53" s="1">
        <f t="shared" si="19"/>
        <v>0</v>
      </c>
      <c r="X53" s="1">
        <f t="shared" si="20"/>
        <v>0</v>
      </c>
      <c r="Y53" s="1" t="e">
        <f t="shared" si="21"/>
        <v>#DIV/0!</v>
      </c>
      <c r="AA53" s="1">
        <f t="shared" si="22"/>
        <v>0.27536231884057971</v>
      </c>
      <c r="AB53" s="1">
        <f t="shared" si="23"/>
        <v>0.36793975255513717</v>
      </c>
      <c r="AC53" s="1">
        <f t="shared" si="24"/>
        <v>1</v>
      </c>
      <c r="AD53" s="1">
        <f t="shared" si="25"/>
        <v>1</v>
      </c>
      <c r="AE53" s="1" t="e">
        <f t="shared" si="26"/>
        <v>#DIV/0!</v>
      </c>
      <c r="AG53" s="2">
        <v>95.820993137585575</v>
      </c>
      <c r="AH53" s="2">
        <v>57.378885412216043</v>
      </c>
      <c r="AI53" s="2">
        <v>16.034264226170553</v>
      </c>
      <c r="AJ53" s="2">
        <v>0</v>
      </c>
      <c r="AK53" s="2">
        <v>0</v>
      </c>
      <c r="AM53" s="1">
        <f t="shared" si="32"/>
        <v>0.46962568980459513</v>
      </c>
      <c r="AN53" s="1">
        <f t="shared" si="33"/>
        <v>1.0238958037949626</v>
      </c>
      <c r="AO53" s="1">
        <f t="shared" si="34"/>
        <v>0</v>
      </c>
      <c r="AP53" s="1" t="e">
        <f t="shared" si="35"/>
        <v>#DIV/0!</v>
      </c>
      <c r="AQ53" s="1" t="e">
        <f t="shared" si="36"/>
        <v>#DIV/0!</v>
      </c>
      <c r="AS53" s="1">
        <f t="shared" si="37"/>
        <v>0.17845776212574616</v>
      </c>
      <c r="AT53" s="1">
        <f t="shared" si="38"/>
        <v>0.59603806791128044</v>
      </c>
      <c r="AU53" s="1">
        <f t="shared" si="39"/>
        <v>1.5030312373588581</v>
      </c>
      <c r="AV53" s="1" t="e">
        <f t="shared" si="40"/>
        <v>#DIV/0!</v>
      </c>
      <c r="AW53" s="1" t="e">
        <f t="shared" si="41"/>
        <v>#DIV/0!</v>
      </c>
    </row>
    <row r="54" spans="2:49" x14ac:dyDescent="0.15">
      <c r="B54" s="2">
        <v>50</v>
      </c>
      <c r="C54" s="2">
        <v>45</v>
      </c>
      <c r="D54" s="2">
        <v>77.5</v>
      </c>
      <c r="E54" s="2">
        <v>0</v>
      </c>
      <c r="F54" s="2">
        <v>0</v>
      </c>
      <c r="G54" s="2">
        <v>0</v>
      </c>
      <c r="I54" s="2">
        <v>17.25</v>
      </c>
      <c r="J54" s="2">
        <v>34.5</v>
      </c>
      <c r="K54" s="2">
        <v>24.75</v>
      </c>
      <c r="L54" s="2">
        <v>3.75</v>
      </c>
      <c r="M54" s="2">
        <v>0</v>
      </c>
      <c r="O54" s="3">
        <f t="shared" si="27"/>
        <v>62.25</v>
      </c>
      <c r="P54" s="3">
        <f t="shared" si="28"/>
        <v>112</v>
      </c>
      <c r="Q54" s="3">
        <f t="shared" si="29"/>
        <v>24.75</v>
      </c>
      <c r="R54" s="3">
        <f t="shared" si="30"/>
        <v>3.75</v>
      </c>
      <c r="S54" s="3">
        <f t="shared" si="31"/>
        <v>0</v>
      </c>
      <c r="U54" s="1">
        <f t="shared" si="17"/>
        <v>0.72289156626506024</v>
      </c>
      <c r="V54" s="1">
        <f t="shared" si="18"/>
        <v>0.6919642857142857</v>
      </c>
      <c r="W54" s="1">
        <f t="shared" si="19"/>
        <v>0</v>
      </c>
      <c r="X54" s="1">
        <f t="shared" si="20"/>
        <v>0</v>
      </c>
      <c r="Y54" s="1" t="e">
        <f t="shared" si="21"/>
        <v>#DIV/0!</v>
      </c>
      <c r="AA54" s="1">
        <f t="shared" si="22"/>
        <v>0.27710843373493976</v>
      </c>
      <c r="AB54" s="1">
        <f t="shared" si="23"/>
        <v>0.3080357142857143</v>
      </c>
      <c r="AC54" s="1">
        <f t="shared" si="24"/>
        <v>1</v>
      </c>
      <c r="AD54" s="1">
        <f t="shared" si="25"/>
        <v>1</v>
      </c>
      <c r="AE54" s="1" t="e">
        <f t="shared" si="26"/>
        <v>#DIV/0!</v>
      </c>
      <c r="AG54" s="2">
        <v>105.48992841253893</v>
      </c>
      <c r="AH54" s="2">
        <v>63.824842262184944</v>
      </c>
      <c r="AI54" s="2">
        <v>18.451498044908892</v>
      </c>
      <c r="AJ54" s="2">
        <v>0</v>
      </c>
      <c r="AK54" s="2">
        <v>0</v>
      </c>
      <c r="AM54" s="1">
        <f t="shared" si="32"/>
        <v>0.42658100803726712</v>
      </c>
      <c r="AN54" s="1">
        <f t="shared" si="33"/>
        <v>1.2142607369343603</v>
      </c>
      <c r="AO54" s="1">
        <f t="shared" si="34"/>
        <v>0</v>
      </c>
      <c r="AP54" s="1" t="e">
        <f t="shared" si="35"/>
        <v>#DIV/0!</v>
      </c>
      <c r="AQ54" s="1" t="e">
        <f t="shared" si="36"/>
        <v>#DIV/0!</v>
      </c>
      <c r="AS54" s="1">
        <f t="shared" si="37"/>
        <v>0.16352271974761906</v>
      </c>
      <c r="AT54" s="1">
        <f t="shared" si="38"/>
        <v>0.54054187644174756</v>
      </c>
      <c r="AU54" s="1">
        <f t="shared" si="39"/>
        <v>1.3413545035617842</v>
      </c>
      <c r="AV54" s="1" t="e">
        <f t="shared" si="40"/>
        <v>#DIV/0!</v>
      </c>
      <c r="AW54" s="1" t="e">
        <f t="shared" si="41"/>
        <v>#DIV/0!</v>
      </c>
    </row>
    <row r="55" spans="2:49" x14ac:dyDescent="0.15">
      <c r="B55" s="2">
        <v>51</v>
      </c>
      <c r="C55" s="2">
        <v>45</v>
      </c>
      <c r="D55" s="2">
        <v>96.25</v>
      </c>
      <c r="E55" s="2">
        <v>0</v>
      </c>
      <c r="F55" s="2">
        <v>0</v>
      </c>
      <c r="G55" s="2">
        <v>0</v>
      </c>
      <c r="I55" s="2">
        <v>17.399999999999999</v>
      </c>
      <c r="J55" s="2">
        <v>34.799999999999997</v>
      </c>
      <c r="K55" s="2">
        <v>25.4</v>
      </c>
      <c r="L55" s="2">
        <v>4</v>
      </c>
      <c r="M55" s="2">
        <v>0</v>
      </c>
      <c r="O55" s="3">
        <f t="shared" si="27"/>
        <v>62.4</v>
      </c>
      <c r="P55" s="3">
        <f t="shared" si="28"/>
        <v>131.05000000000001</v>
      </c>
      <c r="Q55" s="3">
        <f t="shared" si="29"/>
        <v>25.4</v>
      </c>
      <c r="R55" s="3">
        <f t="shared" si="30"/>
        <v>4</v>
      </c>
      <c r="S55" s="3">
        <f t="shared" si="31"/>
        <v>0</v>
      </c>
      <c r="U55" s="1">
        <f t="shared" si="17"/>
        <v>0.72115384615384615</v>
      </c>
      <c r="V55" s="1">
        <f t="shared" si="18"/>
        <v>0.7344524990461655</v>
      </c>
      <c r="W55" s="1">
        <f t="shared" si="19"/>
        <v>0</v>
      </c>
      <c r="X55" s="1">
        <f t="shared" si="20"/>
        <v>0</v>
      </c>
      <c r="Y55" s="1" t="e">
        <f t="shared" si="21"/>
        <v>#DIV/0!</v>
      </c>
      <c r="AA55" s="1">
        <f t="shared" si="22"/>
        <v>0.27884615384615385</v>
      </c>
      <c r="AB55" s="1">
        <f t="shared" si="23"/>
        <v>0.26554750095383439</v>
      </c>
      <c r="AC55" s="1">
        <f t="shared" si="24"/>
        <v>1</v>
      </c>
      <c r="AD55" s="1">
        <f t="shared" si="25"/>
        <v>1</v>
      </c>
      <c r="AE55" s="1" t="e">
        <f t="shared" si="26"/>
        <v>#DIV/0!</v>
      </c>
      <c r="AG55" s="2">
        <v>116.14486746971046</v>
      </c>
      <c r="AH55" s="2">
        <v>71.042704204139852</v>
      </c>
      <c r="AI55" s="2">
        <v>21.20115973708219</v>
      </c>
      <c r="AJ55" s="2">
        <v>0</v>
      </c>
      <c r="AK55" s="2">
        <v>0</v>
      </c>
      <c r="AM55" s="1">
        <f t="shared" si="32"/>
        <v>0.38744716818188796</v>
      </c>
      <c r="AN55" s="1">
        <f t="shared" si="33"/>
        <v>1.3548189230441943</v>
      </c>
      <c r="AO55" s="1">
        <f t="shared" si="34"/>
        <v>0</v>
      </c>
      <c r="AP55" s="1" t="e">
        <f t="shared" si="35"/>
        <v>#DIV/0!</v>
      </c>
      <c r="AQ55" s="1" t="e">
        <f t="shared" si="36"/>
        <v>#DIV/0!</v>
      </c>
      <c r="AS55" s="1">
        <f t="shared" si="37"/>
        <v>0.14981290503033001</v>
      </c>
      <c r="AT55" s="1">
        <f t="shared" si="38"/>
        <v>0.48984621840974496</v>
      </c>
      <c r="AU55" s="1">
        <f t="shared" si="39"/>
        <v>1.1980476688534056</v>
      </c>
      <c r="AV55" s="1" t="e">
        <f t="shared" si="40"/>
        <v>#DIV/0!</v>
      </c>
      <c r="AW55" s="1" t="e">
        <f t="shared" si="41"/>
        <v>#DIV/0!</v>
      </c>
    </row>
    <row r="56" spans="2:49" x14ac:dyDescent="0.15">
      <c r="B56" s="2">
        <v>52</v>
      </c>
      <c r="C56" s="2">
        <v>45</v>
      </c>
      <c r="D56" s="2">
        <v>115</v>
      </c>
      <c r="E56" s="2">
        <v>0</v>
      </c>
      <c r="F56" s="2">
        <v>0</v>
      </c>
      <c r="G56" s="2">
        <v>0</v>
      </c>
      <c r="I56" s="2">
        <v>17.55</v>
      </c>
      <c r="J56" s="2">
        <v>35.1</v>
      </c>
      <c r="K56" s="2">
        <v>26.05</v>
      </c>
      <c r="L56" s="2">
        <v>4.25</v>
      </c>
      <c r="M56" s="2">
        <v>0</v>
      </c>
      <c r="O56" s="3">
        <f t="shared" si="27"/>
        <v>62.55</v>
      </c>
      <c r="P56" s="3">
        <f t="shared" si="28"/>
        <v>150.1</v>
      </c>
      <c r="Q56" s="3">
        <f t="shared" si="29"/>
        <v>26.05</v>
      </c>
      <c r="R56" s="3">
        <f t="shared" si="30"/>
        <v>4.25</v>
      </c>
      <c r="S56" s="3">
        <f t="shared" si="31"/>
        <v>0</v>
      </c>
      <c r="U56" s="1">
        <f t="shared" si="17"/>
        <v>0.71942446043165476</v>
      </c>
      <c r="V56" s="1">
        <f t="shared" si="18"/>
        <v>0.76615589606928713</v>
      </c>
      <c r="W56" s="1">
        <f t="shared" si="19"/>
        <v>0</v>
      </c>
      <c r="X56" s="1">
        <f t="shared" si="20"/>
        <v>0</v>
      </c>
      <c r="Y56" s="1" t="e">
        <f t="shared" si="21"/>
        <v>#DIV/0!</v>
      </c>
      <c r="AA56" s="1">
        <f t="shared" si="22"/>
        <v>0.28057553956834536</v>
      </c>
      <c r="AB56" s="1">
        <f t="shared" si="23"/>
        <v>0.23384410393071287</v>
      </c>
      <c r="AC56" s="1">
        <f t="shared" si="24"/>
        <v>1</v>
      </c>
      <c r="AD56" s="1">
        <f t="shared" si="25"/>
        <v>1</v>
      </c>
      <c r="AE56" s="1" t="e">
        <f t="shared" si="26"/>
        <v>#DIV/0!</v>
      </c>
      <c r="AG56" s="2">
        <v>127.87780318097867</v>
      </c>
      <c r="AH56" s="2">
        <v>79.10909750563674</v>
      </c>
      <c r="AI56" s="2">
        <v>24.317720785387806</v>
      </c>
      <c r="AJ56" s="2">
        <v>0</v>
      </c>
      <c r="AK56" s="2">
        <v>0</v>
      </c>
      <c r="AM56" s="1">
        <f t="shared" si="32"/>
        <v>0.35189844430087597</v>
      </c>
      <c r="AN56" s="1">
        <f t="shared" si="33"/>
        <v>1.4536886859543043</v>
      </c>
      <c r="AO56" s="1">
        <f t="shared" si="34"/>
        <v>0</v>
      </c>
      <c r="AP56" s="1" t="e">
        <f t="shared" si="35"/>
        <v>#DIV/0!</v>
      </c>
      <c r="AQ56" s="1" t="e">
        <f t="shared" si="36"/>
        <v>#DIV/0!</v>
      </c>
      <c r="AS56" s="1">
        <f t="shared" si="37"/>
        <v>0.13724039327734161</v>
      </c>
      <c r="AT56" s="1">
        <f t="shared" si="38"/>
        <v>0.44369106849561812</v>
      </c>
      <c r="AU56" s="1">
        <f t="shared" si="39"/>
        <v>1.0712352621325063</v>
      </c>
      <c r="AV56" s="1" t="e">
        <f t="shared" si="40"/>
        <v>#DIV/0!</v>
      </c>
      <c r="AW56" s="1" t="e">
        <f t="shared" si="41"/>
        <v>#DIV/0!</v>
      </c>
    </row>
    <row r="57" spans="2:49" x14ac:dyDescent="0.15">
      <c r="B57" s="2">
        <v>53</v>
      </c>
      <c r="C57" s="2">
        <v>45</v>
      </c>
      <c r="D57" s="2">
        <v>137.5</v>
      </c>
      <c r="E57" s="2">
        <v>0</v>
      </c>
      <c r="F57" s="2">
        <v>0</v>
      </c>
      <c r="G57" s="2">
        <v>0</v>
      </c>
      <c r="I57" s="2">
        <v>17.7</v>
      </c>
      <c r="J57" s="2">
        <v>35.4</v>
      </c>
      <c r="K57" s="2">
        <v>26.700000000000003</v>
      </c>
      <c r="L57" s="2">
        <v>4.5</v>
      </c>
      <c r="M57" s="2">
        <v>0</v>
      </c>
      <c r="O57" s="3">
        <f t="shared" si="27"/>
        <v>62.7</v>
      </c>
      <c r="P57" s="3">
        <f t="shared" si="28"/>
        <v>172.9</v>
      </c>
      <c r="Q57" s="3">
        <f t="shared" si="29"/>
        <v>26.700000000000003</v>
      </c>
      <c r="R57" s="3">
        <f t="shared" si="30"/>
        <v>4.5</v>
      </c>
      <c r="S57" s="3">
        <f t="shared" si="31"/>
        <v>0</v>
      </c>
      <c r="U57" s="1">
        <f t="shared" si="17"/>
        <v>0.71770334928229662</v>
      </c>
      <c r="V57" s="1">
        <f t="shared" si="18"/>
        <v>0.79525737420474263</v>
      </c>
      <c r="W57" s="1">
        <f t="shared" si="19"/>
        <v>0</v>
      </c>
      <c r="X57" s="1">
        <f t="shared" si="20"/>
        <v>0</v>
      </c>
      <c r="Y57" s="1" t="e">
        <f t="shared" si="21"/>
        <v>#DIV/0!</v>
      </c>
      <c r="AA57" s="1">
        <f t="shared" si="22"/>
        <v>0.28229665071770332</v>
      </c>
      <c r="AB57" s="1">
        <f t="shared" si="23"/>
        <v>0.20474262579525737</v>
      </c>
      <c r="AC57" s="1">
        <f t="shared" si="24"/>
        <v>1</v>
      </c>
      <c r="AD57" s="1">
        <f t="shared" si="25"/>
        <v>1</v>
      </c>
      <c r="AE57" s="1" t="e">
        <f t="shared" si="26"/>
        <v>#DIV/0!</v>
      </c>
      <c r="AG57" s="2">
        <v>140.78897801703707</v>
      </c>
      <c r="AH57" s="2">
        <v>88.107795118647132</v>
      </c>
      <c r="AI57" s="2">
        <v>27.838950286131002</v>
      </c>
      <c r="AJ57" s="2">
        <v>0</v>
      </c>
      <c r="AK57" s="2">
        <v>0</v>
      </c>
      <c r="AM57" s="1">
        <f t="shared" si="32"/>
        <v>0.3196272935126675</v>
      </c>
      <c r="AN57" s="1">
        <f t="shared" si="33"/>
        <v>1.5605883658175836</v>
      </c>
      <c r="AO57" s="1">
        <f t="shared" si="34"/>
        <v>0</v>
      </c>
      <c r="AP57" s="1" t="e">
        <f t="shared" si="35"/>
        <v>#DIV/0!</v>
      </c>
      <c r="AQ57" s="1" t="e">
        <f t="shared" si="36"/>
        <v>#DIV/0!</v>
      </c>
      <c r="AS57" s="1">
        <f t="shared" si="37"/>
        <v>0.12572006878164921</v>
      </c>
      <c r="AT57" s="1">
        <f t="shared" si="38"/>
        <v>0.4017805683632179</v>
      </c>
      <c r="AU57" s="1">
        <f t="shared" si="39"/>
        <v>0.95908788677644896</v>
      </c>
      <c r="AV57" s="1" t="e">
        <f t="shared" si="40"/>
        <v>#DIV/0!</v>
      </c>
      <c r="AW57" s="1" t="e">
        <f t="shared" si="41"/>
        <v>#DIV/0!</v>
      </c>
    </row>
    <row r="58" spans="2:49" x14ac:dyDescent="0.15">
      <c r="B58" s="2">
        <v>54</v>
      </c>
      <c r="C58" s="2">
        <v>45</v>
      </c>
      <c r="D58" s="2">
        <v>160</v>
      </c>
      <c r="E58" s="2">
        <v>0</v>
      </c>
      <c r="F58" s="2">
        <v>0</v>
      </c>
      <c r="G58" s="2">
        <v>0</v>
      </c>
      <c r="I58" s="2">
        <v>17.850000000000001</v>
      </c>
      <c r="J58" s="2">
        <v>35.700000000000003</v>
      </c>
      <c r="K58" s="2">
        <v>27.35</v>
      </c>
      <c r="L58" s="2">
        <v>4.75</v>
      </c>
      <c r="M58" s="2">
        <v>0</v>
      </c>
      <c r="O58" s="3">
        <f t="shared" si="27"/>
        <v>62.85</v>
      </c>
      <c r="P58" s="3">
        <f t="shared" si="28"/>
        <v>195.7</v>
      </c>
      <c r="Q58" s="3">
        <f t="shared" si="29"/>
        <v>27.35</v>
      </c>
      <c r="R58" s="3">
        <f t="shared" si="30"/>
        <v>4.75</v>
      </c>
      <c r="S58" s="3">
        <f t="shared" si="31"/>
        <v>0</v>
      </c>
      <c r="U58" s="1">
        <f t="shared" si="17"/>
        <v>0.71599045346062051</v>
      </c>
      <c r="V58" s="1">
        <f t="shared" si="18"/>
        <v>0.81757792539601437</v>
      </c>
      <c r="W58" s="1">
        <f t="shared" si="19"/>
        <v>0</v>
      </c>
      <c r="X58" s="1">
        <f t="shared" si="20"/>
        <v>0</v>
      </c>
      <c r="Y58" s="1" t="e">
        <f t="shared" si="21"/>
        <v>#DIV/0!</v>
      </c>
      <c r="AA58" s="1">
        <f t="shared" si="22"/>
        <v>0.28400954653937949</v>
      </c>
      <c r="AB58" s="1">
        <f t="shared" si="23"/>
        <v>0.18242207460398571</v>
      </c>
      <c r="AC58" s="1">
        <f t="shared" si="24"/>
        <v>1</v>
      </c>
      <c r="AD58" s="1">
        <f t="shared" si="25"/>
        <v>1</v>
      </c>
      <c r="AE58" s="1" t="e">
        <f t="shared" si="26"/>
        <v>#DIV/0!</v>
      </c>
      <c r="AG58" s="2">
        <v>154.98759435710542</v>
      </c>
      <c r="AH58" s="2">
        <v>98.130347829283608</v>
      </c>
      <c r="AI58" s="2">
        <v>31.806210734091273</v>
      </c>
      <c r="AJ58" s="2">
        <v>0</v>
      </c>
      <c r="AK58" s="2">
        <v>0</v>
      </c>
      <c r="AM58" s="1">
        <f t="shared" si="32"/>
        <v>0.2903458188809353</v>
      </c>
      <c r="AN58" s="1">
        <f t="shared" si="33"/>
        <v>1.6304843867296834</v>
      </c>
      <c r="AO58" s="1">
        <f t="shared" si="34"/>
        <v>0</v>
      </c>
      <c r="AP58" s="1" t="e">
        <f t="shared" si="35"/>
        <v>#DIV/0!</v>
      </c>
      <c r="AQ58" s="1" t="e">
        <f t="shared" si="36"/>
        <v>#DIV/0!</v>
      </c>
      <c r="AS58" s="1">
        <f t="shared" si="37"/>
        <v>0.11517050815610434</v>
      </c>
      <c r="AT58" s="1">
        <f t="shared" si="38"/>
        <v>0.36380182878906064</v>
      </c>
      <c r="AU58" s="1">
        <f t="shared" si="39"/>
        <v>0.85989495034958963</v>
      </c>
      <c r="AV58" s="1" t="e">
        <f t="shared" si="40"/>
        <v>#DIV/0!</v>
      </c>
      <c r="AW58" s="1" t="e">
        <f t="shared" si="41"/>
        <v>#DIV/0!</v>
      </c>
    </row>
    <row r="59" spans="2:49" x14ac:dyDescent="0.15">
      <c r="B59" s="2">
        <v>55</v>
      </c>
      <c r="C59" s="2">
        <v>45</v>
      </c>
      <c r="D59" s="2">
        <v>182.5</v>
      </c>
      <c r="E59" s="2">
        <v>0</v>
      </c>
      <c r="F59" s="2">
        <v>0</v>
      </c>
      <c r="G59" s="2">
        <v>0</v>
      </c>
      <c r="I59" s="2">
        <v>18</v>
      </c>
      <c r="J59" s="2">
        <v>36</v>
      </c>
      <c r="K59" s="2">
        <v>28</v>
      </c>
      <c r="L59" s="2">
        <v>5</v>
      </c>
      <c r="M59" s="2">
        <v>0</v>
      </c>
      <c r="O59" s="3">
        <f t="shared" si="27"/>
        <v>63</v>
      </c>
      <c r="P59" s="3">
        <f t="shared" si="28"/>
        <v>218.5</v>
      </c>
      <c r="Q59" s="3">
        <f t="shared" si="29"/>
        <v>28</v>
      </c>
      <c r="R59" s="3">
        <f t="shared" si="30"/>
        <v>5</v>
      </c>
      <c r="S59" s="3">
        <f t="shared" si="31"/>
        <v>0</v>
      </c>
      <c r="U59" s="1">
        <f t="shared" si="17"/>
        <v>0.7142857142857143</v>
      </c>
      <c r="V59" s="1">
        <f t="shared" si="18"/>
        <v>0.83524027459954231</v>
      </c>
      <c r="W59" s="1">
        <f t="shared" si="19"/>
        <v>0</v>
      </c>
      <c r="X59" s="1">
        <f t="shared" si="20"/>
        <v>0</v>
      </c>
      <c r="Y59" s="1" t="e">
        <f t="shared" si="21"/>
        <v>#DIV/0!</v>
      </c>
      <c r="AA59" s="1">
        <f t="shared" si="22"/>
        <v>0.2857142857142857</v>
      </c>
      <c r="AB59" s="1">
        <f t="shared" si="23"/>
        <v>0.16475972540045766</v>
      </c>
      <c r="AC59" s="1">
        <f t="shared" si="24"/>
        <v>1</v>
      </c>
      <c r="AD59" s="1">
        <f t="shared" si="25"/>
        <v>1</v>
      </c>
      <c r="AE59" s="1" t="e">
        <f t="shared" si="26"/>
        <v>#DIV/0!</v>
      </c>
      <c r="AG59" s="2">
        <v>170.59258426418316</v>
      </c>
      <c r="AH59" s="2">
        <v>109.27676919148199</v>
      </c>
      <c r="AI59" s="2">
        <v>36.264779278970622</v>
      </c>
      <c r="AJ59" s="2">
        <v>0</v>
      </c>
      <c r="AK59" s="2">
        <v>0</v>
      </c>
      <c r="AM59" s="1">
        <f t="shared" si="32"/>
        <v>0.26378637848824704</v>
      </c>
      <c r="AN59" s="1">
        <f t="shared" si="33"/>
        <v>1.6700713367560438</v>
      </c>
      <c r="AO59" s="1">
        <f t="shared" si="34"/>
        <v>0</v>
      </c>
      <c r="AP59" s="1" t="e">
        <f t="shared" si="35"/>
        <v>#DIV/0!</v>
      </c>
      <c r="AQ59" s="1" t="e">
        <f t="shared" si="36"/>
        <v>#DIV/0!</v>
      </c>
      <c r="AS59" s="1">
        <f t="shared" si="37"/>
        <v>0.10551455139529883</v>
      </c>
      <c r="AT59" s="1">
        <f t="shared" si="38"/>
        <v>0.32943872944228814</v>
      </c>
      <c r="AU59" s="1">
        <f t="shared" si="39"/>
        <v>0.77209900505962159</v>
      </c>
      <c r="AV59" s="1" t="e">
        <f t="shared" si="40"/>
        <v>#DIV/0!</v>
      </c>
      <c r="AW59" s="1" t="e">
        <f t="shared" si="41"/>
        <v>#DIV/0!</v>
      </c>
    </row>
    <row r="60" spans="2:49" x14ac:dyDescent="0.15">
      <c r="B60" s="2">
        <v>56</v>
      </c>
      <c r="C60" s="2">
        <v>45</v>
      </c>
      <c r="D60" s="2">
        <v>205</v>
      </c>
      <c r="E60" s="2">
        <v>0</v>
      </c>
      <c r="F60" s="2">
        <v>0</v>
      </c>
      <c r="G60" s="2">
        <v>0</v>
      </c>
      <c r="I60" s="2">
        <v>19</v>
      </c>
      <c r="J60" s="2">
        <v>38</v>
      </c>
      <c r="K60" s="2">
        <v>29</v>
      </c>
      <c r="L60" s="2">
        <v>6.333333333333333</v>
      </c>
      <c r="M60" s="2">
        <v>0.46666666666666667</v>
      </c>
      <c r="O60" s="3">
        <f t="shared" si="27"/>
        <v>64</v>
      </c>
      <c r="P60" s="3">
        <f t="shared" si="28"/>
        <v>243</v>
      </c>
      <c r="Q60" s="3">
        <f t="shared" si="29"/>
        <v>29</v>
      </c>
      <c r="R60" s="3">
        <f t="shared" si="30"/>
        <v>6.333333333333333</v>
      </c>
      <c r="S60" s="3">
        <f t="shared" si="31"/>
        <v>0.46666666666666667</v>
      </c>
      <c r="U60" s="1">
        <f t="shared" si="17"/>
        <v>0.703125</v>
      </c>
      <c r="V60" s="1">
        <f t="shared" si="18"/>
        <v>0.84362139917695478</v>
      </c>
      <c r="W60" s="1">
        <f t="shared" si="19"/>
        <v>0</v>
      </c>
      <c r="X60" s="1">
        <f t="shared" si="20"/>
        <v>0</v>
      </c>
      <c r="Y60" s="1">
        <f t="shared" si="21"/>
        <v>0</v>
      </c>
      <c r="AA60" s="1">
        <f t="shared" si="22"/>
        <v>0.296875</v>
      </c>
      <c r="AB60" s="1">
        <f t="shared" si="23"/>
        <v>0.15637860082304528</v>
      </c>
      <c r="AC60" s="1">
        <f t="shared" si="24"/>
        <v>1</v>
      </c>
      <c r="AD60" s="1">
        <f t="shared" si="25"/>
        <v>1</v>
      </c>
      <c r="AE60" s="1">
        <f t="shared" si="26"/>
        <v>1</v>
      </c>
      <c r="AG60" s="2">
        <v>183.92436374980076</v>
      </c>
      <c r="AH60" s="2">
        <v>118.799468824066</v>
      </c>
      <c r="AI60" s="2">
        <v>41.502264076891819</v>
      </c>
      <c r="AJ60" s="2">
        <v>0.47613498162920004</v>
      </c>
      <c r="AK60" s="2">
        <v>0</v>
      </c>
      <c r="AM60" s="1">
        <f t="shared" si="32"/>
        <v>0.24466579132069308</v>
      </c>
      <c r="AN60" s="1">
        <f t="shared" si="33"/>
        <v>1.7255969410401251</v>
      </c>
      <c r="AO60" s="1">
        <f t="shared" si="34"/>
        <v>0</v>
      </c>
      <c r="AP60" s="1">
        <f t="shared" si="35"/>
        <v>0</v>
      </c>
      <c r="AQ60" s="1" t="e">
        <f t="shared" si="36"/>
        <v>#DIV/0!</v>
      </c>
      <c r="AS60" s="1">
        <f t="shared" si="37"/>
        <v>0.10330333411318152</v>
      </c>
      <c r="AT60" s="1">
        <f t="shared" si="38"/>
        <v>0.3198667500464622</v>
      </c>
      <c r="AU60" s="1">
        <f t="shared" si="39"/>
        <v>0.69875705928407417</v>
      </c>
      <c r="AV60" s="1">
        <f t="shared" si="40"/>
        <v>13.301550143747992</v>
      </c>
      <c r="AW60" s="1" t="e">
        <f t="shared" si="41"/>
        <v>#DIV/0!</v>
      </c>
    </row>
    <row r="61" spans="2:49" x14ac:dyDescent="0.15">
      <c r="B61" s="2">
        <v>57</v>
      </c>
      <c r="C61" s="2">
        <v>45</v>
      </c>
      <c r="D61" s="2">
        <v>205</v>
      </c>
      <c r="E61" s="2">
        <v>10</v>
      </c>
      <c r="F61" s="2">
        <v>0</v>
      </c>
      <c r="G61" s="2">
        <v>0</v>
      </c>
      <c r="I61" s="2">
        <v>20</v>
      </c>
      <c r="J61" s="2">
        <v>40</v>
      </c>
      <c r="K61" s="2">
        <v>30</v>
      </c>
      <c r="L61" s="2">
        <v>7.6666666666666661</v>
      </c>
      <c r="M61" s="2">
        <v>0.93333333333333335</v>
      </c>
      <c r="O61" s="3">
        <f t="shared" si="27"/>
        <v>65</v>
      </c>
      <c r="P61" s="3">
        <f t="shared" si="28"/>
        <v>245</v>
      </c>
      <c r="Q61" s="3">
        <f t="shared" si="29"/>
        <v>40</v>
      </c>
      <c r="R61" s="3">
        <f t="shared" si="30"/>
        <v>7.6666666666666661</v>
      </c>
      <c r="S61" s="3">
        <f t="shared" si="31"/>
        <v>0.93333333333333335</v>
      </c>
      <c r="U61" s="1">
        <f t="shared" si="17"/>
        <v>0.69230769230769229</v>
      </c>
      <c r="V61" s="1">
        <f t="shared" si="18"/>
        <v>0.83673469387755106</v>
      </c>
      <c r="W61" s="1">
        <f t="shared" si="19"/>
        <v>0.25</v>
      </c>
      <c r="X61" s="1">
        <f t="shared" si="20"/>
        <v>0</v>
      </c>
      <c r="Y61" s="1">
        <f t="shared" si="21"/>
        <v>0</v>
      </c>
      <c r="AA61" s="1">
        <f t="shared" si="22"/>
        <v>0.30769230769230771</v>
      </c>
      <c r="AB61" s="1">
        <f t="shared" si="23"/>
        <v>0.16326530612244897</v>
      </c>
      <c r="AC61" s="1">
        <f t="shared" si="24"/>
        <v>0.75</v>
      </c>
      <c r="AD61" s="1">
        <f t="shared" si="25"/>
        <v>1</v>
      </c>
      <c r="AE61" s="1">
        <f t="shared" si="26"/>
        <v>1</v>
      </c>
      <c r="AG61" s="2">
        <v>194.60467552048561</v>
      </c>
      <c r="AH61" s="2">
        <v>126.42826294598375</v>
      </c>
      <c r="AI61" s="2">
        <v>47.605299374426018</v>
      </c>
      <c r="AJ61" s="2">
        <v>1.4933075312182329</v>
      </c>
      <c r="AK61" s="2">
        <v>0</v>
      </c>
      <c r="AM61" s="1">
        <f t="shared" si="32"/>
        <v>0.2312380207702818</v>
      </c>
      <c r="AN61" s="1">
        <f t="shared" si="33"/>
        <v>1.6214728829074072</v>
      </c>
      <c r="AO61" s="1">
        <f t="shared" si="34"/>
        <v>0.21006064726844439</v>
      </c>
      <c r="AP61" s="1">
        <f t="shared" si="35"/>
        <v>0</v>
      </c>
      <c r="AQ61" s="1" t="e">
        <f t="shared" si="36"/>
        <v>#DIV/0!</v>
      </c>
      <c r="AS61" s="1">
        <f t="shared" si="37"/>
        <v>0.10277245367568079</v>
      </c>
      <c r="AT61" s="1">
        <f t="shared" si="38"/>
        <v>0.31638495276242096</v>
      </c>
      <c r="AU61" s="1">
        <f t="shared" si="39"/>
        <v>0.63018194180533316</v>
      </c>
      <c r="AV61" s="1">
        <f t="shared" si="40"/>
        <v>5.1340172780165636</v>
      </c>
      <c r="AW61" s="1" t="e">
        <f t="shared" si="41"/>
        <v>#DIV/0!</v>
      </c>
    </row>
    <row r="62" spans="2:49" x14ac:dyDescent="0.15">
      <c r="B62" s="2">
        <v>58</v>
      </c>
      <c r="C62" s="2">
        <v>45</v>
      </c>
      <c r="D62" s="2">
        <v>205</v>
      </c>
      <c r="E62" s="2">
        <v>20</v>
      </c>
      <c r="F62" s="2">
        <v>0</v>
      </c>
      <c r="G62" s="2">
        <v>0</v>
      </c>
      <c r="I62" s="2">
        <v>21</v>
      </c>
      <c r="J62" s="2">
        <v>42</v>
      </c>
      <c r="K62" s="2">
        <v>31</v>
      </c>
      <c r="L62" s="2">
        <v>9</v>
      </c>
      <c r="M62" s="2">
        <v>1.4</v>
      </c>
      <c r="O62" s="3">
        <f t="shared" si="27"/>
        <v>66</v>
      </c>
      <c r="P62" s="3">
        <f t="shared" si="28"/>
        <v>247</v>
      </c>
      <c r="Q62" s="3">
        <f t="shared" si="29"/>
        <v>51</v>
      </c>
      <c r="R62" s="3">
        <f t="shared" si="30"/>
        <v>9</v>
      </c>
      <c r="S62" s="3">
        <f t="shared" si="31"/>
        <v>1.4</v>
      </c>
      <c r="U62" s="1">
        <f t="shared" si="17"/>
        <v>0.68181818181818177</v>
      </c>
      <c r="V62" s="1">
        <f t="shared" si="18"/>
        <v>0.82995951417004044</v>
      </c>
      <c r="W62" s="1">
        <f t="shared" si="19"/>
        <v>0.39215686274509803</v>
      </c>
      <c r="X62" s="1">
        <f t="shared" si="20"/>
        <v>0</v>
      </c>
      <c r="Y62" s="1">
        <f t="shared" si="21"/>
        <v>0</v>
      </c>
      <c r="AA62" s="1">
        <f t="shared" si="22"/>
        <v>0.31818181818181818</v>
      </c>
      <c r="AB62" s="1">
        <f t="shared" si="23"/>
        <v>0.17004048582995951</v>
      </c>
      <c r="AC62" s="1">
        <f t="shared" si="24"/>
        <v>0.60784313725490191</v>
      </c>
      <c r="AD62" s="1">
        <f t="shared" si="25"/>
        <v>1</v>
      </c>
      <c r="AE62" s="1">
        <f t="shared" si="26"/>
        <v>1</v>
      </c>
      <c r="AG62" s="2">
        <v>202.2118094553627</v>
      </c>
      <c r="AH62" s="2">
        <v>131.86193004232453</v>
      </c>
      <c r="AI62" s="2">
        <v>54.669066599669023</v>
      </c>
      <c r="AJ62" s="2">
        <v>3.1234076601204643</v>
      </c>
      <c r="AK62" s="2">
        <v>0</v>
      </c>
      <c r="AM62" s="1">
        <f t="shared" si="32"/>
        <v>0.22253893143631426</v>
      </c>
      <c r="AN62" s="1">
        <f t="shared" si="33"/>
        <v>1.554656449622722</v>
      </c>
      <c r="AO62" s="1">
        <f t="shared" si="34"/>
        <v>0.3658375978221125</v>
      </c>
      <c r="AP62" s="1">
        <f t="shared" si="35"/>
        <v>0</v>
      </c>
      <c r="AQ62" s="1" t="e">
        <f t="shared" si="36"/>
        <v>#DIV/0!</v>
      </c>
      <c r="AS62" s="1">
        <f t="shared" si="37"/>
        <v>0.10385150133694665</v>
      </c>
      <c r="AT62" s="1">
        <f t="shared" si="38"/>
        <v>0.318514979922704</v>
      </c>
      <c r="AU62" s="1">
        <f t="shared" si="39"/>
        <v>0.56704827662427437</v>
      </c>
      <c r="AV62" s="1">
        <f t="shared" si="40"/>
        <v>2.8814682485772241</v>
      </c>
      <c r="AW62" s="1" t="e">
        <f t="shared" si="41"/>
        <v>#DIV/0!</v>
      </c>
    </row>
    <row r="63" spans="2:49" x14ac:dyDescent="0.15">
      <c r="B63" s="2">
        <v>59</v>
      </c>
      <c r="C63" s="2">
        <v>45</v>
      </c>
      <c r="D63" s="2">
        <v>205</v>
      </c>
      <c r="E63" s="2">
        <v>30</v>
      </c>
      <c r="F63" s="2">
        <v>0</v>
      </c>
      <c r="G63" s="2">
        <v>0</v>
      </c>
      <c r="I63" s="2">
        <v>22</v>
      </c>
      <c r="J63" s="2">
        <v>44</v>
      </c>
      <c r="K63" s="2">
        <v>32</v>
      </c>
      <c r="L63" s="2">
        <v>10.333333333333332</v>
      </c>
      <c r="M63" s="2">
        <v>1.8666666666666667</v>
      </c>
      <c r="O63" s="3">
        <f t="shared" si="27"/>
        <v>67</v>
      </c>
      <c r="P63" s="3">
        <f t="shared" si="28"/>
        <v>249</v>
      </c>
      <c r="Q63" s="3">
        <f t="shared" si="29"/>
        <v>62</v>
      </c>
      <c r="R63" s="3">
        <f t="shared" si="30"/>
        <v>10.333333333333332</v>
      </c>
      <c r="S63" s="3">
        <f t="shared" si="31"/>
        <v>1.8666666666666667</v>
      </c>
      <c r="U63" s="1">
        <f t="shared" si="17"/>
        <v>0.67164179104477617</v>
      </c>
      <c r="V63" s="1">
        <f t="shared" si="18"/>
        <v>0.82329317269076308</v>
      </c>
      <c r="W63" s="1">
        <f t="shared" si="19"/>
        <v>0.4838709677419355</v>
      </c>
      <c r="X63" s="1">
        <f t="shared" si="20"/>
        <v>0</v>
      </c>
      <c r="Y63" s="1">
        <f t="shared" si="21"/>
        <v>0</v>
      </c>
      <c r="AA63" s="1">
        <f t="shared" si="22"/>
        <v>0.32835820895522388</v>
      </c>
      <c r="AB63" s="1">
        <f t="shared" si="23"/>
        <v>0.17670682730923695</v>
      </c>
      <c r="AC63" s="1">
        <f t="shared" si="24"/>
        <v>0.5161290322580645</v>
      </c>
      <c r="AD63" s="1">
        <f t="shared" si="25"/>
        <v>1</v>
      </c>
      <c r="AE63" s="1">
        <f t="shared" si="26"/>
        <v>1</v>
      </c>
      <c r="AG63" s="2">
        <v>206.27631365233694</v>
      </c>
      <c r="AH63" s="2">
        <v>134.76514732587756</v>
      </c>
      <c r="AI63" s="2">
        <v>62.798074993617483</v>
      </c>
      <c r="AJ63" s="2">
        <v>5.4459814869628822</v>
      </c>
      <c r="AK63" s="2">
        <v>0</v>
      </c>
      <c r="AM63" s="1">
        <f t="shared" si="32"/>
        <v>0.21815398580296563</v>
      </c>
      <c r="AN63" s="1">
        <f t="shared" si="33"/>
        <v>1.5211648120287846</v>
      </c>
      <c r="AO63" s="1">
        <f t="shared" si="34"/>
        <v>0.47772164995581579</v>
      </c>
      <c r="AP63" s="1">
        <f t="shared" si="35"/>
        <v>0</v>
      </c>
      <c r="AQ63" s="1" t="e">
        <f t="shared" si="36"/>
        <v>#DIV/0!</v>
      </c>
      <c r="AS63" s="1">
        <f t="shared" si="37"/>
        <v>0.10665305972589431</v>
      </c>
      <c r="AT63" s="1">
        <f t="shared" si="38"/>
        <v>0.32649391087447083</v>
      </c>
      <c r="AU63" s="1">
        <f t="shared" si="39"/>
        <v>0.50956975995287013</v>
      </c>
      <c r="AV63" s="1">
        <f t="shared" si="40"/>
        <v>1.8974235145804785</v>
      </c>
      <c r="AW63" s="1" t="e">
        <f t="shared" si="41"/>
        <v>#DIV/0!</v>
      </c>
    </row>
    <row r="64" spans="2:49" x14ac:dyDescent="0.15">
      <c r="B64" s="2">
        <v>60</v>
      </c>
      <c r="C64" s="2">
        <v>45</v>
      </c>
      <c r="D64" s="2">
        <v>205</v>
      </c>
      <c r="E64" s="2">
        <v>40</v>
      </c>
      <c r="F64" s="2">
        <v>0</v>
      </c>
      <c r="G64" s="2">
        <v>0</v>
      </c>
      <c r="I64" s="2">
        <v>23</v>
      </c>
      <c r="J64" s="2">
        <v>46</v>
      </c>
      <c r="K64" s="2">
        <v>33</v>
      </c>
      <c r="L64" s="2">
        <v>11.666666666666666</v>
      </c>
      <c r="M64" s="2">
        <v>2.3333333333333335</v>
      </c>
      <c r="O64" s="3">
        <f t="shared" si="27"/>
        <v>68</v>
      </c>
      <c r="P64" s="3">
        <f t="shared" si="28"/>
        <v>251</v>
      </c>
      <c r="Q64" s="3">
        <f t="shared" si="29"/>
        <v>73</v>
      </c>
      <c r="R64" s="3">
        <f t="shared" si="30"/>
        <v>11.666666666666666</v>
      </c>
      <c r="S64" s="3">
        <f t="shared" si="31"/>
        <v>2.3333333333333335</v>
      </c>
      <c r="U64" s="1">
        <f t="shared" si="17"/>
        <v>0.66176470588235292</v>
      </c>
      <c r="V64" s="1">
        <f t="shared" si="18"/>
        <v>0.81673306772908372</v>
      </c>
      <c r="W64" s="1">
        <f t="shared" si="19"/>
        <v>0.54794520547945202</v>
      </c>
      <c r="X64" s="1">
        <f t="shared" si="20"/>
        <v>0</v>
      </c>
      <c r="Y64" s="1">
        <f t="shared" si="21"/>
        <v>0</v>
      </c>
      <c r="AA64" s="1">
        <f t="shared" si="22"/>
        <v>0.33823529411764708</v>
      </c>
      <c r="AB64" s="1">
        <f t="shared" si="23"/>
        <v>0.18326693227091634</v>
      </c>
      <c r="AC64" s="1">
        <f t="shared" si="24"/>
        <v>0.45205479452054792</v>
      </c>
      <c r="AD64" s="1">
        <f t="shared" si="25"/>
        <v>1</v>
      </c>
      <c r="AE64" s="1">
        <f t="shared" si="26"/>
        <v>1</v>
      </c>
      <c r="AG64" s="2">
        <v>206.27631365233694</v>
      </c>
      <c r="AH64" s="2">
        <v>134.76514732587756</v>
      </c>
      <c r="AI64" s="2">
        <v>72.107010268570789</v>
      </c>
      <c r="AJ64" s="2">
        <v>8.5489599119473176</v>
      </c>
      <c r="AK64" s="2">
        <v>0</v>
      </c>
      <c r="AM64" s="1">
        <f t="shared" si="32"/>
        <v>0.21815398580296563</v>
      </c>
      <c r="AN64" s="1">
        <f t="shared" si="33"/>
        <v>1.5211648120287846</v>
      </c>
      <c r="AO64" s="1">
        <f t="shared" si="34"/>
        <v>0.55473108441211794</v>
      </c>
      <c r="AP64" s="1">
        <f t="shared" si="35"/>
        <v>0</v>
      </c>
      <c r="AQ64" s="1" t="e">
        <f t="shared" si="36"/>
        <v>#DIV/0!</v>
      </c>
      <c r="AS64" s="1">
        <f t="shared" si="37"/>
        <v>0.11150092607707132</v>
      </c>
      <c r="AT64" s="1">
        <f t="shared" si="38"/>
        <v>0.34133454318694678</v>
      </c>
      <c r="AU64" s="1">
        <f t="shared" si="39"/>
        <v>0.45765314463999734</v>
      </c>
      <c r="AV64" s="1">
        <f t="shared" si="40"/>
        <v>1.364688428397272</v>
      </c>
      <c r="AW64" s="1" t="e">
        <f t="shared" si="41"/>
        <v>#DIV/0!</v>
      </c>
    </row>
    <row r="65" spans="2:49" x14ac:dyDescent="0.15">
      <c r="B65" s="2">
        <v>61</v>
      </c>
      <c r="C65" s="2">
        <v>45</v>
      </c>
      <c r="D65" s="2">
        <v>205</v>
      </c>
      <c r="E65" s="2">
        <v>50</v>
      </c>
      <c r="F65" s="2">
        <v>0</v>
      </c>
      <c r="G65" s="2">
        <v>0</v>
      </c>
      <c r="I65" s="2">
        <v>24</v>
      </c>
      <c r="J65" s="2">
        <v>48</v>
      </c>
      <c r="K65" s="2">
        <v>34</v>
      </c>
      <c r="L65" s="2">
        <v>13</v>
      </c>
      <c r="M65" s="2">
        <v>2.8</v>
      </c>
      <c r="O65" s="3">
        <f t="shared" si="27"/>
        <v>69</v>
      </c>
      <c r="P65" s="3">
        <f t="shared" si="28"/>
        <v>253</v>
      </c>
      <c r="Q65" s="3">
        <f t="shared" si="29"/>
        <v>84</v>
      </c>
      <c r="R65" s="3">
        <f t="shared" si="30"/>
        <v>13</v>
      </c>
      <c r="S65" s="3">
        <f t="shared" si="31"/>
        <v>2.8</v>
      </c>
      <c r="U65" s="1">
        <f t="shared" si="17"/>
        <v>0.65217391304347827</v>
      </c>
      <c r="V65" s="1">
        <f t="shared" si="18"/>
        <v>0.81027667984189722</v>
      </c>
      <c r="W65" s="1">
        <f t="shared" si="19"/>
        <v>0.59523809523809523</v>
      </c>
      <c r="X65" s="1">
        <f t="shared" si="20"/>
        <v>0</v>
      </c>
      <c r="Y65" s="1">
        <f t="shared" si="21"/>
        <v>0</v>
      </c>
      <c r="AA65" s="1">
        <f t="shared" si="22"/>
        <v>0.34782608695652173</v>
      </c>
      <c r="AB65" s="1">
        <f t="shared" si="23"/>
        <v>0.18972332015810275</v>
      </c>
      <c r="AC65" s="1">
        <f t="shared" si="24"/>
        <v>0.40476190476190477</v>
      </c>
      <c r="AD65" s="1">
        <f t="shared" si="25"/>
        <v>1</v>
      </c>
      <c r="AE65" s="1">
        <f t="shared" si="26"/>
        <v>1</v>
      </c>
      <c r="AG65" s="2">
        <v>206.27631365233694</v>
      </c>
      <c r="AH65" s="2">
        <v>134.76514732587756</v>
      </c>
      <c r="AI65" s="2">
        <v>82.721657037263981</v>
      </c>
      <c r="AJ65" s="2">
        <v>12.1977447386856</v>
      </c>
      <c r="AK65" s="2">
        <v>0</v>
      </c>
      <c r="AM65" s="1">
        <f t="shared" si="32"/>
        <v>0.21815398580296563</v>
      </c>
      <c r="AN65" s="1">
        <f t="shared" si="33"/>
        <v>1.5211648120287846</v>
      </c>
      <c r="AO65" s="1">
        <f t="shared" si="34"/>
        <v>0.6044366347433815</v>
      </c>
      <c r="AP65" s="1">
        <f t="shared" si="35"/>
        <v>0</v>
      </c>
      <c r="AQ65" s="1" t="e">
        <f t="shared" si="36"/>
        <v>#DIV/0!</v>
      </c>
      <c r="AS65" s="1">
        <f t="shared" si="37"/>
        <v>0.11634879242824835</v>
      </c>
      <c r="AT65" s="1">
        <f t="shared" si="38"/>
        <v>0.35617517549942274</v>
      </c>
      <c r="AU65" s="1">
        <f t="shared" si="39"/>
        <v>0.41101691162549941</v>
      </c>
      <c r="AV65" s="1">
        <f t="shared" si="40"/>
        <v>1.0657707861986994</v>
      </c>
      <c r="AW65" s="1" t="e">
        <f t="shared" si="41"/>
        <v>#DIV/0!</v>
      </c>
    </row>
    <row r="66" spans="2:49" x14ac:dyDescent="0.15">
      <c r="B66" s="2">
        <v>62</v>
      </c>
      <c r="C66" s="2">
        <v>45</v>
      </c>
      <c r="D66" s="2">
        <v>205</v>
      </c>
      <c r="E66" s="2">
        <v>60</v>
      </c>
      <c r="F66" s="2">
        <v>0</v>
      </c>
      <c r="G66" s="2">
        <v>0</v>
      </c>
      <c r="I66" s="2">
        <v>25</v>
      </c>
      <c r="J66" s="2">
        <v>50</v>
      </c>
      <c r="K66" s="2">
        <v>35</v>
      </c>
      <c r="L66" s="2">
        <v>14.333333333333332</v>
      </c>
      <c r="M66" s="2">
        <v>3.2666666666666666</v>
      </c>
      <c r="O66" s="3">
        <f t="shared" si="27"/>
        <v>70</v>
      </c>
      <c r="P66" s="3">
        <f t="shared" si="28"/>
        <v>255</v>
      </c>
      <c r="Q66" s="3">
        <f t="shared" si="29"/>
        <v>95</v>
      </c>
      <c r="R66" s="3">
        <f t="shared" si="30"/>
        <v>14.333333333333332</v>
      </c>
      <c r="S66" s="3">
        <f t="shared" si="31"/>
        <v>3.2666666666666666</v>
      </c>
      <c r="U66" s="1">
        <f t="shared" si="17"/>
        <v>0.6428571428571429</v>
      </c>
      <c r="V66" s="1">
        <f t="shared" si="18"/>
        <v>0.80392156862745101</v>
      </c>
      <c r="W66" s="1">
        <f t="shared" si="19"/>
        <v>0.63157894736842102</v>
      </c>
      <c r="X66" s="1">
        <f t="shared" si="20"/>
        <v>0</v>
      </c>
      <c r="Y66" s="1">
        <f t="shared" si="21"/>
        <v>0</v>
      </c>
      <c r="AA66" s="1">
        <f t="shared" si="22"/>
        <v>0.35714285714285715</v>
      </c>
      <c r="AB66" s="1">
        <f t="shared" si="23"/>
        <v>0.19607843137254902</v>
      </c>
      <c r="AC66" s="1">
        <f t="shared" si="24"/>
        <v>0.36842105263157893</v>
      </c>
      <c r="AD66" s="1">
        <f t="shared" si="25"/>
        <v>1</v>
      </c>
      <c r="AE66" s="1">
        <f t="shared" si="26"/>
        <v>1</v>
      </c>
      <c r="AG66" s="2">
        <v>206.27631365233694</v>
      </c>
      <c r="AH66" s="2">
        <v>134.76514732587756</v>
      </c>
      <c r="AI66" s="2">
        <v>94.77990123048636</v>
      </c>
      <c r="AJ66" s="2">
        <v>16.453595630411144</v>
      </c>
      <c r="AK66" s="2">
        <v>0</v>
      </c>
      <c r="AM66" s="1">
        <f t="shared" si="32"/>
        <v>0.21815398580296563</v>
      </c>
      <c r="AN66" s="1">
        <f t="shared" si="33"/>
        <v>1.5211648120287846</v>
      </c>
      <c r="AO66" s="1">
        <f t="shared" si="34"/>
        <v>0.63304560588316738</v>
      </c>
      <c r="AP66" s="1">
        <f t="shared" si="35"/>
        <v>0</v>
      </c>
      <c r="AQ66" s="1" t="e">
        <f t="shared" si="36"/>
        <v>#DIV/0!</v>
      </c>
      <c r="AS66" s="1">
        <f t="shared" si="37"/>
        <v>0.12119665877942536</v>
      </c>
      <c r="AT66" s="1">
        <f t="shared" si="38"/>
        <v>0.37101580781189869</v>
      </c>
      <c r="AU66" s="1">
        <f t="shared" si="39"/>
        <v>0.36927660343184765</v>
      </c>
      <c r="AV66" s="1">
        <f t="shared" si="40"/>
        <v>0.8711368417758526</v>
      </c>
      <c r="AW66" s="1" t="e">
        <f t="shared" si="41"/>
        <v>#DIV/0!</v>
      </c>
    </row>
    <row r="67" spans="2:49" x14ac:dyDescent="0.15">
      <c r="B67" s="2">
        <v>63</v>
      </c>
      <c r="C67" s="2">
        <v>45</v>
      </c>
      <c r="D67" s="2">
        <v>205</v>
      </c>
      <c r="E67" s="2">
        <v>97.5</v>
      </c>
      <c r="F67" s="2">
        <v>0</v>
      </c>
      <c r="G67" s="2">
        <v>0</v>
      </c>
      <c r="I67" s="2">
        <v>26</v>
      </c>
      <c r="J67" s="2">
        <v>52</v>
      </c>
      <c r="K67" s="2">
        <v>36</v>
      </c>
      <c r="L67" s="2">
        <v>15.666666666666666</v>
      </c>
      <c r="M67" s="2">
        <v>3.7333333333333334</v>
      </c>
      <c r="O67" s="3">
        <f t="shared" si="27"/>
        <v>71</v>
      </c>
      <c r="P67" s="3">
        <f t="shared" si="28"/>
        <v>257</v>
      </c>
      <c r="Q67" s="3">
        <f t="shared" si="29"/>
        <v>133.5</v>
      </c>
      <c r="R67" s="3">
        <f t="shared" si="30"/>
        <v>15.666666666666666</v>
      </c>
      <c r="S67" s="3">
        <f t="shared" si="31"/>
        <v>3.7333333333333334</v>
      </c>
      <c r="U67" s="1">
        <f t="shared" si="17"/>
        <v>0.63380281690140849</v>
      </c>
      <c r="V67" s="1">
        <f t="shared" si="18"/>
        <v>0.7976653696498055</v>
      </c>
      <c r="W67" s="1">
        <f t="shared" si="19"/>
        <v>0.7303370786516854</v>
      </c>
      <c r="X67" s="1">
        <f t="shared" si="20"/>
        <v>0</v>
      </c>
      <c r="Y67" s="1">
        <f t="shared" si="21"/>
        <v>0</v>
      </c>
      <c r="AA67" s="1">
        <f t="shared" si="22"/>
        <v>0.36619718309859156</v>
      </c>
      <c r="AB67" s="1">
        <f t="shared" si="23"/>
        <v>0.20233463035019456</v>
      </c>
      <c r="AC67" s="1">
        <f t="shared" si="24"/>
        <v>0.2696629213483146</v>
      </c>
      <c r="AD67" s="1">
        <f t="shared" si="25"/>
        <v>1</v>
      </c>
      <c r="AE67" s="1">
        <f t="shared" si="26"/>
        <v>1</v>
      </c>
      <c r="AG67" s="2">
        <v>206.27631365233694</v>
      </c>
      <c r="AH67" s="2">
        <v>134.76514732587756</v>
      </c>
      <c r="AI67" s="2">
        <v>108.43281923345924</v>
      </c>
      <c r="AJ67" s="2">
        <v>21.383816020373573</v>
      </c>
      <c r="AK67" s="2">
        <v>0</v>
      </c>
      <c r="AM67" s="1">
        <f t="shared" si="32"/>
        <v>0.21815398580296563</v>
      </c>
      <c r="AN67" s="1">
        <f t="shared" si="33"/>
        <v>1.5211648120287846</v>
      </c>
      <c r="AO67" s="1">
        <f t="shared" si="34"/>
        <v>0.89917426005570744</v>
      </c>
      <c r="AP67" s="1">
        <f t="shared" si="35"/>
        <v>0</v>
      </c>
      <c r="AQ67" s="1" t="e">
        <f t="shared" si="36"/>
        <v>#DIV/0!</v>
      </c>
      <c r="AS67" s="1">
        <f t="shared" si="37"/>
        <v>0.12604452513060238</v>
      </c>
      <c r="AT67" s="1">
        <f t="shared" si="38"/>
        <v>0.38585644012437459</v>
      </c>
      <c r="AU67" s="1">
        <f t="shared" si="39"/>
        <v>0.3320028037128766</v>
      </c>
      <c r="AV67" s="1">
        <f t="shared" si="40"/>
        <v>0.73264129525525967</v>
      </c>
      <c r="AW67" s="1" t="e">
        <f t="shared" si="41"/>
        <v>#DIV/0!</v>
      </c>
    </row>
    <row r="68" spans="2:49" x14ac:dyDescent="0.15">
      <c r="B68" s="2">
        <v>64</v>
      </c>
      <c r="C68" s="2">
        <v>45</v>
      </c>
      <c r="D68" s="2">
        <v>205</v>
      </c>
      <c r="E68" s="2">
        <v>135</v>
      </c>
      <c r="F68" s="2">
        <v>0</v>
      </c>
      <c r="G68" s="2">
        <v>0</v>
      </c>
      <c r="I68" s="2">
        <v>27</v>
      </c>
      <c r="J68" s="2">
        <v>54</v>
      </c>
      <c r="K68" s="2">
        <v>37</v>
      </c>
      <c r="L68" s="2">
        <v>17</v>
      </c>
      <c r="M68" s="2">
        <v>4.2</v>
      </c>
      <c r="O68" s="3">
        <f t="shared" si="27"/>
        <v>72</v>
      </c>
      <c r="P68" s="3">
        <f t="shared" si="28"/>
        <v>259</v>
      </c>
      <c r="Q68" s="3">
        <f t="shared" si="29"/>
        <v>172</v>
      </c>
      <c r="R68" s="3">
        <f t="shared" si="30"/>
        <v>17</v>
      </c>
      <c r="S68" s="3">
        <f t="shared" si="31"/>
        <v>4.2</v>
      </c>
      <c r="U68" s="1">
        <f t="shared" si="17"/>
        <v>0.625</v>
      </c>
      <c r="V68" s="1">
        <f t="shared" si="18"/>
        <v>0.79150579150579148</v>
      </c>
      <c r="W68" s="1">
        <f t="shared" si="19"/>
        <v>0.78488372093023251</v>
      </c>
      <c r="X68" s="1">
        <f t="shared" si="20"/>
        <v>0</v>
      </c>
      <c r="Y68" s="1">
        <f t="shared" si="21"/>
        <v>0</v>
      </c>
      <c r="AA68" s="1">
        <f t="shared" si="22"/>
        <v>0.375</v>
      </c>
      <c r="AB68" s="1">
        <f t="shared" si="23"/>
        <v>0.20849420849420849</v>
      </c>
      <c r="AC68" s="1">
        <f t="shared" si="24"/>
        <v>0.21511627906976744</v>
      </c>
      <c r="AD68" s="1">
        <f t="shared" si="25"/>
        <v>1</v>
      </c>
      <c r="AE68" s="1">
        <f t="shared" si="26"/>
        <v>1</v>
      </c>
      <c r="AG68" s="2">
        <v>206.27631365233694</v>
      </c>
      <c r="AH68" s="2">
        <v>134.76514732587756</v>
      </c>
      <c r="AI68" s="2">
        <v>123.84586102530027</v>
      </c>
      <c r="AJ68" s="2">
        <v>27.062305101578158</v>
      </c>
      <c r="AK68" s="2">
        <v>0</v>
      </c>
      <c r="AM68" s="1">
        <f t="shared" si="32"/>
        <v>0.21815398580296563</v>
      </c>
      <c r="AN68" s="1">
        <f t="shared" si="33"/>
        <v>1.5211648120287846</v>
      </c>
      <c r="AO68" s="1">
        <f t="shared" si="34"/>
        <v>1.0900646891414569</v>
      </c>
      <c r="AP68" s="1">
        <f t="shared" si="35"/>
        <v>0</v>
      </c>
      <c r="AQ68" s="1" t="e">
        <f t="shared" si="36"/>
        <v>#DIV/0!</v>
      </c>
      <c r="AS68" s="1">
        <f t="shared" si="37"/>
        <v>0.13089239148177939</v>
      </c>
      <c r="AT68" s="1">
        <f t="shared" si="38"/>
        <v>0.40069707243685054</v>
      </c>
      <c r="AU68" s="1">
        <f t="shared" si="39"/>
        <v>0.2987584703572882</v>
      </c>
      <c r="AV68" s="1">
        <f t="shared" si="40"/>
        <v>0.62818004365077651</v>
      </c>
      <c r="AW68" s="1" t="e">
        <f t="shared" si="41"/>
        <v>#DIV/0!</v>
      </c>
    </row>
    <row r="69" spans="2:49" x14ac:dyDescent="0.15">
      <c r="B69" s="2">
        <v>65</v>
      </c>
      <c r="C69" s="2">
        <v>45</v>
      </c>
      <c r="D69" s="2">
        <v>205</v>
      </c>
      <c r="E69" s="2">
        <v>165</v>
      </c>
      <c r="F69" s="2">
        <v>0</v>
      </c>
      <c r="G69" s="2">
        <v>0</v>
      </c>
      <c r="I69" s="2">
        <v>28</v>
      </c>
      <c r="J69" s="2">
        <v>56</v>
      </c>
      <c r="K69" s="2">
        <v>38</v>
      </c>
      <c r="L69" s="2">
        <v>18.333333333333332</v>
      </c>
      <c r="M69" s="2">
        <v>4.666666666666667</v>
      </c>
      <c r="O69" s="3">
        <f t="shared" ref="O69:O104" si="42">C69+I69</f>
        <v>73</v>
      </c>
      <c r="P69" s="3">
        <f t="shared" ref="P69:P104" si="43">D69+J69</f>
        <v>261</v>
      </c>
      <c r="Q69" s="3">
        <f t="shared" ref="Q69:Q104" si="44">E69+K69</f>
        <v>203</v>
      </c>
      <c r="R69" s="3">
        <f t="shared" ref="R69:R104" si="45">F69+L69</f>
        <v>18.333333333333332</v>
      </c>
      <c r="S69" s="3">
        <f t="shared" ref="S69:S104" si="46">G69+M69</f>
        <v>4.666666666666667</v>
      </c>
      <c r="U69" s="1">
        <f t="shared" si="17"/>
        <v>0.61643835616438358</v>
      </c>
      <c r="V69" s="1">
        <f t="shared" si="18"/>
        <v>0.78544061302681989</v>
      </c>
      <c r="W69" s="1">
        <f t="shared" si="19"/>
        <v>0.81280788177339902</v>
      </c>
      <c r="X69" s="1">
        <f t="shared" si="20"/>
        <v>0</v>
      </c>
      <c r="Y69" s="1">
        <f t="shared" si="21"/>
        <v>0</v>
      </c>
      <c r="AA69" s="1">
        <f t="shared" si="22"/>
        <v>0.38356164383561642</v>
      </c>
      <c r="AB69" s="1">
        <f t="shared" si="23"/>
        <v>0.21455938697318008</v>
      </c>
      <c r="AC69" s="1">
        <f t="shared" si="24"/>
        <v>0.18719211822660098</v>
      </c>
      <c r="AD69" s="1">
        <f t="shared" si="25"/>
        <v>1</v>
      </c>
      <c r="AE69" s="1">
        <f t="shared" si="26"/>
        <v>1</v>
      </c>
      <c r="AG69" s="2">
        <v>206.27631365233694</v>
      </c>
      <c r="AH69" s="2">
        <v>134.76514732587756</v>
      </c>
      <c r="AI69" s="2">
        <v>141.20013520481768</v>
      </c>
      <c r="AJ69" s="2">
        <v>33.570157918897188</v>
      </c>
      <c r="AK69" s="2">
        <v>0</v>
      </c>
      <c r="AM69" s="1">
        <f t="shared" ref="AM69:AM104" si="47">C69/AG69</f>
        <v>0.21815398580296563</v>
      </c>
      <c r="AN69" s="1">
        <f t="shared" ref="AN69:AN104" si="48">D69/AH69</f>
        <v>1.5211648120287846</v>
      </c>
      <c r="AO69" s="1">
        <f t="shared" ref="AO69:AO104" si="49">E69/AI69</f>
        <v>1.168554121854483</v>
      </c>
      <c r="AP69" s="1">
        <f t="shared" ref="AP69:AP104" si="50">F69/AJ69</f>
        <v>0</v>
      </c>
      <c r="AQ69" s="1" t="e">
        <f t="shared" ref="AQ69:AQ104" si="51">G69/AK69</f>
        <v>#DIV/0!</v>
      </c>
      <c r="AS69" s="1">
        <f t="shared" ref="AS69:AS104" si="52">I69/AG69</f>
        <v>0.1357402578329564</v>
      </c>
      <c r="AT69" s="1">
        <f t="shared" ref="AT69:AT104" si="53">J69/AH69</f>
        <v>0.4155377047493265</v>
      </c>
      <c r="AU69" s="1">
        <f t="shared" ref="AU69:AU104" si="54">K69/AI69</f>
        <v>0.26912155533618398</v>
      </c>
      <c r="AV69" s="1">
        <f t="shared" ref="AV69:AV104" si="55">L69/AJ69</f>
        <v>0.54611996099706162</v>
      </c>
      <c r="AW69" s="1" t="e">
        <f t="shared" ref="AW69:AW104" si="56">M69/AK69</f>
        <v>#DIV/0!</v>
      </c>
    </row>
    <row r="70" spans="2:49" x14ac:dyDescent="0.15">
      <c r="B70" s="2">
        <v>66</v>
      </c>
      <c r="C70" s="2">
        <v>45</v>
      </c>
      <c r="D70" s="2">
        <v>205</v>
      </c>
      <c r="E70" s="2">
        <v>195</v>
      </c>
      <c r="F70" s="2">
        <v>0</v>
      </c>
      <c r="G70" s="2">
        <v>0</v>
      </c>
      <c r="I70" s="2">
        <v>29</v>
      </c>
      <c r="J70" s="2">
        <v>58</v>
      </c>
      <c r="K70" s="2">
        <v>39</v>
      </c>
      <c r="L70" s="2">
        <v>19.666666666666664</v>
      </c>
      <c r="M70" s="2">
        <v>5.1333333333333337</v>
      </c>
      <c r="O70" s="3">
        <f t="shared" si="42"/>
        <v>74</v>
      </c>
      <c r="P70" s="3">
        <f t="shared" si="43"/>
        <v>263</v>
      </c>
      <c r="Q70" s="3">
        <f t="shared" si="44"/>
        <v>234</v>
      </c>
      <c r="R70" s="3">
        <f t="shared" si="45"/>
        <v>19.666666666666664</v>
      </c>
      <c r="S70" s="3">
        <f t="shared" si="46"/>
        <v>5.1333333333333337</v>
      </c>
      <c r="U70" s="1">
        <f t="shared" ref="U70:U104" si="57">C70/O70</f>
        <v>0.60810810810810811</v>
      </c>
      <c r="V70" s="1">
        <f t="shared" ref="V70:V104" si="58">D70/P70</f>
        <v>0.77946768060836502</v>
      </c>
      <c r="W70" s="1">
        <f t="shared" ref="W70:W104" si="59">E70/Q70</f>
        <v>0.83333333333333337</v>
      </c>
      <c r="X70" s="1">
        <f t="shared" ref="X70:X104" si="60">F70/R70</f>
        <v>0</v>
      </c>
      <c r="Y70" s="1">
        <f t="shared" ref="Y70:Y104" si="61">G70/S70</f>
        <v>0</v>
      </c>
      <c r="AA70" s="1">
        <f t="shared" ref="AA70:AA104" si="62">I70/O70</f>
        <v>0.39189189189189189</v>
      </c>
      <c r="AB70" s="1">
        <f t="shared" ref="AB70:AB104" si="63">J70/P70</f>
        <v>0.22053231939163498</v>
      </c>
      <c r="AC70" s="1">
        <f t="shared" ref="AC70:AC104" si="64">K70/Q70</f>
        <v>0.16666666666666666</v>
      </c>
      <c r="AD70" s="1">
        <f t="shared" ref="AD70:AD104" si="65">L70/R70</f>
        <v>1</v>
      </c>
      <c r="AE70" s="1">
        <f t="shared" ref="AE70:AE104" si="66">M70/S70</f>
        <v>1</v>
      </c>
      <c r="AG70" s="2">
        <v>206.27631365233694</v>
      </c>
      <c r="AH70" s="2">
        <v>134.76514732587756</v>
      </c>
      <c r="AI70" s="2">
        <v>160.69380443324417</v>
      </c>
      <c r="AJ70" s="2">
        <v>40.996317624964419</v>
      </c>
      <c r="AK70" s="2">
        <v>0</v>
      </c>
      <c r="AM70" s="1">
        <f t="shared" si="47"/>
        <v>0.21815398580296563</v>
      </c>
      <c r="AN70" s="1">
        <f t="shared" si="48"/>
        <v>1.5211648120287846</v>
      </c>
      <c r="AO70" s="1">
        <f t="shared" si="49"/>
        <v>1.2134879791274553</v>
      </c>
      <c r="AP70" s="1">
        <f t="shared" si="50"/>
        <v>0</v>
      </c>
      <c r="AQ70" s="1" t="e">
        <f t="shared" si="51"/>
        <v>#DIV/0!</v>
      </c>
      <c r="AS70" s="1">
        <f t="shared" si="52"/>
        <v>0.14058812418413341</v>
      </c>
      <c r="AT70" s="1">
        <f t="shared" si="53"/>
        <v>0.43037833706180245</v>
      </c>
      <c r="AU70" s="1">
        <f t="shared" si="54"/>
        <v>0.24269759582549108</v>
      </c>
      <c r="AV70" s="1">
        <f t="shared" si="55"/>
        <v>0.47971788214195088</v>
      </c>
      <c r="AW70" s="1" t="e">
        <f t="shared" si="56"/>
        <v>#DIV/0!</v>
      </c>
    </row>
    <row r="71" spans="2:49" x14ac:dyDescent="0.15">
      <c r="B71" s="2">
        <v>67</v>
      </c>
      <c r="C71" s="2">
        <v>45</v>
      </c>
      <c r="D71" s="2">
        <v>205</v>
      </c>
      <c r="E71" s="2">
        <v>225</v>
      </c>
      <c r="F71" s="2">
        <v>0</v>
      </c>
      <c r="G71" s="2">
        <v>0</v>
      </c>
      <c r="I71" s="2">
        <v>30</v>
      </c>
      <c r="J71" s="2">
        <v>60</v>
      </c>
      <c r="K71" s="2">
        <v>40</v>
      </c>
      <c r="L71" s="2">
        <v>21</v>
      </c>
      <c r="M71" s="2">
        <v>5.6</v>
      </c>
      <c r="O71" s="3">
        <f t="shared" si="42"/>
        <v>75</v>
      </c>
      <c r="P71" s="3">
        <f t="shared" si="43"/>
        <v>265</v>
      </c>
      <c r="Q71" s="3">
        <f t="shared" si="44"/>
        <v>265</v>
      </c>
      <c r="R71" s="3">
        <f t="shared" si="45"/>
        <v>21</v>
      </c>
      <c r="S71" s="3">
        <f t="shared" si="46"/>
        <v>5.6</v>
      </c>
      <c r="U71" s="1">
        <f t="shared" si="57"/>
        <v>0.6</v>
      </c>
      <c r="V71" s="1">
        <f t="shared" si="58"/>
        <v>0.77358490566037741</v>
      </c>
      <c r="W71" s="1">
        <f t="shared" si="59"/>
        <v>0.84905660377358494</v>
      </c>
      <c r="X71" s="1">
        <f t="shared" si="60"/>
        <v>0</v>
      </c>
      <c r="Y71" s="1">
        <f t="shared" si="61"/>
        <v>0</v>
      </c>
      <c r="AA71" s="1">
        <f t="shared" si="62"/>
        <v>0.4</v>
      </c>
      <c r="AB71" s="1">
        <f t="shared" si="63"/>
        <v>0.22641509433962265</v>
      </c>
      <c r="AC71" s="1">
        <f t="shared" si="64"/>
        <v>0.15094339622641509</v>
      </c>
      <c r="AD71" s="1">
        <f t="shared" si="65"/>
        <v>1</v>
      </c>
      <c r="AE71" s="1">
        <f t="shared" si="66"/>
        <v>1</v>
      </c>
      <c r="AG71" s="2">
        <v>206.27631365233694</v>
      </c>
      <c r="AH71" s="2">
        <v>134.76514732587756</v>
      </c>
      <c r="AI71" s="2">
        <v>182.54360052420273</v>
      </c>
      <c r="AJ71" s="2">
        <v>49.438284296471139</v>
      </c>
      <c r="AK71" s="2">
        <v>0</v>
      </c>
      <c r="AM71" s="1">
        <f t="shared" si="47"/>
        <v>0.21815398580296563</v>
      </c>
      <c r="AN71" s="1">
        <f t="shared" si="48"/>
        <v>1.5211648120287846</v>
      </c>
      <c r="AO71" s="1">
        <f t="shared" si="49"/>
        <v>1.2325822398258663</v>
      </c>
      <c r="AP71" s="1">
        <f t="shared" si="50"/>
        <v>0</v>
      </c>
      <c r="AQ71" s="1" t="e">
        <f t="shared" si="51"/>
        <v>#DIV/0!</v>
      </c>
      <c r="AS71" s="1">
        <f t="shared" si="52"/>
        <v>0.14543599053531042</v>
      </c>
      <c r="AT71" s="1">
        <f t="shared" si="53"/>
        <v>0.44521896937427841</v>
      </c>
      <c r="AU71" s="1">
        <f t="shared" si="54"/>
        <v>0.21912573152459847</v>
      </c>
      <c r="AV71" s="1">
        <f t="shared" si="55"/>
        <v>0.42477202230699096</v>
      </c>
      <c r="AW71" s="1" t="e">
        <f t="shared" si="56"/>
        <v>#DIV/0!</v>
      </c>
    </row>
    <row r="72" spans="2:49" x14ac:dyDescent="0.15">
      <c r="B72" s="2">
        <v>68</v>
      </c>
      <c r="C72" s="2">
        <v>45</v>
      </c>
      <c r="D72" s="2">
        <v>205</v>
      </c>
      <c r="E72" s="2">
        <v>260</v>
      </c>
      <c r="F72" s="2">
        <v>0</v>
      </c>
      <c r="G72" s="2">
        <v>0</v>
      </c>
      <c r="I72" s="2">
        <v>31</v>
      </c>
      <c r="J72" s="2">
        <v>62</v>
      </c>
      <c r="K72" s="2">
        <v>41</v>
      </c>
      <c r="L72" s="2">
        <v>22.333333333333332</v>
      </c>
      <c r="M72" s="2">
        <v>6.0666666666666664</v>
      </c>
      <c r="O72" s="3">
        <f t="shared" si="42"/>
        <v>76</v>
      </c>
      <c r="P72" s="3">
        <f t="shared" si="43"/>
        <v>267</v>
      </c>
      <c r="Q72" s="3">
        <f t="shared" si="44"/>
        <v>301</v>
      </c>
      <c r="R72" s="3">
        <f t="shared" si="45"/>
        <v>22.333333333333332</v>
      </c>
      <c r="S72" s="3">
        <f t="shared" si="46"/>
        <v>6.0666666666666664</v>
      </c>
      <c r="U72" s="1">
        <f t="shared" si="57"/>
        <v>0.59210526315789469</v>
      </c>
      <c r="V72" s="1">
        <f t="shared" si="58"/>
        <v>0.76779026217228463</v>
      </c>
      <c r="W72" s="1">
        <f t="shared" si="59"/>
        <v>0.86378737541528239</v>
      </c>
      <c r="X72" s="1">
        <f t="shared" si="60"/>
        <v>0</v>
      </c>
      <c r="Y72" s="1">
        <f t="shared" si="61"/>
        <v>0</v>
      </c>
      <c r="AA72" s="1">
        <f t="shared" si="62"/>
        <v>0.40789473684210525</v>
      </c>
      <c r="AB72" s="1">
        <f t="shared" si="63"/>
        <v>0.23220973782771537</v>
      </c>
      <c r="AC72" s="1">
        <f t="shared" si="64"/>
        <v>0.13621262458471761</v>
      </c>
      <c r="AD72" s="1">
        <f t="shared" si="65"/>
        <v>1</v>
      </c>
      <c r="AE72" s="1">
        <f t="shared" si="66"/>
        <v>1</v>
      </c>
      <c r="AG72" s="2">
        <v>206.27631365233694</v>
      </c>
      <c r="AH72" s="2">
        <v>134.76514732587756</v>
      </c>
      <c r="AI72" s="2">
        <v>206.98646916737044</v>
      </c>
      <c r="AJ72" s="2">
        <v>59.002885069884591</v>
      </c>
      <c r="AK72" s="2">
        <v>0</v>
      </c>
      <c r="AM72" s="1">
        <f t="shared" si="47"/>
        <v>0.21815398580296563</v>
      </c>
      <c r="AN72" s="1">
        <f t="shared" si="48"/>
        <v>1.5211648120287846</v>
      </c>
      <c r="AO72" s="1">
        <f t="shared" si="49"/>
        <v>1.2561207553608855</v>
      </c>
      <c r="AP72" s="1">
        <f t="shared" si="50"/>
        <v>0</v>
      </c>
      <c r="AQ72" s="1" t="e">
        <f t="shared" si="51"/>
        <v>#DIV/0!</v>
      </c>
      <c r="AS72" s="1">
        <f t="shared" si="52"/>
        <v>0.15028385688648743</v>
      </c>
      <c r="AT72" s="1">
        <f t="shared" si="53"/>
        <v>0.46005960168675436</v>
      </c>
      <c r="AU72" s="1">
        <f t="shared" si="54"/>
        <v>0.19808058065306272</v>
      </c>
      <c r="AV72" s="1">
        <f t="shared" si="55"/>
        <v>0.37851256437513414</v>
      </c>
      <c r="AW72" s="1" t="e">
        <f t="shared" si="56"/>
        <v>#DIV/0!</v>
      </c>
    </row>
    <row r="73" spans="2:49" x14ac:dyDescent="0.15">
      <c r="B73" s="2">
        <v>69</v>
      </c>
      <c r="C73" s="2">
        <v>45</v>
      </c>
      <c r="D73" s="2">
        <v>205</v>
      </c>
      <c r="E73" s="2">
        <v>295</v>
      </c>
      <c r="F73" s="2">
        <v>0</v>
      </c>
      <c r="G73" s="2">
        <v>0</v>
      </c>
      <c r="I73" s="2">
        <v>32</v>
      </c>
      <c r="J73" s="2">
        <v>64</v>
      </c>
      <c r="K73" s="2">
        <v>42</v>
      </c>
      <c r="L73" s="2">
        <v>23.666666666666664</v>
      </c>
      <c r="M73" s="2">
        <v>6.5333333333333332</v>
      </c>
      <c r="O73" s="3">
        <f t="shared" si="42"/>
        <v>77</v>
      </c>
      <c r="P73" s="3">
        <f t="shared" si="43"/>
        <v>269</v>
      </c>
      <c r="Q73" s="3">
        <f t="shared" si="44"/>
        <v>337</v>
      </c>
      <c r="R73" s="3">
        <f t="shared" si="45"/>
        <v>23.666666666666664</v>
      </c>
      <c r="S73" s="3">
        <f t="shared" si="46"/>
        <v>6.5333333333333332</v>
      </c>
      <c r="U73" s="1">
        <f t="shared" si="57"/>
        <v>0.58441558441558439</v>
      </c>
      <c r="V73" s="1">
        <f t="shared" si="58"/>
        <v>0.76208178438661711</v>
      </c>
      <c r="W73" s="1">
        <f t="shared" si="59"/>
        <v>0.87537091988130566</v>
      </c>
      <c r="X73" s="1">
        <f t="shared" si="60"/>
        <v>0</v>
      </c>
      <c r="Y73" s="1">
        <f t="shared" si="61"/>
        <v>0</v>
      </c>
      <c r="AA73" s="1">
        <f t="shared" si="62"/>
        <v>0.41558441558441561</v>
      </c>
      <c r="AB73" s="1">
        <f t="shared" si="63"/>
        <v>0.23791821561338289</v>
      </c>
      <c r="AC73" s="1">
        <f t="shared" si="64"/>
        <v>0.12462908011869436</v>
      </c>
      <c r="AD73" s="1">
        <f t="shared" si="65"/>
        <v>1</v>
      </c>
      <c r="AE73" s="1">
        <f t="shared" si="66"/>
        <v>1</v>
      </c>
      <c r="AG73" s="2">
        <v>206.27631365233694</v>
      </c>
      <c r="AH73" s="2">
        <v>134.76514732587756</v>
      </c>
      <c r="AI73" s="2">
        <v>234.28135508947921</v>
      </c>
      <c r="AJ73" s="2">
        <v>69.807110747385977</v>
      </c>
      <c r="AK73" s="2">
        <v>0</v>
      </c>
      <c r="AM73" s="1">
        <f t="shared" si="47"/>
        <v>0.21815398580296563</v>
      </c>
      <c r="AN73" s="1">
        <f t="shared" si="48"/>
        <v>1.5211648120287846</v>
      </c>
      <c r="AO73" s="1">
        <f t="shared" si="49"/>
        <v>1.2591697699858808</v>
      </c>
      <c r="AP73" s="1">
        <f t="shared" si="50"/>
        <v>0</v>
      </c>
      <c r="AQ73" s="1" t="e">
        <f t="shared" si="51"/>
        <v>#DIV/0!</v>
      </c>
      <c r="AS73" s="1">
        <f t="shared" si="52"/>
        <v>0.15513172323766444</v>
      </c>
      <c r="AT73" s="1">
        <f t="shared" si="53"/>
        <v>0.47490023399923031</v>
      </c>
      <c r="AU73" s="1">
        <f t="shared" si="54"/>
        <v>0.17927162826917625</v>
      </c>
      <c r="AV73" s="1">
        <f t="shared" si="55"/>
        <v>0.33902945435330017</v>
      </c>
      <c r="AW73" s="1" t="e">
        <f t="shared" si="56"/>
        <v>#DIV/0!</v>
      </c>
    </row>
    <row r="74" spans="2:49" x14ac:dyDescent="0.15">
      <c r="B74" s="2">
        <v>70</v>
      </c>
      <c r="C74" s="2">
        <v>45</v>
      </c>
      <c r="D74" s="2">
        <v>205</v>
      </c>
      <c r="E74" s="2">
        <v>330</v>
      </c>
      <c r="F74" s="2">
        <v>0</v>
      </c>
      <c r="G74" s="2">
        <v>0</v>
      </c>
      <c r="I74" s="2">
        <v>33</v>
      </c>
      <c r="J74" s="2">
        <v>66</v>
      </c>
      <c r="K74" s="2">
        <v>43</v>
      </c>
      <c r="L74" s="2">
        <v>25</v>
      </c>
      <c r="M74" s="2">
        <v>7</v>
      </c>
      <c r="O74" s="3">
        <f t="shared" si="42"/>
        <v>78</v>
      </c>
      <c r="P74" s="3">
        <f t="shared" si="43"/>
        <v>271</v>
      </c>
      <c r="Q74" s="3">
        <f t="shared" si="44"/>
        <v>373</v>
      </c>
      <c r="R74" s="3">
        <f t="shared" si="45"/>
        <v>25</v>
      </c>
      <c r="S74" s="3">
        <f t="shared" si="46"/>
        <v>7</v>
      </c>
      <c r="U74" s="1">
        <f t="shared" si="57"/>
        <v>0.57692307692307687</v>
      </c>
      <c r="V74" s="1">
        <f t="shared" si="58"/>
        <v>0.75645756457564572</v>
      </c>
      <c r="W74" s="1">
        <f t="shared" si="59"/>
        <v>0.88471849865951746</v>
      </c>
      <c r="X74" s="1">
        <f t="shared" si="60"/>
        <v>0</v>
      </c>
      <c r="Y74" s="1">
        <f t="shared" si="61"/>
        <v>0</v>
      </c>
      <c r="AA74" s="1">
        <f t="shared" si="62"/>
        <v>0.42307692307692307</v>
      </c>
      <c r="AB74" s="1">
        <f t="shared" si="63"/>
        <v>0.24354243542435425</v>
      </c>
      <c r="AC74" s="1">
        <f t="shared" si="64"/>
        <v>0.11528150134048257</v>
      </c>
      <c r="AD74" s="1">
        <f t="shared" si="65"/>
        <v>1</v>
      </c>
      <c r="AE74" s="1">
        <f t="shared" si="66"/>
        <v>1</v>
      </c>
      <c r="AG74" s="2">
        <v>206.27631365233694</v>
      </c>
      <c r="AH74" s="2">
        <v>134.76514732587756</v>
      </c>
      <c r="AI74" s="2">
        <v>264.71113933932384</v>
      </c>
      <c r="AJ74" s="2">
        <v>81.979024447323823</v>
      </c>
      <c r="AK74" s="2">
        <v>0</v>
      </c>
      <c r="AM74" s="1">
        <f t="shared" si="47"/>
        <v>0.21815398580296563</v>
      </c>
      <c r="AN74" s="1">
        <f t="shared" si="48"/>
        <v>1.5211648120287846</v>
      </c>
      <c r="AO74" s="1">
        <f t="shared" si="49"/>
        <v>1.2466419086995228</v>
      </c>
      <c r="AP74" s="1">
        <f t="shared" si="50"/>
        <v>0</v>
      </c>
      <c r="AQ74" s="1" t="e">
        <f t="shared" si="51"/>
        <v>#DIV/0!</v>
      </c>
      <c r="AS74" s="1">
        <f t="shared" si="52"/>
        <v>0.15997958958884148</v>
      </c>
      <c r="AT74" s="1">
        <f t="shared" si="53"/>
        <v>0.48974086631170627</v>
      </c>
      <c r="AU74" s="1">
        <f t="shared" si="54"/>
        <v>0.16244121840630146</v>
      </c>
      <c r="AV74" s="1">
        <f t="shared" si="55"/>
        <v>0.30495605636370948</v>
      </c>
      <c r="AW74" s="1" t="e">
        <f t="shared" si="56"/>
        <v>#DIV/0!</v>
      </c>
    </row>
    <row r="75" spans="2:49" x14ac:dyDescent="0.15">
      <c r="B75" s="2">
        <v>71</v>
      </c>
      <c r="C75" s="2">
        <v>45</v>
      </c>
      <c r="D75" s="2">
        <v>205</v>
      </c>
      <c r="E75" s="2">
        <v>330</v>
      </c>
      <c r="F75" s="2">
        <v>15</v>
      </c>
      <c r="G75" s="2">
        <v>0</v>
      </c>
      <c r="I75" s="2">
        <v>33.471428571428568</v>
      </c>
      <c r="J75" s="2">
        <v>66.942857142857136</v>
      </c>
      <c r="K75" s="2">
        <v>43.614285714285714</v>
      </c>
      <c r="L75" s="2">
        <v>25.357142857142858</v>
      </c>
      <c r="M75" s="2">
        <v>7.1</v>
      </c>
      <c r="O75" s="3">
        <f t="shared" si="42"/>
        <v>78.471428571428561</v>
      </c>
      <c r="P75" s="3">
        <f t="shared" si="43"/>
        <v>271.94285714285712</v>
      </c>
      <c r="Q75" s="3">
        <f t="shared" si="44"/>
        <v>373.6142857142857</v>
      </c>
      <c r="R75" s="3">
        <f t="shared" si="45"/>
        <v>40.357142857142861</v>
      </c>
      <c r="S75" s="3">
        <f t="shared" si="46"/>
        <v>7.1</v>
      </c>
      <c r="U75" s="1">
        <f t="shared" si="57"/>
        <v>0.57345712725286735</v>
      </c>
      <c r="V75" s="1">
        <f t="shared" si="58"/>
        <v>0.75383483925194372</v>
      </c>
      <c r="W75" s="1">
        <f t="shared" si="59"/>
        <v>0.88326387030168629</v>
      </c>
      <c r="X75" s="1">
        <f t="shared" si="60"/>
        <v>0.37168141592920351</v>
      </c>
      <c r="Y75" s="1">
        <f t="shared" si="61"/>
        <v>0</v>
      </c>
      <c r="AA75" s="1">
        <f t="shared" si="62"/>
        <v>0.42654287274713271</v>
      </c>
      <c r="AB75" s="1">
        <f t="shared" si="63"/>
        <v>0.24616516074805631</v>
      </c>
      <c r="AC75" s="1">
        <f t="shared" si="64"/>
        <v>0.11673612969831378</v>
      </c>
      <c r="AD75" s="1">
        <f t="shared" si="65"/>
        <v>0.62831858407079644</v>
      </c>
      <c r="AE75" s="1">
        <f t="shared" si="66"/>
        <v>1</v>
      </c>
      <c r="AG75" s="2">
        <v>206.27631365233694</v>
      </c>
      <c r="AH75" s="2">
        <v>134.76514732587756</v>
      </c>
      <c r="AI75" s="2">
        <v>290.76775626105689</v>
      </c>
      <c r="AJ75" s="2">
        <v>96.310163754276999</v>
      </c>
      <c r="AK75" s="2">
        <v>0.651415423043326</v>
      </c>
      <c r="AM75" s="1">
        <f t="shared" si="47"/>
        <v>0.21815398580296563</v>
      </c>
      <c r="AN75" s="1">
        <f t="shared" si="48"/>
        <v>1.5211648120287846</v>
      </c>
      <c r="AO75" s="1">
        <f t="shared" si="49"/>
        <v>1.1349263902002933</v>
      </c>
      <c r="AP75" s="1">
        <f t="shared" si="50"/>
        <v>0.1557468019499019</v>
      </c>
      <c r="AQ75" s="1">
        <f t="shared" si="51"/>
        <v>0</v>
      </c>
      <c r="AS75" s="1">
        <f t="shared" si="52"/>
        <v>0.16226501229725349</v>
      </c>
      <c r="AT75" s="1">
        <f t="shared" si="53"/>
        <v>0.49673716440187343</v>
      </c>
      <c r="AU75" s="1">
        <f t="shared" si="54"/>
        <v>0.14999698135417727</v>
      </c>
      <c r="AV75" s="1">
        <f t="shared" si="55"/>
        <v>0.2632862604391199</v>
      </c>
      <c r="AW75" s="1">
        <f t="shared" si="56"/>
        <v>10.899342798532073</v>
      </c>
    </row>
    <row r="76" spans="2:49" x14ac:dyDescent="0.15">
      <c r="B76" s="2">
        <v>72</v>
      </c>
      <c r="C76" s="2">
        <v>45</v>
      </c>
      <c r="D76" s="2">
        <v>205</v>
      </c>
      <c r="E76" s="2">
        <v>330</v>
      </c>
      <c r="F76" s="2">
        <v>30</v>
      </c>
      <c r="G76" s="2">
        <v>0</v>
      </c>
      <c r="I76" s="2">
        <v>33.942857142857143</v>
      </c>
      <c r="J76" s="2">
        <v>67.885714285714286</v>
      </c>
      <c r="K76" s="2">
        <v>44.228571428571428</v>
      </c>
      <c r="L76" s="2">
        <v>25.714285714285715</v>
      </c>
      <c r="M76" s="2">
        <v>7.2</v>
      </c>
      <c r="O76" s="3">
        <f t="shared" si="42"/>
        <v>78.94285714285715</v>
      </c>
      <c r="P76" s="3">
        <f t="shared" si="43"/>
        <v>272.8857142857143</v>
      </c>
      <c r="Q76" s="3">
        <f t="shared" si="44"/>
        <v>374.2285714285714</v>
      </c>
      <c r="R76" s="3">
        <f t="shared" si="45"/>
        <v>55.714285714285715</v>
      </c>
      <c r="S76" s="3">
        <f t="shared" si="46"/>
        <v>7.2</v>
      </c>
      <c r="U76" s="1">
        <f t="shared" si="57"/>
        <v>0.5700325732899022</v>
      </c>
      <c r="V76" s="1">
        <f t="shared" si="58"/>
        <v>0.75123023767144792</v>
      </c>
      <c r="W76" s="1">
        <f t="shared" si="59"/>
        <v>0.88181401740723786</v>
      </c>
      <c r="X76" s="1">
        <f t="shared" si="60"/>
        <v>0.53846153846153844</v>
      </c>
      <c r="Y76" s="1">
        <f t="shared" si="61"/>
        <v>0</v>
      </c>
      <c r="AA76" s="1">
        <f t="shared" si="62"/>
        <v>0.42996742671009769</v>
      </c>
      <c r="AB76" s="1">
        <f t="shared" si="63"/>
        <v>0.24876976232855197</v>
      </c>
      <c r="AC76" s="1">
        <f t="shared" si="64"/>
        <v>0.11818598259276226</v>
      </c>
      <c r="AD76" s="1">
        <f t="shared" si="65"/>
        <v>0.46153846153846156</v>
      </c>
      <c r="AE76" s="1">
        <f t="shared" si="66"/>
        <v>1</v>
      </c>
      <c r="AG76" s="2">
        <v>206.27631365233694</v>
      </c>
      <c r="AH76" s="2">
        <v>134.76514732587756</v>
      </c>
      <c r="AI76" s="2">
        <v>311.68701071968457</v>
      </c>
      <c r="AJ76" s="2">
        <v>113.04556732117913</v>
      </c>
      <c r="AK76" s="2">
        <v>2.046032386951838</v>
      </c>
      <c r="AM76" s="1">
        <f t="shared" si="47"/>
        <v>0.21815398580296563</v>
      </c>
      <c r="AN76" s="1">
        <f t="shared" si="48"/>
        <v>1.5211648120287846</v>
      </c>
      <c r="AO76" s="1">
        <f t="shared" si="49"/>
        <v>1.0587544191784919</v>
      </c>
      <c r="AP76" s="1">
        <f t="shared" si="50"/>
        <v>0.26537971112804071</v>
      </c>
      <c r="AQ76" s="1">
        <f t="shared" si="51"/>
        <v>0</v>
      </c>
      <c r="AS76" s="1">
        <f t="shared" si="52"/>
        <v>0.16455043500566552</v>
      </c>
      <c r="AT76" s="1">
        <f t="shared" si="53"/>
        <v>0.50373346249204076</v>
      </c>
      <c r="AU76" s="1">
        <f t="shared" si="54"/>
        <v>0.14190059228470175</v>
      </c>
      <c r="AV76" s="1">
        <f t="shared" si="55"/>
        <v>0.22746832382403492</v>
      </c>
      <c r="AW76" s="1">
        <f t="shared" si="56"/>
        <v>3.5190058798270054</v>
      </c>
    </row>
    <row r="77" spans="2:49" x14ac:dyDescent="0.15">
      <c r="B77" s="2">
        <v>73</v>
      </c>
      <c r="C77" s="2">
        <v>45</v>
      </c>
      <c r="D77" s="2">
        <v>205</v>
      </c>
      <c r="E77" s="2">
        <v>330</v>
      </c>
      <c r="F77" s="2">
        <v>45</v>
      </c>
      <c r="G77" s="2">
        <v>0</v>
      </c>
      <c r="I77" s="2">
        <v>34.414285714285711</v>
      </c>
      <c r="J77" s="2">
        <v>68.828571428571422</v>
      </c>
      <c r="K77" s="2">
        <v>44.842857142857142</v>
      </c>
      <c r="L77" s="2">
        <v>26.071428571428573</v>
      </c>
      <c r="M77" s="2">
        <v>7.3</v>
      </c>
      <c r="O77" s="3">
        <f t="shared" si="42"/>
        <v>79.414285714285711</v>
      </c>
      <c r="P77" s="3">
        <f t="shared" si="43"/>
        <v>273.82857142857142</v>
      </c>
      <c r="Q77" s="3">
        <f t="shared" si="44"/>
        <v>374.84285714285716</v>
      </c>
      <c r="R77" s="3">
        <f t="shared" si="45"/>
        <v>71.071428571428569</v>
      </c>
      <c r="S77" s="3">
        <f t="shared" si="46"/>
        <v>7.3</v>
      </c>
      <c r="U77" s="1">
        <f t="shared" si="57"/>
        <v>0.56664867781975181</v>
      </c>
      <c r="V77" s="1">
        <f t="shared" si="58"/>
        <v>0.74864357262103509</v>
      </c>
      <c r="W77" s="1">
        <f t="shared" si="59"/>
        <v>0.88036891649834215</v>
      </c>
      <c r="X77" s="1">
        <f t="shared" si="60"/>
        <v>0.63316582914572861</v>
      </c>
      <c r="Y77" s="1">
        <f t="shared" si="61"/>
        <v>0</v>
      </c>
      <c r="AA77" s="1">
        <f t="shared" si="62"/>
        <v>0.43335132218024824</v>
      </c>
      <c r="AB77" s="1">
        <f t="shared" si="63"/>
        <v>0.25135642737896491</v>
      </c>
      <c r="AC77" s="1">
        <f t="shared" si="64"/>
        <v>0.11963108350165783</v>
      </c>
      <c r="AD77" s="1">
        <f t="shared" si="65"/>
        <v>0.36683417085427139</v>
      </c>
      <c r="AE77" s="1">
        <f t="shared" si="66"/>
        <v>1</v>
      </c>
      <c r="AG77" s="2">
        <v>206.27631365233694</v>
      </c>
      <c r="AH77" s="2">
        <v>134.76514732587756</v>
      </c>
      <c r="AI77" s="2">
        <v>326.61691961187671</v>
      </c>
      <c r="AJ77" s="2">
        <v>132.4544488810289</v>
      </c>
      <c r="AK77" s="2">
        <v>4.2855187207806562</v>
      </c>
      <c r="AM77" s="1">
        <f t="shared" si="47"/>
        <v>0.21815398580296563</v>
      </c>
      <c r="AN77" s="1">
        <f t="shared" si="48"/>
        <v>1.5211648120287846</v>
      </c>
      <c r="AO77" s="1">
        <f t="shared" si="49"/>
        <v>1.01035794591457</v>
      </c>
      <c r="AP77" s="1">
        <f t="shared" si="50"/>
        <v>0.33973943782302984</v>
      </c>
      <c r="AQ77" s="1">
        <f t="shared" si="51"/>
        <v>0</v>
      </c>
      <c r="AS77" s="1">
        <f t="shared" si="52"/>
        <v>0.16683585771407752</v>
      </c>
      <c r="AT77" s="1">
        <f t="shared" si="53"/>
        <v>0.51072976058220787</v>
      </c>
      <c r="AU77" s="1">
        <f t="shared" si="54"/>
        <v>0.13729496070241712</v>
      </c>
      <c r="AV77" s="1">
        <f t="shared" si="55"/>
        <v>0.19683316635778714</v>
      </c>
      <c r="AW77" s="1">
        <f t="shared" si="56"/>
        <v>1.7034110630766819</v>
      </c>
    </row>
    <row r="78" spans="2:49" x14ac:dyDescent="0.15">
      <c r="B78" s="2">
        <v>74</v>
      </c>
      <c r="C78" s="2">
        <v>45</v>
      </c>
      <c r="D78" s="2">
        <v>205</v>
      </c>
      <c r="E78" s="2">
        <v>330</v>
      </c>
      <c r="F78" s="2">
        <v>60</v>
      </c>
      <c r="G78" s="2">
        <v>0</v>
      </c>
      <c r="I78" s="2">
        <v>34.885714285714286</v>
      </c>
      <c r="J78" s="2">
        <v>69.771428571428572</v>
      </c>
      <c r="K78" s="2">
        <v>45.457142857142856</v>
      </c>
      <c r="L78" s="2">
        <v>26.428571428571427</v>
      </c>
      <c r="M78" s="2">
        <v>7.4</v>
      </c>
      <c r="O78" s="3">
        <f t="shared" si="42"/>
        <v>79.885714285714286</v>
      </c>
      <c r="P78" s="3">
        <f t="shared" si="43"/>
        <v>274.7714285714286</v>
      </c>
      <c r="Q78" s="3">
        <f t="shared" si="44"/>
        <v>375.45714285714286</v>
      </c>
      <c r="R78" s="3">
        <f t="shared" si="45"/>
        <v>86.428571428571431</v>
      </c>
      <c r="S78" s="3">
        <f t="shared" si="46"/>
        <v>7.4</v>
      </c>
      <c r="U78" s="1">
        <f t="shared" si="57"/>
        <v>0.56330472103004292</v>
      </c>
      <c r="V78" s="1">
        <f t="shared" si="58"/>
        <v>0.74607465945721108</v>
      </c>
      <c r="W78" s="1">
        <f t="shared" si="59"/>
        <v>0.87892854425081801</v>
      </c>
      <c r="X78" s="1">
        <f t="shared" si="60"/>
        <v>0.69421487603305787</v>
      </c>
      <c r="Y78" s="1">
        <f t="shared" si="61"/>
        <v>0</v>
      </c>
      <c r="AA78" s="1">
        <f t="shared" si="62"/>
        <v>0.43669527896995708</v>
      </c>
      <c r="AB78" s="1">
        <f t="shared" si="63"/>
        <v>0.25392534054278881</v>
      </c>
      <c r="AC78" s="1">
        <f t="shared" si="64"/>
        <v>0.12107145574918195</v>
      </c>
      <c r="AD78" s="1">
        <f t="shared" si="65"/>
        <v>0.30578512396694213</v>
      </c>
      <c r="AE78" s="1">
        <f t="shared" si="66"/>
        <v>1</v>
      </c>
      <c r="AG78" s="2">
        <v>206.27631365233694</v>
      </c>
      <c r="AH78" s="2">
        <v>134.76514732587756</v>
      </c>
      <c r="AI78" s="2">
        <v>334.60904687074043</v>
      </c>
      <c r="AJ78" s="2">
        <v>154.83240520584724</v>
      </c>
      <c r="AK78" s="2">
        <v>7.4823696243261342</v>
      </c>
      <c r="AM78" s="1">
        <f t="shared" si="47"/>
        <v>0.21815398580296563</v>
      </c>
      <c r="AN78" s="1">
        <f t="shared" si="48"/>
        <v>1.5211648120287846</v>
      </c>
      <c r="AO78" s="1">
        <f t="shared" si="49"/>
        <v>0.98622557604510641</v>
      </c>
      <c r="AP78" s="1">
        <f t="shared" si="50"/>
        <v>0.38751577823925776</v>
      </c>
      <c r="AQ78" s="1">
        <f t="shared" si="51"/>
        <v>0</v>
      </c>
      <c r="AS78" s="1">
        <f t="shared" si="52"/>
        <v>0.16912128042248956</v>
      </c>
      <c r="AT78" s="1">
        <f t="shared" si="53"/>
        <v>0.5177260586723752</v>
      </c>
      <c r="AU78" s="1">
        <f t="shared" si="54"/>
        <v>0.13585150575651639</v>
      </c>
      <c r="AV78" s="1">
        <f t="shared" si="55"/>
        <v>0.17069147374824448</v>
      </c>
      <c r="AW78" s="1">
        <f t="shared" si="56"/>
        <v>0.98899150557086357</v>
      </c>
    </row>
    <row r="79" spans="2:49" x14ac:dyDescent="0.15">
      <c r="B79" s="2">
        <v>75</v>
      </c>
      <c r="C79" s="2">
        <v>45</v>
      </c>
      <c r="D79" s="2">
        <v>205</v>
      </c>
      <c r="E79" s="2">
        <v>330</v>
      </c>
      <c r="F79" s="2">
        <v>97.5</v>
      </c>
      <c r="G79" s="2">
        <v>0</v>
      </c>
      <c r="I79" s="2">
        <v>35.357142857142854</v>
      </c>
      <c r="J79" s="2">
        <v>70.714285714285708</v>
      </c>
      <c r="K79" s="2">
        <v>46.071428571428569</v>
      </c>
      <c r="L79" s="2">
        <v>26.785714285714285</v>
      </c>
      <c r="M79" s="2">
        <v>7.5</v>
      </c>
      <c r="O79" s="3">
        <f t="shared" si="42"/>
        <v>80.357142857142861</v>
      </c>
      <c r="P79" s="3">
        <f t="shared" si="43"/>
        <v>275.71428571428572</v>
      </c>
      <c r="Q79" s="3">
        <f t="shared" si="44"/>
        <v>376.07142857142856</v>
      </c>
      <c r="R79" s="3">
        <f t="shared" si="45"/>
        <v>124.28571428571428</v>
      </c>
      <c r="S79" s="3">
        <f t="shared" si="46"/>
        <v>7.5</v>
      </c>
      <c r="U79" s="1">
        <f t="shared" si="57"/>
        <v>0.55999999999999994</v>
      </c>
      <c r="V79" s="1">
        <f t="shared" si="58"/>
        <v>0.74352331606217614</v>
      </c>
      <c r="W79" s="1">
        <f t="shared" si="59"/>
        <v>0.87749287749287752</v>
      </c>
      <c r="X79" s="1">
        <f t="shared" si="60"/>
        <v>0.78448275862068972</v>
      </c>
      <c r="Y79" s="1">
        <f t="shared" si="61"/>
        <v>0</v>
      </c>
      <c r="AA79" s="1">
        <f t="shared" si="62"/>
        <v>0.43999999999999995</v>
      </c>
      <c r="AB79" s="1">
        <f t="shared" si="63"/>
        <v>0.2564766839378238</v>
      </c>
      <c r="AC79" s="1">
        <f t="shared" si="64"/>
        <v>0.12250712250712251</v>
      </c>
      <c r="AD79" s="1">
        <f t="shared" si="65"/>
        <v>0.21551724137931036</v>
      </c>
      <c r="AE79" s="1">
        <f t="shared" si="66"/>
        <v>1</v>
      </c>
      <c r="AG79" s="2">
        <v>206.27631365233694</v>
      </c>
      <c r="AH79" s="2">
        <v>134.76514732587756</v>
      </c>
      <c r="AI79" s="2">
        <v>334.60904687074043</v>
      </c>
      <c r="AJ79" s="2">
        <v>180.5038164751233</v>
      </c>
      <c r="AK79" s="2">
        <v>11.760938169205478</v>
      </c>
      <c r="AM79" s="1">
        <f t="shared" si="47"/>
        <v>0.21815398580296563</v>
      </c>
      <c r="AN79" s="1">
        <f t="shared" si="48"/>
        <v>1.5211648120287846</v>
      </c>
      <c r="AO79" s="1">
        <f t="shared" si="49"/>
        <v>0.98622557604510641</v>
      </c>
      <c r="AP79" s="1">
        <f t="shared" si="50"/>
        <v>0.54015478400390093</v>
      </c>
      <c r="AQ79" s="1">
        <f t="shared" si="51"/>
        <v>0</v>
      </c>
      <c r="AS79" s="1">
        <f t="shared" si="52"/>
        <v>0.17140670313090156</v>
      </c>
      <c r="AT79" s="1">
        <f t="shared" si="53"/>
        <v>0.52472235676254231</v>
      </c>
      <c r="AU79" s="1">
        <f t="shared" si="54"/>
        <v>0.13768733691538823</v>
      </c>
      <c r="AV79" s="1">
        <f t="shared" si="55"/>
        <v>0.14839417142964312</v>
      </c>
      <c r="AW79" s="1">
        <f t="shared" si="56"/>
        <v>0.63770422836145824</v>
      </c>
    </row>
    <row r="80" spans="2:49" x14ac:dyDescent="0.15">
      <c r="B80" s="2">
        <v>76</v>
      </c>
      <c r="C80" s="2">
        <v>45</v>
      </c>
      <c r="D80" s="2">
        <v>205</v>
      </c>
      <c r="E80" s="2">
        <v>330</v>
      </c>
      <c r="F80" s="2">
        <v>135</v>
      </c>
      <c r="G80" s="2">
        <v>0</v>
      </c>
      <c r="I80" s="2">
        <v>35.828571428571429</v>
      </c>
      <c r="J80" s="2">
        <v>71.657142857142858</v>
      </c>
      <c r="K80" s="2">
        <v>46.685714285714283</v>
      </c>
      <c r="L80" s="2">
        <v>27.142857142857142</v>
      </c>
      <c r="M80" s="2">
        <v>7.6</v>
      </c>
      <c r="O80" s="3">
        <f t="shared" si="42"/>
        <v>80.828571428571422</v>
      </c>
      <c r="P80" s="3">
        <f t="shared" si="43"/>
        <v>276.65714285714284</v>
      </c>
      <c r="Q80" s="3">
        <f t="shared" si="44"/>
        <v>376.68571428571431</v>
      </c>
      <c r="R80" s="3">
        <f t="shared" si="45"/>
        <v>162.14285714285714</v>
      </c>
      <c r="S80" s="3">
        <f t="shared" si="46"/>
        <v>7.6</v>
      </c>
      <c r="U80" s="1">
        <f t="shared" si="57"/>
        <v>0.55673382820784734</v>
      </c>
      <c r="V80" s="1">
        <f t="shared" si="58"/>
        <v>0.74098936280078487</v>
      </c>
      <c r="W80" s="1">
        <f t="shared" si="59"/>
        <v>0.87606189320388339</v>
      </c>
      <c r="X80" s="1">
        <f t="shared" si="60"/>
        <v>0.83259911894273131</v>
      </c>
      <c r="Y80" s="1">
        <f t="shared" si="61"/>
        <v>0</v>
      </c>
      <c r="AA80" s="1">
        <f t="shared" si="62"/>
        <v>0.44326617179215277</v>
      </c>
      <c r="AB80" s="1">
        <f t="shared" si="63"/>
        <v>0.25901063719921513</v>
      </c>
      <c r="AC80" s="1">
        <f t="shared" si="64"/>
        <v>0.12393810679611648</v>
      </c>
      <c r="AD80" s="1">
        <f t="shared" si="65"/>
        <v>0.16740088105726872</v>
      </c>
      <c r="AE80" s="1">
        <f t="shared" si="66"/>
        <v>1</v>
      </c>
      <c r="AG80" s="2">
        <v>206.27631365233694</v>
      </c>
      <c r="AH80" s="2">
        <v>134.76514732587756</v>
      </c>
      <c r="AI80" s="2">
        <v>334.60904687074043</v>
      </c>
      <c r="AJ80" s="2">
        <v>209.82445529939227</v>
      </c>
      <c r="AK80" s="2">
        <v>16.800422967126707</v>
      </c>
      <c r="AM80" s="1">
        <f t="shared" si="47"/>
        <v>0.21815398580296563</v>
      </c>
      <c r="AN80" s="1">
        <f t="shared" si="48"/>
        <v>1.5211648120287846</v>
      </c>
      <c r="AO80" s="1">
        <f t="shared" si="49"/>
        <v>0.98622557604510641</v>
      </c>
      <c r="AP80" s="1">
        <f t="shared" si="50"/>
        <v>0.64339497418150104</v>
      </c>
      <c r="AQ80" s="1">
        <f t="shared" si="51"/>
        <v>0</v>
      </c>
      <c r="AS80" s="1">
        <f t="shared" si="52"/>
        <v>0.17369212583931359</v>
      </c>
      <c r="AT80" s="1">
        <f t="shared" si="53"/>
        <v>0.53171865485270964</v>
      </c>
      <c r="AU80" s="1">
        <f t="shared" si="54"/>
        <v>0.13952316807426007</v>
      </c>
      <c r="AV80" s="1">
        <f t="shared" si="55"/>
        <v>0.12935983607882032</v>
      </c>
      <c r="AW80" s="1">
        <f t="shared" si="56"/>
        <v>0.45236956324676331</v>
      </c>
    </row>
    <row r="81" spans="2:49" x14ac:dyDescent="0.15">
      <c r="B81" s="2">
        <v>77</v>
      </c>
      <c r="C81" s="2">
        <v>45</v>
      </c>
      <c r="D81" s="2">
        <v>205</v>
      </c>
      <c r="E81" s="2">
        <v>330</v>
      </c>
      <c r="F81" s="2">
        <v>195</v>
      </c>
      <c r="G81" s="2">
        <v>0</v>
      </c>
      <c r="I81" s="2">
        <v>36.299999999999997</v>
      </c>
      <c r="J81" s="2">
        <v>72.599999999999994</v>
      </c>
      <c r="K81" s="2">
        <v>47.3</v>
      </c>
      <c r="L81" s="2">
        <v>27.5</v>
      </c>
      <c r="M81" s="2">
        <v>7.7</v>
      </c>
      <c r="O81" s="3">
        <f t="shared" si="42"/>
        <v>81.3</v>
      </c>
      <c r="P81" s="3">
        <f t="shared" si="43"/>
        <v>277.60000000000002</v>
      </c>
      <c r="Q81" s="3">
        <f t="shared" si="44"/>
        <v>377.3</v>
      </c>
      <c r="R81" s="3">
        <f t="shared" si="45"/>
        <v>222.5</v>
      </c>
      <c r="S81" s="3">
        <f t="shared" si="46"/>
        <v>7.7</v>
      </c>
      <c r="U81" s="1">
        <f t="shared" si="57"/>
        <v>0.55350553505535061</v>
      </c>
      <c r="V81" s="1">
        <f t="shared" si="58"/>
        <v>0.73847262247838608</v>
      </c>
      <c r="W81" s="1">
        <f t="shared" si="59"/>
        <v>0.87463556851311952</v>
      </c>
      <c r="X81" s="1">
        <f t="shared" si="60"/>
        <v>0.8764044943820225</v>
      </c>
      <c r="Y81" s="1">
        <f t="shared" si="61"/>
        <v>0</v>
      </c>
      <c r="AA81" s="1">
        <f t="shared" si="62"/>
        <v>0.44649446494464945</v>
      </c>
      <c r="AB81" s="1">
        <f t="shared" si="63"/>
        <v>0.26152737752161381</v>
      </c>
      <c r="AC81" s="1">
        <f t="shared" si="64"/>
        <v>0.12536443148688045</v>
      </c>
      <c r="AD81" s="1">
        <f t="shared" si="65"/>
        <v>0.12359550561797752</v>
      </c>
      <c r="AE81" s="1">
        <f t="shared" si="66"/>
        <v>1</v>
      </c>
      <c r="AG81" s="2">
        <v>206.27631365233694</v>
      </c>
      <c r="AH81" s="2">
        <v>134.76514732587756</v>
      </c>
      <c r="AI81" s="2">
        <v>334.60904687074043</v>
      </c>
      <c r="AJ81" s="2">
        <v>243.18432198541922</v>
      </c>
      <c r="AK81" s="2">
        <v>22.687458264660876</v>
      </c>
      <c r="AM81" s="1">
        <f t="shared" si="47"/>
        <v>0.21815398580296563</v>
      </c>
      <c r="AN81" s="1">
        <f t="shared" si="48"/>
        <v>1.5211648120287846</v>
      </c>
      <c r="AO81" s="1">
        <f t="shared" si="49"/>
        <v>0.98622557604510641</v>
      </c>
      <c r="AP81" s="1">
        <f t="shared" si="50"/>
        <v>0.80186090290677436</v>
      </c>
      <c r="AQ81" s="1">
        <f t="shared" si="51"/>
        <v>0</v>
      </c>
      <c r="AS81" s="1">
        <f t="shared" si="52"/>
        <v>0.1759775485477256</v>
      </c>
      <c r="AT81" s="1">
        <f t="shared" si="53"/>
        <v>0.53871495294287686</v>
      </c>
      <c r="AU81" s="1">
        <f t="shared" si="54"/>
        <v>0.14135899923313192</v>
      </c>
      <c r="AV81" s="1">
        <f t="shared" si="55"/>
        <v>0.11308294784582716</v>
      </c>
      <c r="AW81" s="1">
        <f t="shared" si="56"/>
        <v>0.33939456373541443</v>
      </c>
    </row>
    <row r="82" spans="2:49" x14ac:dyDescent="0.15">
      <c r="B82" s="2">
        <v>78</v>
      </c>
      <c r="C82" s="2">
        <v>45</v>
      </c>
      <c r="D82" s="2">
        <v>205</v>
      </c>
      <c r="E82" s="2">
        <v>330</v>
      </c>
      <c r="F82" s="2">
        <v>255</v>
      </c>
      <c r="G82" s="2">
        <v>0</v>
      </c>
      <c r="I82" s="2">
        <v>36.771428571428572</v>
      </c>
      <c r="J82" s="2">
        <v>73.542857142857144</v>
      </c>
      <c r="K82" s="2">
        <v>47.914285714285711</v>
      </c>
      <c r="L82" s="2">
        <v>27.857142857142858</v>
      </c>
      <c r="M82" s="2">
        <v>7.8</v>
      </c>
      <c r="O82" s="3">
        <f t="shared" si="42"/>
        <v>81.771428571428572</v>
      </c>
      <c r="P82" s="3">
        <f t="shared" si="43"/>
        <v>278.54285714285714</v>
      </c>
      <c r="Q82" s="3">
        <f t="shared" si="44"/>
        <v>377.91428571428571</v>
      </c>
      <c r="R82" s="3">
        <f t="shared" si="45"/>
        <v>282.85714285714283</v>
      </c>
      <c r="S82" s="3">
        <f t="shared" si="46"/>
        <v>7.8</v>
      </c>
      <c r="U82" s="1">
        <f t="shared" si="57"/>
        <v>0.55031446540880502</v>
      </c>
      <c r="V82" s="1">
        <f t="shared" si="58"/>
        <v>0.73597292029951789</v>
      </c>
      <c r="W82" s="1">
        <f t="shared" si="59"/>
        <v>0.87321388069857109</v>
      </c>
      <c r="X82" s="1">
        <f t="shared" si="60"/>
        <v>0.9015151515151516</v>
      </c>
      <c r="Y82" s="1">
        <f t="shared" si="61"/>
        <v>0</v>
      </c>
      <c r="AA82" s="1">
        <f t="shared" si="62"/>
        <v>0.44968553459119498</v>
      </c>
      <c r="AB82" s="1">
        <f t="shared" si="63"/>
        <v>0.26402707970048211</v>
      </c>
      <c r="AC82" s="1">
        <f t="shared" si="64"/>
        <v>0.12678611930142888</v>
      </c>
      <c r="AD82" s="1">
        <f t="shared" si="65"/>
        <v>9.8484848484848495E-2</v>
      </c>
      <c r="AE82" s="1">
        <f t="shared" si="66"/>
        <v>1</v>
      </c>
      <c r="AG82" s="2">
        <v>206.27631365233694</v>
      </c>
      <c r="AH82" s="2">
        <v>134.76514732587756</v>
      </c>
      <c r="AI82" s="2">
        <v>334.60904687074043</v>
      </c>
      <c r="AJ82" s="2">
        <v>281.01072507907293</v>
      </c>
      <c r="AK82" s="2">
        <v>29.517225489903904</v>
      </c>
      <c r="AM82" s="1">
        <f t="shared" si="47"/>
        <v>0.21815398580296563</v>
      </c>
      <c r="AN82" s="1">
        <f t="shared" si="48"/>
        <v>1.5211648120287846</v>
      </c>
      <c r="AO82" s="1">
        <f t="shared" si="49"/>
        <v>0.98622557604510641</v>
      </c>
      <c r="AP82" s="1">
        <f t="shared" si="50"/>
        <v>0.90743867490554375</v>
      </c>
      <c r="AQ82" s="1">
        <f t="shared" si="51"/>
        <v>0</v>
      </c>
      <c r="AS82" s="1">
        <f t="shared" si="52"/>
        <v>0.17826297125613763</v>
      </c>
      <c r="AT82" s="1">
        <f t="shared" si="53"/>
        <v>0.54571125103304408</v>
      </c>
      <c r="AU82" s="1">
        <f t="shared" si="54"/>
        <v>0.14319483039200376</v>
      </c>
      <c r="AV82" s="1">
        <f t="shared" si="55"/>
        <v>9.9131956082118236E-2</v>
      </c>
      <c r="AW82" s="1">
        <f t="shared" si="56"/>
        <v>0.26425247869817298</v>
      </c>
    </row>
    <row r="83" spans="2:49" x14ac:dyDescent="0.15">
      <c r="B83" s="2">
        <v>79</v>
      </c>
      <c r="C83" s="2">
        <v>45</v>
      </c>
      <c r="D83" s="2">
        <v>205</v>
      </c>
      <c r="E83" s="2">
        <v>330</v>
      </c>
      <c r="F83" s="2">
        <v>325</v>
      </c>
      <c r="G83" s="2">
        <v>0</v>
      </c>
      <c r="I83" s="2">
        <v>37.24285714285714</v>
      </c>
      <c r="J83" s="2">
        <v>74.48571428571428</v>
      </c>
      <c r="K83" s="2">
        <v>48.528571428571425</v>
      </c>
      <c r="L83" s="2">
        <v>28.214285714285715</v>
      </c>
      <c r="M83" s="2">
        <v>7.9</v>
      </c>
      <c r="O83" s="3">
        <f t="shared" si="42"/>
        <v>82.242857142857133</v>
      </c>
      <c r="P83" s="3">
        <f t="shared" si="43"/>
        <v>279.48571428571427</v>
      </c>
      <c r="Q83" s="3">
        <f t="shared" si="44"/>
        <v>378.52857142857141</v>
      </c>
      <c r="R83" s="3">
        <f t="shared" si="45"/>
        <v>353.21428571428572</v>
      </c>
      <c r="S83" s="3">
        <f t="shared" si="46"/>
        <v>7.9</v>
      </c>
      <c r="U83" s="1">
        <f t="shared" si="57"/>
        <v>0.54715997915581038</v>
      </c>
      <c r="V83" s="1">
        <f t="shared" si="58"/>
        <v>0.73349008382743819</v>
      </c>
      <c r="W83" s="1">
        <f t="shared" si="59"/>
        <v>0.87179680718571917</v>
      </c>
      <c r="X83" s="1">
        <f t="shared" si="60"/>
        <v>0.92012133468149648</v>
      </c>
      <c r="Y83" s="1">
        <f t="shared" si="61"/>
        <v>0</v>
      </c>
      <c r="AA83" s="1">
        <f t="shared" si="62"/>
        <v>0.45284002084418973</v>
      </c>
      <c r="AB83" s="1">
        <f t="shared" si="63"/>
        <v>0.26650991617256187</v>
      </c>
      <c r="AC83" s="1">
        <f t="shared" si="64"/>
        <v>0.12820319281428086</v>
      </c>
      <c r="AD83" s="1">
        <f t="shared" si="65"/>
        <v>7.9878665318503544E-2</v>
      </c>
      <c r="AE83" s="1">
        <f t="shared" si="66"/>
        <v>1</v>
      </c>
      <c r="AG83" s="2">
        <v>206.27631365233694</v>
      </c>
      <c r="AH83" s="2">
        <v>134.76514732587756</v>
      </c>
      <c r="AI83" s="2">
        <v>334.60904687074043</v>
      </c>
      <c r="AJ83" s="2">
        <v>323.77162778907848</v>
      </c>
      <c r="AK83" s="2">
        <v>37.394233883852294</v>
      </c>
      <c r="AM83" s="1">
        <f t="shared" si="47"/>
        <v>0.21815398580296563</v>
      </c>
      <c r="AN83" s="1">
        <f t="shared" si="48"/>
        <v>1.5211648120287846</v>
      </c>
      <c r="AO83" s="1">
        <f t="shared" si="49"/>
        <v>0.98622557604510641</v>
      </c>
      <c r="AP83" s="1">
        <f t="shared" si="50"/>
        <v>1.0037939464285663</v>
      </c>
      <c r="AQ83" s="1">
        <f t="shared" si="51"/>
        <v>0</v>
      </c>
      <c r="AS83" s="1">
        <f t="shared" si="52"/>
        <v>0.18054839396454964</v>
      </c>
      <c r="AT83" s="1">
        <f t="shared" si="53"/>
        <v>0.55270754912321129</v>
      </c>
      <c r="AU83" s="1">
        <f t="shared" si="54"/>
        <v>0.1450306615508756</v>
      </c>
      <c r="AV83" s="1">
        <f t="shared" si="55"/>
        <v>8.7142551393249182E-2</v>
      </c>
      <c r="AW83" s="1">
        <f t="shared" si="56"/>
        <v>0.21126251775976096</v>
      </c>
    </row>
    <row r="84" spans="2:49" x14ac:dyDescent="0.15">
      <c r="B84" s="2">
        <v>80</v>
      </c>
      <c r="C84" s="2">
        <v>45</v>
      </c>
      <c r="D84" s="2">
        <v>205</v>
      </c>
      <c r="E84" s="2">
        <v>330</v>
      </c>
      <c r="F84" s="2">
        <v>395</v>
      </c>
      <c r="G84" s="2">
        <v>0</v>
      </c>
      <c r="I84" s="2">
        <v>37.714285714285715</v>
      </c>
      <c r="J84" s="2">
        <v>75.428571428571431</v>
      </c>
      <c r="K84" s="2">
        <v>49.142857142857146</v>
      </c>
      <c r="L84" s="2">
        <v>28.571428571428573</v>
      </c>
      <c r="M84" s="2">
        <v>8</v>
      </c>
      <c r="O84" s="3">
        <f t="shared" si="42"/>
        <v>82.714285714285722</v>
      </c>
      <c r="P84" s="3">
        <f t="shared" si="43"/>
        <v>280.42857142857144</v>
      </c>
      <c r="Q84" s="3">
        <f t="shared" si="44"/>
        <v>379.14285714285717</v>
      </c>
      <c r="R84" s="3">
        <f t="shared" si="45"/>
        <v>423.57142857142856</v>
      </c>
      <c r="S84" s="3">
        <f t="shared" si="46"/>
        <v>8</v>
      </c>
      <c r="U84" s="1">
        <f t="shared" si="57"/>
        <v>0.54404145077720201</v>
      </c>
      <c r="V84" s="1">
        <f t="shared" si="58"/>
        <v>0.7310239429444727</v>
      </c>
      <c r="W84" s="1">
        <f t="shared" si="59"/>
        <v>0.87038432554634504</v>
      </c>
      <c r="X84" s="1">
        <f t="shared" si="60"/>
        <v>0.93254637436762233</v>
      </c>
      <c r="Y84" s="1">
        <f t="shared" si="61"/>
        <v>0</v>
      </c>
      <c r="AA84" s="1">
        <f t="shared" si="62"/>
        <v>0.45595854922279788</v>
      </c>
      <c r="AB84" s="1">
        <f t="shared" si="63"/>
        <v>0.26897605705552724</v>
      </c>
      <c r="AC84" s="1">
        <f t="shared" si="64"/>
        <v>0.12961567445365485</v>
      </c>
      <c r="AD84" s="1">
        <f t="shared" si="65"/>
        <v>6.7453625632377751E-2</v>
      </c>
      <c r="AE84" s="1">
        <f t="shared" si="66"/>
        <v>1</v>
      </c>
      <c r="AG84" s="2">
        <v>206.27631365233694</v>
      </c>
      <c r="AH84" s="2">
        <v>134.76514732587756</v>
      </c>
      <c r="AI84" s="2">
        <v>334.60904687074043</v>
      </c>
      <c r="AJ84" s="2">
        <v>371.97928258882985</v>
      </c>
      <c r="AK84" s="2">
        <v>46.433169158805676</v>
      </c>
      <c r="AM84" s="1">
        <f t="shared" si="47"/>
        <v>0.21815398580296563</v>
      </c>
      <c r="AN84" s="1">
        <f t="shared" si="48"/>
        <v>1.5211648120287846</v>
      </c>
      <c r="AO84" s="1">
        <f t="shared" si="49"/>
        <v>0.98622557604510641</v>
      </c>
      <c r="AP84" s="1">
        <f t="shared" si="50"/>
        <v>1.0618870955687505</v>
      </c>
      <c r="AQ84" s="1">
        <f t="shared" si="51"/>
        <v>0</v>
      </c>
      <c r="AS84" s="1">
        <f t="shared" si="52"/>
        <v>0.1828338166729617</v>
      </c>
      <c r="AT84" s="1">
        <f t="shared" si="53"/>
        <v>0.55970384721337862</v>
      </c>
      <c r="AU84" s="1">
        <f t="shared" si="54"/>
        <v>0.14686649270974747</v>
      </c>
      <c r="AV84" s="1">
        <f t="shared" si="55"/>
        <v>7.6809193169529874E-2</v>
      </c>
      <c r="AW84" s="1">
        <f t="shared" si="56"/>
        <v>0.17229063070494435</v>
      </c>
    </row>
    <row r="85" spans="2:49" x14ac:dyDescent="0.15">
      <c r="B85" s="2">
        <v>81</v>
      </c>
      <c r="C85" s="2">
        <v>45</v>
      </c>
      <c r="D85" s="2">
        <v>205</v>
      </c>
      <c r="E85" s="2">
        <v>330</v>
      </c>
      <c r="F85" s="2">
        <v>475</v>
      </c>
      <c r="G85" s="2">
        <v>0</v>
      </c>
      <c r="I85" s="2">
        <v>38.185714285714283</v>
      </c>
      <c r="J85" s="2">
        <v>76.371428571428567</v>
      </c>
      <c r="K85" s="2">
        <v>49.75714285714286</v>
      </c>
      <c r="L85" s="2">
        <v>28.928571428571431</v>
      </c>
      <c r="M85" s="2">
        <v>8.1</v>
      </c>
      <c r="O85" s="3">
        <f t="shared" si="42"/>
        <v>83.185714285714283</v>
      </c>
      <c r="P85" s="3">
        <f t="shared" si="43"/>
        <v>281.37142857142857</v>
      </c>
      <c r="Q85" s="3">
        <f t="shared" si="44"/>
        <v>379.75714285714287</v>
      </c>
      <c r="R85" s="3">
        <f t="shared" si="45"/>
        <v>503.92857142857144</v>
      </c>
      <c r="S85" s="3">
        <f t="shared" si="46"/>
        <v>8.1</v>
      </c>
      <c r="U85" s="1">
        <f t="shared" si="57"/>
        <v>0.54095826893353938</v>
      </c>
      <c r="V85" s="1">
        <f t="shared" si="58"/>
        <v>0.72857432981316006</v>
      </c>
      <c r="W85" s="1">
        <f t="shared" si="59"/>
        <v>0.86897641349734789</v>
      </c>
      <c r="X85" s="1">
        <f t="shared" si="60"/>
        <v>0.94259390503189222</v>
      </c>
      <c r="Y85" s="1">
        <f t="shared" si="61"/>
        <v>0</v>
      </c>
      <c r="AA85" s="1">
        <f t="shared" si="62"/>
        <v>0.45904173106646057</v>
      </c>
      <c r="AB85" s="1">
        <f t="shared" si="63"/>
        <v>0.27142567018683994</v>
      </c>
      <c r="AC85" s="1">
        <f t="shared" si="64"/>
        <v>0.13102358650265208</v>
      </c>
      <c r="AD85" s="1">
        <f t="shared" si="65"/>
        <v>5.7406094968107731E-2</v>
      </c>
      <c r="AE85" s="1">
        <f t="shared" si="66"/>
        <v>1</v>
      </c>
      <c r="AG85" s="2">
        <v>206.27631365233694</v>
      </c>
      <c r="AH85" s="2">
        <v>134.76514732587756</v>
      </c>
      <c r="AI85" s="2">
        <v>334.60904687074043</v>
      </c>
      <c r="AJ85" s="2">
        <v>426.1941781244692</v>
      </c>
      <c r="AK85" s="2">
        <v>56.759815927498892</v>
      </c>
      <c r="AM85" s="1">
        <f t="shared" si="47"/>
        <v>0.21815398580296563</v>
      </c>
      <c r="AN85" s="1">
        <f t="shared" si="48"/>
        <v>1.5211648120287846</v>
      </c>
      <c r="AO85" s="1">
        <f t="shared" si="49"/>
        <v>0.98622557604510641</v>
      </c>
      <c r="AP85" s="1">
        <f t="shared" si="50"/>
        <v>1.1145154588697295</v>
      </c>
      <c r="AQ85" s="1">
        <f t="shared" si="51"/>
        <v>0</v>
      </c>
      <c r="AS85" s="1">
        <f t="shared" si="52"/>
        <v>0.1851192393813737</v>
      </c>
      <c r="AT85" s="1">
        <f t="shared" si="53"/>
        <v>0.56670014530354573</v>
      </c>
      <c r="AU85" s="1">
        <f t="shared" si="54"/>
        <v>0.14870232386861931</v>
      </c>
      <c r="AV85" s="1">
        <f t="shared" si="55"/>
        <v>6.787650538981059E-2</v>
      </c>
      <c r="AW85" s="1">
        <f t="shared" si="56"/>
        <v>0.14270659387525828</v>
      </c>
    </row>
    <row r="86" spans="2:49" x14ac:dyDescent="0.15">
      <c r="B86" s="2">
        <v>82</v>
      </c>
      <c r="C86" s="2">
        <v>45</v>
      </c>
      <c r="D86" s="2">
        <v>205</v>
      </c>
      <c r="E86" s="2">
        <v>330</v>
      </c>
      <c r="F86" s="2">
        <v>555</v>
      </c>
      <c r="G86" s="2">
        <v>0</v>
      </c>
      <c r="I86" s="2">
        <v>38.657142857142858</v>
      </c>
      <c r="J86" s="2">
        <v>77.314285714285717</v>
      </c>
      <c r="K86" s="2">
        <v>50.371428571428574</v>
      </c>
      <c r="L86" s="2">
        <v>29.285714285714285</v>
      </c>
      <c r="M86" s="2">
        <v>8.1999999999999993</v>
      </c>
      <c r="O86" s="3">
        <f t="shared" si="42"/>
        <v>83.657142857142858</v>
      </c>
      <c r="P86" s="3">
        <f t="shared" si="43"/>
        <v>282.31428571428569</v>
      </c>
      <c r="Q86" s="3">
        <f t="shared" si="44"/>
        <v>380.37142857142857</v>
      </c>
      <c r="R86" s="3">
        <f t="shared" si="45"/>
        <v>584.28571428571433</v>
      </c>
      <c r="S86" s="3">
        <f t="shared" si="46"/>
        <v>8.1999999999999993</v>
      </c>
      <c r="U86" s="1">
        <f t="shared" si="57"/>
        <v>0.53790983606557374</v>
      </c>
      <c r="V86" s="1">
        <f t="shared" si="58"/>
        <v>0.72614107883817436</v>
      </c>
      <c r="W86" s="1">
        <f t="shared" si="59"/>
        <v>0.86757304889957187</v>
      </c>
      <c r="X86" s="1">
        <f t="shared" si="60"/>
        <v>0.94987775061124691</v>
      </c>
      <c r="Y86" s="1">
        <f t="shared" si="61"/>
        <v>0</v>
      </c>
      <c r="AA86" s="1">
        <f t="shared" si="62"/>
        <v>0.46209016393442626</v>
      </c>
      <c r="AB86" s="1">
        <f t="shared" si="63"/>
        <v>0.27385892116182575</v>
      </c>
      <c r="AC86" s="1">
        <f t="shared" si="64"/>
        <v>0.13242695110042815</v>
      </c>
      <c r="AD86" s="1">
        <f t="shared" si="65"/>
        <v>5.0122249388753051E-2</v>
      </c>
      <c r="AE86" s="1">
        <f t="shared" si="66"/>
        <v>1</v>
      </c>
      <c r="AG86" s="2">
        <v>206.27631365233694</v>
      </c>
      <c r="AH86" s="2">
        <v>134.76514732587756</v>
      </c>
      <c r="AI86" s="2">
        <v>334.60904687074043</v>
      </c>
      <c r="AJ86" s="2">
        <v>487.02932453644308</v>
      </c>
      <c r="AK86" s="2">
        <v>68.512060120721117</v>
      </c>
      <c r="AM86" s="1">
        <f t="shared" si="47"/>
        <v>0.21815398580296563</v>
      </c>
      <c r="AN86" s="1">
        <f t="shared" si="48"/>
        <v>1.5211648120287846</v>
      </c>
      <c r="AO86" s="1">
        <f t="shared" si="49"/>
        <v>0.98622557604510641</v>
      </c>
      <c r="AP86" s="1">
        <f t="shared" si="50"/>
        <v>1.1395617718260636</v>
      </c>
      <c r="AQ86" s="1">
        <f t="shared" si="51"/>
        <v>0</v>
      </c>
      <c r="AS86" s="1">
        <f t="shared" si="52"/>
        <v>0.18740466208978573</v>
      </c>
      <c r="AT86" s="1">
        <f t="shared" si="53"/>
        <v>0.57369644339371306</v>
      </c>
      <c r="AU86" s="1">
        <f t="shared" si="54"/>
        <v>0.15053815502749116</v>
      </c>
      <c r="AV86" s="1">
        <f t="shared" si="55"/>
        <v>6.0131316145262036E-2</v>
      </c>
      <c r="AW86" s="1">
        <f t="shared" si="56"/>
        <v>0.11968695709268203</v>
      </c>
    </row>
    <row r="87" spans="2:49" x14ac:dyDescent="0.15">
      <c r="B87" s="2">
        <v>83</v>
      </c>
      <c r="C87" s="2">
        <v>45</v>
      </c>
      <c r="D87" s="2">
        <v>205</v>
      </c>
      <c r="E87" s="2">
        <v>330</v>
      </c>
      <c r="F87" s="2">
        <v>555</v>
      </c>
      <c r="G87" s="2">
        <v>30</v>
      </c>
      <c r="I87" s="2">
        <v>39.128571428571426</v>
      </c>
      <c r="J87" s="2">
        <v>78.257142857142853</v>
      </c>
      <c r="K87" s="2">
        <v>50.985714285714288</v>
      </c>
      <c r="L87" s="2">
        <v>29.642857142857142</v>
      </c>
      <c r="M87" s="2">
        <v>8.3000000000000007</v>
      </c>
      <c r="O87" s="3">
        <f t="shared" si="42"/>
        <v>84.128571428571433</v>
      </c>
      <c r="P87" s="3">
        <f t="shared" si="43"/>
        <v>283.25714285714287</v>
      </c>
      <c r="Q87" s="3">
        <f t="shared" si="44"/>
        <v>380.98571428571427</v>
      </c>
      <c r="R87" s="3">
        <f t="shared" si="45"/>
        <v>584.64285714285711</v>
      </c>
      <c r="S87" s="3">
        <f t="shared" si="46"/>
        <v>38.299999999999997</v>
      </c>
      <c r="U87" s="1">
        <f t="shared" si="57"/>
        <v>0.53489556800815075</v>
      </c>
      <c r="V87" s="1">
        <f t="shared" si="58"/>
        <v>0.72372402662900948</v>
      </c>
      <c r="W87" s="1">
        <f t="shared" si="59"/>
        <v>0.86617420975664638</v>
      </c>
      <c r="X87" s="1">
        <f t="shared" si="60"/>
        <v>0.94929749541844843</v>
      </c>
      <c r="Y87" s="1">
        <f t="shared" si="61"/>
        <v>0.78328981723237601</v>
      </c>
      <c r="AA87" s="1">
        <f t="shared" si="62"/>
        <v>0.46510443199184914</v>
      </c>
      <c r="AB87" s="1">
        <f t="shared" si="63"/>
        <v>0.27627597337099047</v>
      </c>
      <c r="AC87" s="1">
        <f t="shared" si="64"/>
        <v>0.13382579024335373</v>
      </c>
      <c r="AD87" s="1">
        <f t="shared" si="65"/>
        <v>5.0702504581551622E-2</v>
      </c>
      <c r="AE87" s="1">
        <f t="shared" si="66"/>
        <v>0.21671018276762405</v>
      </c>
      <c r="AG87" s="2">
        <v>206.27631365233694</v>
      </c>
      <c r="AH87" s="2">
        <v>134.76514732587756</v>
      </c>
      <c r="AI87" s="2">
        <v>334.60904687074043</v>
      </c>
      <c r="AJ87" s="2">
        <v>555.15490544052841</v>
      </c>
      <c r="AK87" s="2">
        <v>81.840978123694342</v>
      </c>
      <c r="AM87" s="1">
        <f t="shared" si="47"/>
        <v>0.21815398580296563</v>
      </c>
      <c r="AN87" s="1">
        <f t="shared" si="48"/>
        <v>1.5211648120287846</v>
      </c>
      <c r="AO87" s="1">
        <f t="shared" si="49"/>
        <v>0.98622557604510641</v>
      </c>
      <c r="AP87" s="1">
        <f t="shared" si="50"/>
        <v>0.99972096897818907</v>
      </c>
      <c r="AQ87" s="1">
        <f t="shared" si="51"/>
        <v>0.3665645339020514</v>
      </c>
      <c r="AS87" s="1">
        <f t="shared" si="52"/>
        <v>0.18969008479819774</v>
      </c>
      <c r="AT87" s="1">
        <f t="shared" si="53"/>
        <v>0.58069274148388017</v>
      </c>
      <c r="AU87" s="1">
        <f t="shared" si="54"/>
        <v>0.152373986186363</v>
      </c>
      <c r="AV87" s="1">
        <f t="shared" si="55"/>
        <v>5.3395650209259779E-2</v>
      </c>
      <c r="AW87" s="1">
        <f t="shared" si="56"/>
        <v>0.1014161877129009</v>
      </c>
    </row>
    <row r="88" spans="2:49" x14ac:dyDescent="0.15">
      <c r="B88" s="2">
        <v>84</v>
      </c>
      <c r="C88" s="2">
        <v>45</v>
      </c>
      <c r="D88" s="2">
        <v>205</v>
      </c>
      <c r="E88" s="2">
        <v>330</v>
      </c>
      <c r="F88" s="2">
        <v>555</v>
      </c>
      <c r="G88" s="2">
        <v>60</v>
      </c>
      <c r="I88" s="2">
        <v>39.6</v>
      </c>
      <c r="J88" s="2">
        <v>79.2</v>
      </c>
      <c r="K88" s="2">
        <v>51.6</v>
      </c>
      <c r="L88" s="2">
        <v>30</v>
      </c>
      <c r="M88" s="2">
        <v>8.4</v>
      </c>
      <c r="O88" s="3">
        <f t="shared" si="42"/>
        <v>84.6</v>
      </c>
      <c r="P88" s="3">
        <f t="shared" si="43"/>
        <v>284.2</v>
      </c>
      <c r="Q88" s="3">
        <f t="shared" si="44"/>
        <v>381.6</v>
      </c>
      <c r="R88" s="3">
        <f t="shared" si="45"/>
        <v>585</v>
      </c>
      <c r="S88" s="3">
        <f t="shared" si="46"/>
        <v>68.400000000000006</v>
      </c>
      <c r="U88" s="1">
        <f t="shared" si="57"/>
        <v>0.53191489361702127</v>
      </c>
      <c r="V88" s="1">
        <f t="shared" si="58"/>
        <v>0.72132301196340609</v>
      </c>
      <c r="W88" s="1">
        <f t="shared" si="59"/>
        <v>0.8647798742138364</v>
      </c>
      <c r="X88" s="1">
        <f t="shared" si="60"/>
        <v>0.94871794871794868</v>
      </c>
      <c r="Y88" s="1">
        <f t="shared" si="61"/>
        <v>0.8771929824561403</v>
      </c>
      <c r="AA88" s="1">
        <f t="shared" si="62"/>
        <v>0.46808510638297879</v>
      </c>
      <c r="AB88" s="1">
        <f t="shared" si="63"/>
        <v>0.27867698803659396</v>
      </c>
      <c r="AC88" s="1">
        <f t="shared" si="64"/>
        <v>0.13522012578616352</v>
      </c>
      <c r="AD88" s="1">
        <f t="shared" si="65"/>
        <v>5.128205128205128E-2</v>
      </c>
      <c r="AE88" s="1">
        <f t="shared" si="66"/>
        <v>0.12280701754385964</v>
      </c>
      <c r="AG88" s="2">
        <v>206.27631365233694</v>
      </c>
      <c r="AH88" s="2">
        <v>134.76514732587756</v>
      </c>
      <c r="AI88" s="2">
        <v>334.60904687074043</v>
      </c>
      <c r="AJ88" s="2">
        <v>631.30332712561892</v>
      </c>
      <c r="AK88" s="2">
        <v>96.912019915535168</v>
      </c>
      <c r="AM88" s="1">
        <f t="shared" si="47"/>
        <v>0.21815398580296563</v>
      </c>
      <c r="AN88" s="1">
        <f t="shared" si="48"/>
        <v>1.5211648120287846</v>
      </c>
      <c r="AO88" s="1">
        <f t="shared" si="49"/>
        <v>0.98622557604510641</v>
      </c>
      <c r="AP88" s="1">
        <f t="shared" si="50"/>
        <v>0.87913365279882993</v>
      </c>
      <c r="AQ88" s="1">
        <f t="shared" si="51"/>
        <v>0.61911824820382155</v>
      </c>
      <c r="AS88" s="1">
        <f t="shared" si="52"/>
        <v>0.19197550750660977</v>
      </c>
      <c r="AT88" s="1">
        <f t="shared" si="53"/>
        <v>0.5876890395740475</v>
      </c>
      <c r="AU88" s="1">
        <f t="shared" si="54"/>
        <v>0.15420981734523484</v>
      </c>
      <c r="AV88" s="1">
        <f t="shared" si="55"/>
        <v>4.7520737989125941E-2</v>
      </c>
      <c r="AW88" s="1">
        <f t="shared" si="56"/>
        <v>8.6676554748535015E-2</v>
      </c>
    </row>
    <row r="89" spans="2:49" x14ac:dyDescent="0.15">
      <c r="B89" s="2">
        <v>85</v>
      </c>
      <c r="C89" s="2">
        <v>45</v>
      </c>
      <c r="D89" s="2">
        <v>205</v>
      </c>
      <c r="E89" s="2">
        <v>330</v>
      </c>
      <c r="F89" s="2">
        <v>555</v>
      </c>
      <c r="G89" s="2">
        <v>97.5</v>
      </c>
      <c r="I89" s="2">
        <v>40.071428571428569</v>
      </c>
      <c r="J89" s="2">
        <v>80.142857142857139</v>
      </c>
      <c r="K89" s="2">
        <v>52.214285714285715</v>
      </c>
      <c r="L89" s="2">
        <v>30.357142857142858</v>
      </c>
      <c r="M89" s="2">
        <v>8.5</v>
      </c>
      <c r="O89" s="3">
        <f t="shared" si="42"/>
        <v>85.071428571428569</v>
      </c>
      <c r="P89" s="3">
        <f t="shared" si="43"/>
        <v>285.14285714285711</v>
      </c>
      <c r="Q89" s="3">
        <f t="shared" si="44"/>
        <v>382.21428571428572</v>
      </c>
      <c r="R89" s="3">
        <f t="shared" si="45"/>
        <v>585.35714285714289</v>
      </c>
      <c r="S89" s="3">
        <f t="shared" si="46"/>
        <v>106</v>
      </c>
      <c r="U89" s="1">
        <f t="shared" si="57"/>
        <v>0.52896725440806047</v>
      </c>
      <c r="V89" s="1">
        <f t="shared" si="58"/>
        <v>0.71893787575150314</v>
      </c>
      <c r="W89" s="1">
        <f t="shared" si="59"/>
        <v>0.86339002055690528</v>
      </c>
      <c r="X89" s="1">
        <f t="shared" si="60"/>
        <v>0.94813910921293465</v>
      </c>
      <c r="Y89" s="1">
        <f t="shared" si="61"/>
        <v>0.91981132075471694</v>
      </c>
      <c r="AA89" s="1">
        <f t="shared" si="62"/>
        <v>0.47103274559193953</v>
      </c>
      <c r="AB89" s="1">
        <f t="shared" si="63"/>
        <v>0.28106212424849703</v>
      </c>
      <c r="AC89" s="1">
        <f t="shared" si="64"/>
        <v>0.13660997944309475</v>
      </c>
      <c r="AD89" s="1">
        <f t="shared" si="65"/>
        <v>5.1860890787065281E-2</v>
      </c>
      <c r="AE89" s="1">
        <f t="shared" si="66"/>
        <v>8.0188679245283015E-2</v>
      </c>
      <c r="AG89" s="2">
        <v>206.27631365233694</v>
      </c>
      <c r="AH89" s="2">
        <v>134.76514732587756</v>
      </c>
      <c r="AI89" s="2">
        <v>334.60904687074043</v>
      </c>
      <c r="AJ89" s="2">
        <v>716.27469802320593</v>
      </c>
      <c r="AK89" s="2">
        <v>113.90629409505257</v>
      </c>
      <c r="AM89" s="1">
        <f t="shared" si="47"/>
        <v>0.21815398580296563</v>
      </c>
      <c r="AN89" s="1">
        <f t="shared" si="48"/>
        <v>1.5211648120287846</v>
      </c>
      <c r="AO89" s="1">
        <f t="shared" si="49"/>
        <v>0.98622557604510641</v>
      </c>
      <c r="AP89" s="1">
        <f t="shared" si="50"/>
        <v>0.77484239151781276</v>
      </c>
      <c r="AQ89" s="1">
        <f t="shared" si="51"/>
        <v>0.8559667468299702</v>
      </c>
      <c r="AS89" s="1">
        <f t="shared" si="52"/>
        <v>0.19426093021502178</v>
      </c>
      <c r="AT89" s="1">
        <f t="shared" si="53"/>
        <v>0.59468533766421472</v>
      </c>
      <c r="AU89" s="1">
        <f t="shared" si="54"/>
        <v>0.15604564850410668</v>
      </c>
      <c r="AV89" s="1">
        <f t="shared" si="55"/>
        <v>4.2381984092029652E-2</v>
      </c>
      <c r="AW89" s="1">
        <f t="shared" si="56"/>
        <v>7.4622742031330735E-2</v>
      </c>
    </row>
    <row r="90" spans="2:49" x14ac:dyDescent="0.15">
      <c r="B90" s="2">
        <v>86</v>
      </c>
      <c r="C90" s="2">
        <v>45</v>
      </c>
      <c r="D90" s="2">
        <v>205</v>
      </c>
      <c r="E90" s="2">
        <v>330</v>
      </c>
      <c r="F90" s="2">
        <v>555</v>
      </c>
      <c r="G90" s="2">
        <v>135</v>
      </c>
      <c r="I90" s="2">
        <v>40.542857142857144</v>
      </c>
      <c r="J90" s="2">
        <v>81.085714285714289</v>
      </c>
      <c r="K90" s="2">
        <v>52.828571428571429</v>
      </c>
      <c r="L90" s="2">
        <v>30.714285714285715</v>
      </c>
      <c r="M90" s="2">
        <v>8.6</v>
      </c>
      <c r="O90" s="3">
        <f t="shared" si="42"/>
        <v>85.542857142857144</v>
      </c>
      <c r="P90" s="3">
        <f t="shared" si="43"/>
        <v>286.08571428571429</v>
      </c>
      <c r="Q90" s="3">
        <f t="shared" si="44"/>
        <v>382.82857142857142</v>
      </c>
      <c r="R90" s="3">
        <f t="shared" si="45"/>
        <v>585.71428571428567</v>
      </c>
      <c r="S90" s="3">
        <f t="shared" si="46"/>
        <v>143.6</v>
      </c>
      <c r="U90" s="1">
        <f t="shared" si="57"/>
        <v>0.52605210420841686</v>
      </c>
      <c r="V90" s="1">
        <f t="shared" si="58"/>
        <v>0.71656846100069904</v>
      </c>
      <c r="W90" s="1">
        <f t="shared" si="59"/>
        <v>0.86200462721098592</v>
      </c>
      <c r="X90" s="1">
        <f t="shared" si="60"/>
        <v>0.94756097560975616</v>
      </c>
      <c r="Y90" s="1">
        <f t="shared" si="61"/>
        <v>0.94011142061281339</v>
      </c>
      <c r="AA90" s="1">
        <f t="shared" si="62"/>
        <v>0.4739478957915832</v>
      </c>
      <c r="AB90" s="1">
        <f t="shared" si="63"/>
        <v>0.2834315389993009</v>
      </c>
      <c r="AC90" s="1">
        <f t="shared" si="64"/>
        <v>0.13799537278901411</v>
      </c>
      <c r="AD90" s="1">
        <f t="shared" si="65"/>
        <v>5.2439024390243907E-2</v>
      </c>
      <c r="AE90" s="1">
        <f t="shared" si="66"/>
        <v>5.9888579387186627E-2</v>
      </c>
      <c r="AG90" s="2">
        <v>206.27631365233694</v>
      </c>
      <c r="AH90" s="2">
        <v>134.76514732587756</v>
      </c>
      <c r="AI90" s="2">
        <v>334.60904687074043</v>
      </c>
      <c r="AJ90" s="2">
        <v>789.09629508387832</v>
      </c>
      <c r="AK90" s="2">
        <v>133.0219633234791</v>
      </c>
      <c r="AM90" s="1">
        <f t="shared" si="47"/>
        <v>0.21815398580296563</v>
      </c>
      <c r="AN90" s="1">
        <f t="shared" si="48"/>
        <v>1.5211648120287846</v>
      </c>
      <c r="AO90" s="1">
        <f t="shared" si="49"/>
        <v>0.98622557604510641</v>
      </c>
      <c r="AP90" s="1">
        <f t="shared" si="50"/>
        <v>0.70333621315634909</v>
      </c>
      <c r="AQ90" s="1">
        <f t="shared" si="51"/>
        <v>1.0148700006156937</v>
      </c>
      <c r="AS90" s="1">
        <f t="shared" si="52"/>
        <v>0.19654635292343381</v>
      </c>
      <c r="AT90" s="1">
        <f t="shared" si="53"/>
        <v>0.60168163575438194</v>
      </c>
      <c r="AU90" s="1">
        <f t="shared" si="54"/>
        <v>0.15788147966297852</v>
      </c>
      <c r="AV90" s="1">
        <f t="shared" si="55"/>
        <v>3.8923368295653814E-2</v>
      </c>
      <c r="AW90" s="1">
        <f t="shared" si="56"/>
        <v>6.465097781699973E-2</v>
      </c>
    </row>
    <row r="91" spans="2:49" x14ac:dyDescent="0.15">
      <c r="B91" s="2">
        <v>87</v>
      </c>
      <c r="C91" s="2">
        <v>45</v>
      </c>
      <c r="D91" s="2">
        <v>205</v>
      </c>
      <c r="E91" s="2">
        <v>330</v>
      </c>
      <c r="F91" s="2">
        <v>555</v>
      </c>
      <c r="G91" s="2">
        <v>195</v>
      </c>
      <c r="I91" s="2">
        <v>41.014285714285712</v>
      </c>
      <c r="J91" s="2">
        <v>82.028571428571425</v>
      </c>
      <c r="K91" s="2">
        <v>53.442857142857143</v>
      </c>
      <c r="L91" s="2">
        <v>31.071428571428569</v>
      </c>
      <c r="M91" s="2">
        <v>8.6999999999999993</v>
      </c>
      <c r="O91" s="3">
        <f t="shared" si="42"/>
        <v>86.014285714285705</v>
      </c>
      <c r="P91" s="3">
        <f t="shared" si="43"/>
        <v>287.02857142857141</v>
      </c>
      <c r="Q91" s="3">
        <f t="shared" si="44"/>
        <v>383.44285714285712</v>
      </c>
      <c r="R91" s="3">
        <f t="shared" si="45"/>
        <v>586.07142857142856</v>
      </c>
      <c r="S91" s="3">
        <f t="shared" si="46"/>
        <v>203.7</v>
      </c>
      <c r="U91" s="1">
        <f t="shared" si="57"/>
        <v>0.52316890881913314</v>
      </c>
      <c r="V91" s="1">
        <f t="shared" si="58"/>
        <v>0.71421461278120646</v>
      </c>
      <c r="W91" s="1">
        <f t="shared" si="59"/>
        <v>0.86062367273946583</v>
      </c>
      <c r="X91" s="1">
        <f t="shared" si="60"/>
        <v>0.94698354661791595</v>
      </c>
      <c r="Y91" s="1">
        <f t="shared" si="61"/>
        <v>0.95729013254786455</v>
      </c>
      <c r="AA91" s="1">
        <f t="shared" si="62"/>
        <v>0.47683109118086697</v>
      </c>
      <c r="AB91" s="1">
        <f t="shared" si="63"/>
        <v>0.28578538721879354</v>
      </c>
      <c r="AC91" s="1">
        <f t="shared" si="64"/>
        <v>0.13937632726053426</v>
      </c>
      <c r="AD91" s="1">
        <f t="shared" si="65"/>
        <v>5.3016453382084092E-2</v>
      </c>
      <c r="AE91" s="1">
        <f t="shared" si="66"/>
        <v>4.2709867452135494E-2</v>
      </c>
      <c r="AG91" s="2">
        <v>206.27631365233694</v>
      </c>
      <c r="AH91" s="2">
        <v>134.76514732587756</v>
      </c>
      <c r="AI91" s="2">
        <v>334.60904687074043</v>
      </c>
      <c r="AJ91" s="2">
        <v>847.6066480592192</v>
      </c>
      <c r="AK91" s="2">
        <v>154.47575941443739</v>
      </c>
      <c r="AM91" s="1">
        <f t="shared" si="47"/>
        <v>0.21815398580296563</v>
      </c>
      <c r="AN91" s="1">
        <f t="shared" si="48"/>
        <v>1.5211648120287846</v>
      </c>
      <c r="AO91" s="1">
        <f t="shared" si="49"/>
        <v>0.98622557604510641</v>
      </c>
      <c r="AP91" s="1">
        <f t="shared" si="50"/>
        <v>0.65478485954634014</v>
      </c>
      <c r="AQ91" s="1">
        <f t="shared" si="51"/>
        <v>1.2623339787367001</v>
      </c>
      <c r="AS91" s="1">
        <f t="shared" si="52"/>
        <v>0.19883177563184581</v>
      </c>
      <c r="AT91" s="1">
        <f t="shared" si="53"/>
        <v>0.60867793384454916</v>
      </c>
      <c r="AU91" s="1">
        <f t="shared" si="54"/>
        <v>0.15971731082185037</v>
      </c>
      <c r="AV91" s="1">
        <f t="shared" si="55"/>
        <v>3.6657839627111707E-2</v>
      </c>
      <c r="AW91" s="1">
        <f t="shared" si="56"/>
        <v>5.6319515974406612E-2</v>
      </c>
    </row>
    <row r="92" spans="2:49" x14ac:dyDescent="0.15">
      <c r="B92" s="2">
        <v>88</v>
      </c>
      <c r="C92" s="2">
        <v>45</v>
      </c>
      <c r="D92" s="2">
        <v>205</v>
      </c>
      <c r="E92" s="2">
        <v>330</v>
      </c>
      <c r="F92" s="2">
        <v>555</v>
      </c>
      <c r="G92" s="2">
        <v>255</v>
      </c>
      <c r="I92" s="2">
        <v>41.485714285714288</v>
      </c>
      <c r="J92" s="2">
        <v>82.971428571428575</v>
      </c>
      <c r="K92" s="2">
        <v>54.057142857142857</v>
      </c>
      <c r="L92" s="2">
        <v>31.428571428571431</v>
      </c>
      <c r="M92" s="2">
        <v>8.8000000000000007</v>
      </c>
      <c r="O92" s="3">
        <f t="shared" si="42"/>
        <v>86.485714285714295</v>
      </c>
      <c r="P92" s="3">
        <f t="shared" si="43"/>
        <v>287.97142857142859</v>
      </c>
      <c r="Q92" s="3">
        <f t="shared" si="44"/>
        <v>384.05714285714288</v>
      </c>
      <c r="R92" s="3">
        <f t="shared" si="45"/>
        <v>586.42857142857144</v>
      </c>
      <c r="S92" s="3">
        <f t="shared" si="46"/>
        <v>263.8</v>
      </c>
      <c r="U92" s="1">
        <f t="shared" si="57"/>
        <v>0.52031714568880072</v>
      </c>
      <c r="V92" s="1">
        <f t="shared" si="58"/>
        <v>0.71187617819228088</v>
      </c>
      <c r="W92" s="1">
        <f t="shared" si="59"/>
        <v>0.85924713584288048</v>
      </c>
      <c r="X92" s="1">
        <f t="shared" si="60"/>
        <v>0.9464068209500609</v>
      </c>
      <c r="Y92" s="1">
        <f t="shared" si="61"/>
        <v>0.96664139499620916</v>
      </c>
      <c r="AA92" s="1">
        <f t="shared" si="62"/>
        <v>0.47968285431119917</v>
      </c>
      <c r="AB92" s="1">
        <f t="shared" si="63"/>
        <v>0.288123821807719</v>
      </c>
      <c r="AC92" s="1">
        <f t="shared" si="64"/>
        <v>0.14075286415711946</v>
      </c>
      <c r="AD92" s="1">
        <f t="shared" si="65"/>
        <v>5.3593179049939099E-2</v>
      </c>
      <c r="AE92" s="1">
        <f t="shared" si="66"/>
        <v>3.3358605003790752E-2</v>
      </c>
      <c r="AG92" s="2">
        <v>206.27631365233694</v>
      </c>
      <c r="AH92" s="2">
        <v>134.76514732587756</v>
      </c>
      <c r="AI92" s="2">
        <v>334.60904687074043</v>
      </c>
      <c r="AJ92" s="2">
        <v>889.39598482994597</v>
      </c>
      <c r="AK92" s="2">
        <v>178.50462805760532</v>
      </c>
      <c r="AM92" s="1">
        <f t="shared" si="47"/>
        <v>0.21815398580296563</v>
      </c>
      <c r="AN92" s="1">
        <f t="shared" si="48"/>
        <v>1.5211648120287846</v>
      </c>
      <c r="AO92" s="1">
        <f t="shared" si="49"/>
        <v>0.98622557604510641</v>
      </c>
      <c r="AP92" s="1">
        <f t="shared" si="50"/>
        <v>0.62401900780574915</v>
      </c>
      <c r="AQ92" s="1">
        <f t="shared" si="51"/>
        <v>1.4285343902551861</v>
      </c>
      <c r="AS92" s="1">
        <f t="shared" si="52"/>
        <v>0.20111719834025785</v>
      </c>
      <c r="AT92" s="1">
        <f t="shared" si="53"/>
        <v>0.61567423193471649</v>
      </c>
      <c r="AU92" s="1">
        <f t="shared" si="54"/>
        <v>0.16155314198072221</v>
      </c>
      <c r="AV92" s="1">
        <f t="shared" si="55"/>
        <v>3.5336983711007679E-2</v>
      </c>
      <c r="AW92" s="1">
        <f t="shared" si="56"/>
        <v>4.9298441702924072E-2</v>
      </c>
    </row>
    <row r="93" spans="2:49" x14ac:dyDescent="0.15">
      <c r="B93" s="2">
        <v>89</v>
      </c>
      <c r="C93" s="2">
        <v>45</v>
      </c>
      <c r="D93" s="2">
        <v>205</v>
      </c>
      <c r="E93" s="2">
        <v>330</v>
      </c>
      <c r="F93" s="2">
        <v>555</v>
      </c>
      <c r="G93" s="2">
        <v>325</v>
      </c>
      <c r="I93" s="2">
        <v>41.957142857142856</v>
      </c>
      <c r="J93" s="2">
        <v>83.914285714285711</v>
      </c>
      <c r="K93" s="2">
        <v>54.671428571428571</v>
      </c>
      <c r="L93" s="2">
        <v>31.785714285714285</v>
      </c>
      <c r="M93" s="2">
        <v>8.9</v>
      </c>
      <c r="O93" s="3">
        <f t="shared" si="42"/>
        <v>86.957142857142856</v>
      </c>
      <c r="P93" s="3">
        <f t="shared" si="43"/>
        <v>288.91428571428571</v>
      </c>
      <c r="Q93" s="3">
        <f t="shared" si="44"/>
        <v>384.67142857142858</v>
      </c>
      <c r="R93" s="3">
        <f t="shared" si="45"/>
        <v>586.78571428571433</v>
      </c>
      <c r="S93" s="3">
        <f t="shared" si="46"/>
        <v>333.9</v>
      </c>
      <c r="U93" s="1">
        <f t="shared" si="57"/>
        <v>0.5174963035978315</v>
      </c>
      <c r="V93" s="1">
        <f t="shared" si="58"/>
        <v>0.70955300632911389</v>
      </c>
      <c r="W93" s="1">
        <f t="shared" si="59"/>
        <v>0.8578749953578193</v>
      </c>
      <c r="X93" s="1">
        <f t="shared" si="60"/>
        <v>0.94583079732197195</v>
      </c>
      <c r="Y93" s="1">
        <f t="shared" si="61"/>
        <v>0.97334531296795457</v>
      </c>
      <c r="AA93" s="1">
        <f t="shared" si="62"/>
        <v>0.48250369640216856</v>
      </c>
      <c r="AB93" s="1">
        <f t="shared" si="63"/>
        <v>0.29044699367088606</v>
      </c>
      <c r="AC93" s="1">
        <f t="shared" si="64"/>
        <v>0.1421250046421807</v>
      </c>
      <c r="AD93" s="1">
        <f t="shared" si="65"/>
        <v>5.4169202678027994E-2</v>
      </c>
      <c r="AE93" s="1">
        <f t="shared" si="66"/>
        <v>2.6654687032045526E-2</v>
      </c>
      <c r="AG93" s="2">
        <v>206.27631365233694</v>
      </c>
      <c r="AH93" s="2">
        <v>134.76514732587756</v>
      </c>
      <c r="AI93" s="2">
        <v>334.60904687074043</v>
      </c>
      <c r="AJ93" s="2">
        <v>911.78172309836998</v>
      </c>
      <c r="AK93" s="2">
        <v>205.36751397971415</v>
      </c>
      <c r="AM93" s="1">
        <f t="shared" si="47"/>
        <v>0.21815398580296563</v>
      </c>
      <c r="AN93" s="1">
        <f t="shared" si="48"/>
        <v>1.5211648120287846</v>
      </c>
      <c r="AO93" s="1">
        <f t="shared" si="49"/>
        <v>0.98622557604510641</v>
      </c>
      <c r="AP93" s="1">
        <f t="shared" si="50"/>
        <v>0.60869831664757157</v>
      </c>
      <c r="AQ93" s="1">
        <f t="shared" si="51"/>
        <v>1.5825287734266624</v>
      </c>
      <c r="AS93" s="1">
        <f t="shared" si="52"/>
        <v>0.20340262104866985</v>
      </c>
      <c r="AT93" s="1">
        <f t="shared" si="53"/>
        <v>0.6226705300248836</v>
      </c>
      <c r="AU93" s="1">
        <f t="shared" si="54"/>
        <v>0.16338897313959405</v>
      </c>
      <c r="AV93" s="1">
        <f t="shared" si="55"/>
        <v>3.4861100502981898E-2</v>
      </c>
      <c r="AW93" s="1">
        <f t="shared" si="56"/>
        <v>4.3336941795376296E-2</v>
      </c>
    </row>
    <row r="94" spans="2:49" x14ac:dyDescent="0.15">
      <c r="B94" s="2">
        <v>90</v>
      </c>
      <c r="C94" s="2">
        <v>45</v>
      </c>
      <c r="D94" s="2">
        <v>205</v>
      </c>
      <c r="E94" s="2">
        <v>330</v>
      </c>
      <c r="F94" s="2">
        <v>555</v>
      </c>
      <c r="G94" s="2">
        <v>395</v>
      </c>
      <c r="I94" s="2">
        <v>42.428571428571431</v>
      </c>
      <c r="J94" s="2">
        <v>84.857142857142861</v>
      </c>
      <c r="K94" s="2">
        <v>55.285714285714285</v>
      </c>
      <c r="L94" s="2">
        <v>32.142857142857146</v>
      </c>
      <c r="M94" s="2">
        <v>9</v>
      </c>
      <c r="O94" s="3">
        <f t="shared" si="42"/>
        <v>87.428571428571431</v>
      </c>
      <c r="P94" s="3">
        <f t="shared" si="43"/>
        <v>289.85714285714289</v>
      </c>
      <c r="Q94" s="3">
        <f t="shared" si="44"/>
        <v>385.28571428571428</v>
      </c>
      <c r="R94" s="3">
        <f t="shared" si="45"/>
        <v>587.14285714285711</v>
      </c>
      <c r="S94" s="3">
        <f t="shared" si="46"/>
        <v>404</v>
      </c>
      <c r="U94" s="1">
        <f t="shared" si="57"/>
        <v>0.51470588235294112</v>
      </c>
      <c r="V94" s="1">
        <f t="shared" si="58"/>
        <v>0.70724494825036954</v>
      </c>
      <c r="W94" s="1">
        <f t="shared" si="59"/>
        <v>0.85650723025583986</v>
      </c>
      <c r="X94" s="1">
        <f t="shared" si="60"/>
        <v>0.94525547445255476</v>
      </c>
      <c r="Y94" s="1">
        <f t="shared" si="61"/>
        <v>0.9777227722772277</v>
      </c>
      <c r="AA94" s="1">
        <f t="shared" si="62"/>
        <v>0.48529411764705882</v>
      </c>
      <c r="AB94" s="1">
        <f t="shared" si="63"/>
        <v>0.29275505174963035</v>
      </c>
      <c r="AC94" s="1">
        <f t="shared" si="64"/>
        <v>0.14349276974416017</v>
      </c>
      <c r="AD94" s="1">
        <f t="shared" si="65"/>
        <v>5.4744525547445265E-2</v>
      </c>
      <c r="AE94" s="1">
        <f t="shared" si="66"/>
        <v>2.2277227722772276E-2</v>
      </c>
      <c r="AG94" s="2">
        <v>206.27631365233694</v>
      </c>
      <c r="AH94" s="2">
        <v>134.76514732587756</v>
      </c>
      <c r="AI94" s="2">
        <v>334.60904687074043</v>
      </c>
      <c r="AJ94" s="2">
        <v>911.78172309836998</v>
      </c>
      <c r="AK94" s="2">
        <v>235.34729822955867</v>
      </c>
      <c r="AM94" s="1">
        <f t="shared" si="47"/>
        <v>0.21815398580296563</v>
      </c>
      <c r="AN94" s="1">
        <f t="shared" si="48"/>
        <v>1.5211648120287846</v>
      </c>
      <c r="AO94" s="1">
        <f t="shared" si="49"/>
        <v>0.98622557604510641</v>
      </c>
      <c r="AP94" s="1">
        <f t="shared" si="50"/>
        <v>0.60869831664757157</v>
      </c>
      <c r="AQ94" s="1">
        <f t="shared" si="51"/>
        <v>1.6783706589005134</v>
      </c>
      <c r="AS94" s="1">
        <f t="shared" si="52"/>
        <v>0.20568804375708191</v>
      </c>
      <c r="AT94" s="1">
        <f t="shared" si="53"/>
        <v>0.62966682811505092</v>
      </c>
      <c r="AU94" s="1">
        <f t="shared" si="54"/>
        <v>0.16522480429846589</v>
      </c>
      <c r="AV94" s="1">
        <f t="shared" si="55"/>
        <v>3.525279826144237E-2</v>
      </c>
      <c r="AW94" s="1">
        <f t="shared" si="56"/>
        <v>3.8241356785074988E-2</v>
      </c>
    </row>
    <row r="95" spans="2:49" x14ac:dyDescent="0.15">
      <c r="B95" s="2">
        <v>91</v>
      </c>
      <c r="C95" s="2">
        <v>45</v>
      </c>
      <c r="D95" s="2">
        <v>205</v>
      </c>
      <c r="E95" s="2">
        <v>330</v>
      </c>
      <c r="F95" s="2">
        <v>555</v>
      </c>
      <c r="G95" s="2">
        <v>495</v>
      </c>
      <c r="I95" s="2">
        <v>42.9</v>
      </c>
      <c r="J95" s="2">
        <v>85.8</v>
      </c>
      <c r="K95" s="2">
        <v>55.9</v>
      </c>
      <c r="L95" s="2">
        <v>32.5</v>
      </c>
      <c r="M95" s="2">
        <v>9.1</v>
      </c>
      <c r="O95" s="3">
        <f t="shared" si="42"/>
        <v>87.9</v>
      </c>
      <c r="P95" s="3">
        <f t="shared" si="43"/>
        <v>290.8</v>
      </c>
      <c r="Q95" s="3">
        <f t="shared" si="44"/>
        <v>385.9</v>
      </c>
      <c r="R95" s="3">
        <f t="shared" si="45"/>
        <v>587.5</v>
      </c>
      <c r="S95" s="3">
        <f t="shared" si="46"/>
        <v>504.1</v>
      </c>
      <c r="U95" s="1">
        <f t="shared" si="57"/>
        <v>0.51194539249146753</v>
      </c>
      <c r="V95" s="1">
        <f t="shared" si="58"/>
        <v>0.70495185694635487</v>
      </c>
      <c r="W95" s="1">
        <f t="shared" si="59"/>
        <v>0.8551438196423945</v>
      </c>
      <c r="X95" s="1">
        <f t="shared" si="60"/>
        <v>0.94468085106382982</v>
      </c>
      <c r="Y95" s="1">
        <f t="shared" si="61"/>
        <v>0.98194802618528065</v>
      </c>
      <c r="AA95" s="1">
        <f t="shared" si="62"/>
        <v>0.48805460750853236</v>
      </c>
      <c r="AB95" s="1">
        <f t="shared" si="63"/>
        <v>0.29504814305364507</v>
      </c>
      <c r="AC95" s="1">
        <f t="shared" si="64"/>
        <v>0.14485618035760561</v>
      </c>
      <c r="AD95" s="1">
        <f t="shared" si="65"/>
        <v>5.5319148936170209E-2</v>
      </c>
      <c r="AE95" s="1">
        <f t="shared" si="66"/>
        <v>1.8051973814719301E-2</v>
      </c>
      <c r="AG95" s="2">
        <v>206.27631365233694</v>
      </c>
      <c r="AH95" s="2">
        <v>134.76514732587756</v>
      </c>
      <c r="AI95" s="2">
        <v>334.60904687074043</v>
      </c>
      <c r="AJ95" s="2">
        <v>911.78172309836998</v>
      </c>
      <c r="AK95" s="2">
        <v>268.11048480476836</v>
      </c>
      <c r="AM95" s="1">
        <f t="shared" si="47"/>
        <v>0.21815398580296563</v>
      </c>
      <c r="AN95" s="1">
        <f t="shared" si="48"/>
        <v>1.5211648120287846</v>
      </c>
      <c r="AO95" s="1">
        <f t="shared" si="49"/>
        <v>0.98622557604510641</v>
      </c>
      <c r="AP95" s="1">
        <f t="shared" si="50"/>
        <v>0.60869831664757157</v>
      </c>
      <c r="AQ95" s="1">
        <f t="shared" si="51"/>
        <v>1.8462537948131612</v>
      </c>
      <c r="AS95" s="1">
        <f t="shared" si="52"/>
        <v>0.20797346646549392</v>
      </c>
      <c r="AT95" s="1">
        <f t="shared" si="53"/>
        <v>0.63666312620521814</v>
      </c>
      <c r="AU95" s="1">
        <f t="shared" si="54"/>
        <v>0.16706063545733774</v>
      </c>
      <c r="AV95" s="1">
        <f t="shared" si="55"/>
        <v>3.5644496019902841E-2</v>
      </c>
      <c r="AW95" s="1">
        <f t="shared" si="56"/>
        <v>3.394123137939347E-2</v>
      </c>
    </row>
    <row r="96" spans="2:49" x14ac:dyDescent="0.15">
      <c r="B96" s="2">
        <v>92</v>
      </c>
      <c r="C96" s="2">
        <v>45</v>
      </c>
      <c r="D96" s="2">
        <v>205</v>
      </c>
      <c r="E96" s="2">
        <v>330</v>
      </c>
      <c r="F96" s="2">
        <v>555</v>
      </c>
      <c r="G96" s="2">
        <v>595</v>
      </c>
      <c r="I96" s="2">
        <v>43.371428571428574</v>
      </c>
      <c r="J96" s="2">
        <v>86.742857142857147</v>
      </c>
      <c r="K96" s="2">
        <v>56.51428571428572</v>
      </c>
      <c r="L96" s="2">
        <v>32.857142857142861</v>
      </c>
      <c r="M96" s="2">
        <v>9.1999999999999993</v>
      </c>
      <c r="O96" s="3">
        <f t="shared" si="42"/>
        <v>88.371428571428567</v>
      </c>
      <c r="P96" s="3">
        <f t="shared" si="43"/>
        <v>291.74285714285713</v>
      </c>
      <c r="Q96" s="3">
        <f t="shared" si="44"/>
        <v>386.51428571428573</v>
      </c>
      <c r="R96" s="3">
        <f t="shared" si="45"/>
        <v>587.85714285714289</v>
      </c>
      <c r="S96" s="3">
        <f t="shared" si="46"/>
        <v>604.20000000000005</v>
      </c>
      <c r="U96" s="1">
        <f t="shared" si="57"/>
        <v>0.50921435499515033</v>
      </c>
      <c r="V96" s="1">
        <f t="shared" si="58"/>
        <v>0.70267358730780538</v>
      </c>
      <c r="W96" s="1">
        <f t="shared" si="59"/>
        <v>0.85378474275576577</v>
      </c>
      <c r="X96" s="1">
        <f t="shared" si="60"/>
        <v>0.94410692588092338</v>
      </c>
      <c r="Y96" s="1">
        <f t="shared" si="61"/>
        <v>0.98477325388944048</v>
      </c>
      <c r="AA96" s="1">
        <f t="shared" si="62"/>
        <v>0.49078564500484972</v>
      </c>
      <c r="AB96" s="1">
        <f t="shared" si="63"/>
        <v>0.29732641269219473</v>
      </c>
      <c r="AC96" s="1">
        <f t="shared" si="64"/>
        <v>0.14621525724423418</v>
      </c>
      <c r="AD96" s="1">
        <f t="shared" si="65"/>
        <v>5.5893074119076555E-2</v>
      </c>
      <c r="AE96" s="1">
        <f t="shared" si="66"/>
        <v>1.5226746110559415E-2</v>
      </c>
      <c r="AG96" s="2">
        <v>206.27631365233694</v>
      </c>
      <c r="AH96" s="2">
        <v>134.76514732587756</v>
      </c>
      <c r="AI96" s="2">
        <v>334.60904687074043</v>
      </c>
      <c r="AJ96" s="2">
        <v>911.78172309836998</v>
      </c>
      <c r="AK96" s="2">
        <v>303.90252586638928</v>
      </c>
      <c r="AM96" s="1">
        <f t="shared" si="47"/>
        <v>0.21815398580296563</v>
      </c>
      <c r="AN96" s="1">
        <f t="shared" si="48"/>
        <v>1.5211648120287846</v>
      </c>
      <c r="AO96" s="1">
        <f t="shared" si="49"/>
        <v>0.98622557604510641</v>
      </c>
      <c r="AP96" s="1">
        <f t="shared" si="50"/>
        <v>0.60869831664757157</v>
      </c>
      <c r="AQ96" s="1">
        <f t="shared" si="51"/>
        <v>1.9578646090674208</v>
      </c>
      <c r="AS96" s="1">
        <f t="shared" si="52"/>
        <v>0.21025888917390595</v>
      </c>
      <c r="AT96" s="1">
        <f t="shared" si="53"/>
        <v>0.64365942429538536</v>
      </c>
      <c r="AU96" s="1">
        <f t="shared" si="54"/>
        <v>0.16889646661620958</v>
      </c>
      <c r="AV96" s="1">
        <f t="shared" si="55"/>
        <v>3.6036193778363312E-2</v>
      </c>
      <c r="AW96" s="1">
        <f t="shared" si="56"/>
        <v>3.0272864543563479E-2</v>
      </c>
    </row>
    <row r="97" spans="2:49" x14ac:dyDescent="0.15">
      <c r="B97" s="2">
        <v>93</v>
      </c>
      <c r="C97" s="2">
        <v>45</v>
      </c>
      <c r="D97" s="2">
        <v>205</v>
      </c>
      <c r="E97" s="2">
        <v>330</v>
      </c>
      <c r="F97" s="2">
        <v>555</v>
      </c>
      <c r="G97" s="2">
        <v>720</v>
      </c>
      <c r="I97" s="2">
        <v>43.842857142857142</v>
      </c>
      <c r="J97" s="2">
        <v>87.685714285714283</v>
      </c>
      <c r="K97" s="2">
        <v>57.128571428571433</v>
      </c>
      <c r="L97" s="2">
        <v>33.214285714285715</v>
      </c>
      <c r="M97" s="2">
        <v>9.3000000000000007</v>
      </c>
      <c r="O97" s="3">
        <f t="shared" si="42"/>
        <v>88.842857142857142</v>
      </c>
      <c r="P97" s="3">
        <f t="shared" si="43"/>
        <v>292.68571428571431</v>
      </c>
      <c r="Q97" s="3">
        <f t="shared" si="44"/>
        <v>387.12857142857143</v>
      </c>
      <c r="R97" s="3">
        <f t="shared" si="45"/>
        <v>588.21428571428567</v>
      </c>
      <c r="S97" s="3">
        <f t="shared" si="46"/>
        <v>729.3</v>
      </c>
      <c r="U97" s="1">
        <f t="shared" si="57"/>
        <v>0.50651230101302458</v>
      </c>
      <c r="V97" s="1">
        <f t="shared" si="58"/>
        <v>0.70040999609527521</v>
      </c>
      <c r="W97" s="1">
        <f t="shared" si="59"/>
        <v>0.85242997896601347</v>
      </c>
      <c r="X97" s="1">
        <f t="shared" si="60"/>
        <v>0.94353369763205841</v>
      </c>
      <c r="Y97" s="1">
        <f t="shared" si="61"/>
        <v>0.98724804607157557</v>
      </c>
      <c r="AA97" s="1">
        <f t="shared" si="62"/>
        <v>0.49348769898697536</v>
      </c>
      <c r="AB97" s="1">
        <f t="shared" si="63"/>
        <v>0.29959000390472468</v>
      </c>
      <c r="AC97" s="1">
        <f t="shared" si="64"/>
        <v>0.1475700210339865</v>
      </c>
      <c r="AD97" s="1">
        <f t="shared" si="65"/>
        <v>5.6466302367941722E-2</v>
      </c>
      <c r="AE97" s="1">
        <f t="shared" si="66"/>
        <v>1.2751953928424518E-2</v>
      </c>
      <c r="AG97" s="2">
        <v>206.27631365233694</v>
      </c>
      <c r="AH97" s="2">
        <v>134.76514732587756</v>
      </c>
      <c r="AI97" s="2">
        <v>334.60904687074043</v>
      </c>
      <c r="AJ97" s="2">
        <v>911.78172309836998</v>
      </c>
      <c r="AK97" s="2">
        <v>342.98978443069871</v>
      </c>
      <c r="AM97" s="1">
        <f t="shared" si="47"/>
        <v>0.21815398580296563</v>
      </c>
      <c r="AN97" s="1">
        <f t="shared" si="48"/>
        <v>1.5211648120287846</v>
      </c>
      <c r="AO97" s="1">
        <f t="shared" si="49"/>
        <v>0.98622557604510641</v>
      </c>
      <c r="AP97" s="1">
        <f t="shared" si="50"/>
        <v>0.60869831664757157</v>
      </c>
      <c r="AQ97" s="1">
        <f t="shared" si="51"/>
        <v>2.0991878845460961</v>
      </c>
      <c r="AS97" s="1">
        <f t="shared" si="52"/>
        <v>0.21254431188231795</v>
      </c>
      <c r="AT97" s="1">
        <f t="shared" si="53"/>
        <v>0.65065572238555258</v>
      </c>
      <c r="AU97" s="1">
        <f t="shared" si="54"/>
        <v>0.17073229777508142</v>
      </c>
      <c r="AV97" s="1">
        <f t="shared" si="55"/>
        <v>3.6427891536823777E-2</v>
      </c>
      <c r="AW97" s="1">
        <f t="shared" si="56"/>
        <v>2.7114510175387078E-2</v>
      </c>
    </row>
    <row r="98" spans="2:49" x14ac:dyDescent="0.15">
      <c r="B98" s="2">
        <v>94</v>
      </c>
      <c r="C98" s="2">
        <v>45</v>
      </c>
      <c r="D98" s="2">
        <v>205</v>
      </c>
      <c r="E98" s="2">
        <v>330</v>
      </c>
      <c r="F98" s="2">
        <v>555</v>
      </c>
      <c r="G98" s="2">
        <v>845</v>
      </c>
      <c r="I98" s="2">
        <v>44.314285714285717</v>
      </c>
      <c r="J98" s="2">
        <v>88.628571428571433</v>
      </c>
      <c r="K98" s="2">
        <v>57.742857142857147</v>
      </c>
      <c r="L98" s="2">
        <v>33.571428571428569</v>
      </c>
      <c r="M98" s="2">
        <v>9.4</v>
      </c>
      <c r="O98" s="3">
        <f t="shared" si="42"/>
        <v>89.314285714285717</v>
      </c>
      <c r="P98" s="3">
        <f t="shared" si="43"/>
        <v>293.62857142857143</v>
      </c>
      <c r="Q98" s="3">
        <f t="shared" si="44"/>
        <v>387.74285714285713</v>
      </c>
      <c r="R98" s="3">
        <f t="shared" si="45"/>
        <v>588.57142857142856</v>
      </c>
      <c r="S98" s="3">
        <f t="shared" si="46"/>
        <v>854.4</v>
      </c>
      <c r="U98" s="1">
        <f t="shared" si="57"/>
        <v>0.50383877159309021</v>
      </c>
      <c r="V98" s="1">
        <f t="shared" si="58"/>
        <v>0.69816094190911748</v>
      </c>
      <c r="W98" s="1">
        <f t="shared" si="59"/>
        <v>0.85107950777392971</v>
      </c>
      <c r="X98" s="1">
        <f t="shared" si="60"/>
        <v>0.94296116504854377</v>
      </c>
      <c r="Y98" s="1">
        <f t="shared" si="61"/>
        <v>0.98899812734082404</v>
      </c>
      <c r="AA98" s="1">
        <f t="shared" si="62"/>
        <v>0.49616122840690979</v>
      </c>
      <c r="AB98" s="1">
        <f t="shared" si="63"/>
        <v>0.30183905809088257</v>
      </c>
      <c r="AC98" s="1">
        <f t="shared" si="64"/>
        <v>0.14892049222607032</v>
      </c>
      <c r="AD98" s="1">
        <f t="shared" si="65"/>
        <v>5.7038834951456306E-2</v>
      </c>
      <c r="AE98" s="1">
        <f t="shared" si="66"/>
        <v>1.1001872659176031E-2</v>
      </c>
      <c r="AG98" s="2">
        <v>206.27631365233694</v>
      </c>
      <c r="AH98" s="2">
        <v>134.76514732587756</v>
      </c>
      <c r="AI98" s="2">
        <v>334.60904687074043</v>
      </c>
      <c r="AJ98" s="2">
        <v>911.78172309836998</v>
      </c>
      <c r="AK98" s="2">
        <v>385.66127162856276</v>
      </c>
      <c r="AM98" s="1">
        <f t="shared" si="47"/>
        <v>0.21815398580296563</v>
      </c>
      <c r="AN98" s="1">
        <f t="shared" si="48"/>
        <v>1.5211648120287846</v>
      </c>
      <c r="AO98" s="1">
        <f t="shared" si="49"/>
        <v>0.98622557604510641</v>
      </c>
      <c r="AP98" s="1">
        <f t="shared" si="50"/>
        <v>0.60869831664757157</v>
      </c>
      <c r="AQ98" s="1">
        <f t="shared" si="51"/>
        <v>2.1910418861394891</v>
      </c>
      <c r="AS98" s="1">
        <f t="shared" si="52"/>
        <v>0.21482973459072999</v>
      </c>
      <c r="AT98" s="1">
        <f t="shared" si="53"/>
        <v>0.6576520204757198</v>
      </c>
      <c r="AU98" s="1">
        <f t="shared" si="54"/>
        <v>0.17256812893395326</v>
      </c>
      <c r="AV98" s="1">
        <f t="shared" si="55"/>
        <v>3.6819589295284248E-2</v>
      </c>
      <c r="AW98" s="1">
        <f t="shared" si="56"/>
        <v>2.4373720390190767E-2</v>
      </c>
    </row>
    <row r="99" spans="2:49" x14ac:dyDescent="0.15">
      <c r="B99" s="2">
        <v>95</v>
      </c>
      <c r="C99" s="2">
        <v>45.478723404255319</v>
      </c>
      <c r="D99" s="2">
        <v>207.18085106382978</v>
      </c>
      <c r="E99" s="2">
        <v>333.51063829787233</v>
      </c>
      <c r="F99" s="2">
        <v>560.90425531914889</v>
      </c>
      <c r="G99" s="2">
        <v>853.98936170212767</v>
      </c>
      <c r="I99" s="2">
        <v>44.785714285714285</v>
      </c>
      <c r="J99" s="2">
        <v>89.571428571428569</v>
      </c>
      <c r="K99" s="2">
        <v>58.357142857142861</v>
      </c>
      <c r="L99" s="2">
        <v>33.928571428571431</v>
      </c>
      <c r="M99" s="2">
        <v>9.5</v>
      </c>
      <c r="O99" s="3">
        <f t="shared" si="42"/>
        <v>90.264437689969611</v>
      </c>
      <c r="P99" s="3">
        <f t="shared" si="43"/>
        <v>296.75227963525833</v>
      </c>
      <c r="Q99" s="3">
        <f t="shared" si="44"/>
        <v>391.86778115501522</v>
      </c>
      <c r="R99" s="3">
        <f t="shared" si="45"/>
        <v>594.83282674772033</v>
      </c>
      <c r="S99" s="3">
        <f t="shared" si="46"/>
        <v>863.48936170212767</v>
      </c>
      <c r="U99" s="1">
        <f t="shared" si="57"/>
        <v>0.50383877159309021</v>
      </c>
      <c r="V99" s="1">
        <f t="shared" si="58"/>
        <v>0.69816094190911748</v>
      </c>
      <c r="W99" s="1">
        <f t="shared" si="59"/>
        <v>0.8510795077739296</v>
      </c>
      <c r="X99" s="1">
        <f t="shared" si="60"/>
        <v>0.94296116504854366</v>
      </c>
      <c r="Y99" s="1">
        <f t="shared" si="61"/>
        <v>0.98899812734082393</v>
      </c>
      <c r="AA99" s="1">
        <f t="shared" si="62"/>
        <v>0.49616122840690974</v>
      </c>
      <c r="AB99" s="1">
        <f t="shared" si="63"/>
        <v>0.30183905809088257</v>
      </c>
      <c r="AC99" s="1">
        <f t="shared" si="64"/>
        <v>0.14892049222607029</v>
      </c>
      <c r="AD99" s="1">
        <f t="shared" si="65"/>
        <v>5.703883495145632E-2</v>
      </c>
      <c r="AE99" s="1">
        <f t="shared" si="66"/>
        <v>1.1001872659176029E-2</v>
      </c>
      <c r="AG99" s="2">
        <v>206.27631365233694</v>
      </c>
      <c r="AH99" s="2">
        <v>134.76514732587756</v>
      </c>
      <c r="AI99" s="2">
        <v>334.60904687074043</v>
      </c>
      <c r="AJ99" s="2">
        <v>911.78172309836998</v>
      </c>
      <c r="AK99" s="2">
        <v>432.23052562223552</v>
      </c>
      <c r="AM99" s="1">
        <f t="shared" si="47"/>
        <v>0.22047477288597592</v>
      </c>
      <c r="AN99" s="1">
        <f t="shared" si="48"/>
        <v>1.5373474164120695</v>
      </c>
      <c r="AO99" s="1">
        <f t="shared" si="49"/>
        <v>0.99671733749239477</v>
      </c>
      <c r="AP99" s="1">
        <f t="shared" si="50"/>
        <v>0.61517383065446052</v>
      </c>
      <c r="AQ99" s="1">
        <f t="shared" si="51"/>
        <v>1.9757729060730536</v>
      </c>
      <c r="AS99" s="1">
        <f t="shared" si="52"/>
        <v>0.21711515729914199</v>
      </c>
      <c r="AT99" s="1">
        <f t="shared" si="53"/>
        <v>0.66464831856588702</v>
      </c>
      <c r="AU99" s="1">
        <f t="shared" si="54"/>
        <v>0.17440396009282511</v>
      </c>
      <c r="AV99" s="1">
        <f t="shared" si="55"/>
        <v>3.721128705374472E-2</v>
      </c>
      <c r="AW99" s="1">
        <f t="shared" si="56"/>
        <v>2.1979012209570062E-2</v>
      </c>
    </row>
    <row r="100" spans="2:49" x14ac:dyDescent="0.15">
      <c r="B100" s="2">
        <v>96</v>
      </c>
      <c r="C100" s="2">
        <v>45.957446808510639</v>
      </c>
      <c r="D100" s="2">
        <v>209.36170212765958</v>
      </c>
      <c r="E100" s="2">
        <v>337.02127659574467</v>
      </c>
      <c r="F100" s="2">
        <v>566.80851063829789</v>
      </c>
      <c r="G100" s="2">
        <v>862.97872340425533</v>
      </c>
      <c r="I100" s="2">
        <v>45.257142857142853</v>
      </c>
      <c r="J100" s="2">
        <v>90.514285714285705</v>
      </c>
      <c r="K100" s="2">
        <v>58.971428571428575</v>
      </c>
      <c r="L100" s="2">
        <v>34.285714285714285</v>
      </c>
      <c r="M100" s="2">
        <v>9.6</v>
      </c>
      <c r="O100" s="3">
        <f t="shared" si="42"/>
        <v>91.214589665653492</v>
      </c>
      <c r="P100" s="3">
        <f t="shared" si="43"/>
        <v>299.87598784194529</v>
      </c>
      <c r="Q100" s="3">
        <f t="shared" si="44"/>
        <v>395.99270516717326</v>
      </c>
      <c r="R100" s="3">
        <f t="shared" si="45"/>
        <v>601.09422492401222</v>
      </c>
      <c r="S100" s="3">
        <f t="shared" si="46"/>
        <v>872.57872340425536</v>
      </c>
      <c r="U100" s="1">
        <f t="shared" si="57"/>
        <v>0.50383877159309021</v>
      </c>
      <c r="V100" s="1">
        <f t="shared" si="58"/>
        <v>0.69816094190911748</v>
      </c>
      <c r="W100" s="1">
        <f t="shared" si="59"/>
        <v>0.85107950777392971</v>
      </c>
      <c r="X100" s="1">
        <f t="shared" si="60"/>
        <v>0.94296116504854366</v>
      </c>
      <c r="Y100" s="1">
        <f t="shared" si="61"/>
        <v>0.98899812734082393</v>
      </c>
      <c r="AA100" s="1">
        <f t="shared" si="62"/>
        <v>0.49616122840690974</v>
      </c>
      <c r="AB100" s="1">
        <f t="shared" si="63"/>
        <v>0.30183905809088252</v>
      </c>
      <c r="AC100" s="1">
        <f t="shared" si="64"/>
        <v>0.14892049222607032</v>
      </c>
      <c r="AD100" s="1">
        <f t="shared" si="65"/>
        <v>5.7038834951456306E-2</v>
      </c>
      <c r="AE100" s="1">
        <f t="shared" si="66"/>
        <v>1.1001872659176029E-2</v>
      </c>
      <c r="AG100" s="2">
        <v>206.27631365233694</v>
      </c>
      <c r="AH100" s="2">
        <v>134.76514732587756</v>
      </c>
      <c r="AI100" s="2">
        <v>334.60904687074043</v>
      </c>
      <c r="AJ100" s="2">
        <v>911.78172309836998</v>
      </c>
      <c r="AK100" s="2">
        <v>483.03764356470623</v>
      </c>
      <c r="AM100" s="1">
        <f t="shared" si="47"/>
        <v>0.2227955599689862</v>
      </c>
      <c r="AN100" s="1">
        <f t="shared" si="48"/>
        <v>1.5535300207953544</v>
      </c>
      <c r="AO100" s="1">
        <f t="shared" si="49"/>
        <v>1.0072090989396831</v>
      </c>
      <c r="AP100" s="1">
        <f t="shared" si="50"/>
        <v>0.62164934466134969</v>
      </c>
      <c r="AQ100" s="1">
        <f t="shared" si="51"/>
        <v>1.786566191892772</v>
      </c>
      <c r="AS100" s="1">
        <f t="shared" si="52"/>
        <v>0.219400580007554</v>
      </c>
      <c r="AT100" s="1">
        <f t="shared" si="53"/>
        <v>0.67164461665605424</v>
      </c>
      <c r="AU100" s="1">
        <f t="shared" si="54"/>
        <v>0.17623979125169695</v>
      </c>
      <c r="AV100" s="1">
        <f t="shared" si="55"/>
        <v>3.7602984812205191E-2</v>
      </c>
      <c r="AW100" s="1">
        <f t="shared" si="56"/>
        <v>1.9874227460108942E-2</v>
      </c>
    </row>
    <row r="101" spans="2:49" x14ac:dyDescent="0.15">
      <c r="B101" s="2">
        <v>97</v>
      </c>
      <c r="C101" s="2">
        <v>46.436170212765958</v>
      </c>
      <c r="D101" s="2">
        <v>211.54255319148936</v>
      </c>
      <c r="E101" s="2">
        <v>340.531914893617</v>
      </c>
      <c r="F101" s="2">
        <v>572.71276595744678</v>
      </c>
      <c r="G101" s="2">
        <v>871.968085106383</v>
      </c>
      <c r="I101" s="2">
        <v>45.728571428571428</v>
      </c>
      <c r="J101" s="2">
        <v>91.457142857142856</v>
      </c>
      <c r="K101" s="2">
        <v>59.585714285714289</v>
      </c>
      <c r="L101" s="2">
        <v>34.642857142857139</v>
      </c>
      <c r="M101" s="2">
        <v>9.6999999999999993</v>
      </c>
      <c r="O101" s="3">
        <f t="shared" si="42"/>
        <v>92.164741641337386</v>
      </c>
      <c r="P101" s="3">
        <f t="shared" si="43"/>
        <v>302.99969604863225</v>
      </c>
      <c r="Q101" s="3">
        <f t="shared" si="44"/>
        <v>400.11762917933129</v>
      </c>
      <c r="R101" s="3">
        <f t="shared" si="45"/>
        <v>607.35562310030389</v>
      </c>
      <c r="S101" s="3">
        <f t="shared" si="46"/>
        <v>881.66808510638305</v>
      </c>
      <c r="U101" s="1">
        <f t="shared" si="57"/>
        <v>0.50383877159309021</v>
      </c>
      <c r="V101" s="1">
        <f t="shared" si="58"/>
        <v>0.69816094190911737</v>
      </c>
      <c r="W101" s="1">
        <f t="shared" si="59"/>
        <v>0.85107950777392971</v>
      </c>
      <c r="X101" s="1">
        <f t="shared" si="60"/>
        <v>0.94296116504854377</v>
      </c>
      <c r="Y101" s="1">
        <f t="shared" si="61"/>
        <v>0.98899812734082393</v>
      </c>
      <c r="AA101" s="1">
        <f t="shared" si="62"/>
        <v>0.49616122840690979</v>
      </c>
      <c r="AB101" s="1">
        <f t="shared" si="63"/>
        <v>0.30183905809088252</v>
      </c>
      <c r="AC101" s="1">
        <f t="shared" si="64"/>
        <v>0.14892049222607032</v>
      </c>
      <c r="AD101" s="1">
        <f t="shared" si="65"/>
        <v>5.7038834951456313E-2</v>
      </c>
      <c r="AE101" s="1">
        <f t="shared" si="66"/>
        <v>1.1001872659176029E-2</v>
      </c>
      <c r="AG101" s="2">
        <v>206.27631365233694</v>
      </c>
      <c r="AH101" s="2">
        <v>134.76514732587756</v>
      </c>
      <c r="AI101" s="2">
        <v>334.60904687074043</v>
      </c>
      <c r="AJ101" s="2">
        <v>911.78172309836998</v>
      </c>
      <c r="AK101" s="2">
        <v>538.45147889128009</v>
      </c>
      <c r="AM101" s="1">
        <f t="shared" si="47"/>
        <v>0.22511634705199646</v>
      </c>
      <c r="AN101" s="1">
        <f t="shared" si="48"/>
        <v>1.5697126251786393</v>
      </c>
      <c r="AO101" s="1">
        <f t="shared" si="49"/>
        <v>1.0177008603869715</v>
      </c>
      <c r="AP101" s="1">
        <f t="shared" si="50"/>
        <v>0.62812485866823864</v>
      </c>
      <c r="AQ101" s="1">
        <f t="shared" si="51"/>
        <v>1.6193995546299613</v>
      </c>
      <c r="AS101" s="1">
        <f t="shared" si="52"/>
        <v>0.22168600271596603</v>
      </c>
      <c r="AT101" s="1">
        <f t="shared" si="53"/>
        <v>0.67864091474622146</v>
      </c>
      <c r="AU101" s="1">
        <f t="shared" si="54"/>
        <v>0.17807562241056879</v>
      </c>
      <c r="AV101" s="1">
        <f t="shared" si="55"/>
        <v>3.7994682570665655E-2</v>
      </c>
      <c r="AW101" s="1">
        <f t="shared" si="56"/>
        <v>1.8014622264522644E-2</v>
      </c>
    </row>
    <row r="102" spans="2:49" x14ac:dyDescent="0.15">
      <c r="B102" s="2">
        <v>98</v>
      </c>
      <c r="C102" s="2">
        <v>46.914893617021278</v>
      </c>
      <c r="D102" s="2">
        <v>213.72340425531914</v>
      </c>
      <c r="E102" s="2">
        <v>344.04255319148933</v>
      </c>
      <c r="F102" s="2">
        <v>578.61702127659578</v>
      </c>
      <c r="G102" s="2">
        <v>880.95744680851067</v>
      </c>
      <c r="I102" s="2">
        <v>46.2</v>
      </c>
      <c r="J102" s="2">
        <v>92.4</v>
      </c>
      <c r="K102" s="2">
        <v>60.2</v>
      </c>
      <c r="L102" s="2">
        <v>35</v>
      </c>
      <c r="M102" s="2">
        <v>9.8000000000000007</v>
      </c>
      <c r="O102" s="3">
        <f t="shared" si="42"/>
        <v>93.114893617021281</v>
      </c>
      <c r="P102" s="3">
        <f t="shared" si="43"/>
        <v>306.12340425531914</v>
      </c>
      <c r="Q102" s="3">
        <f t="shared" si="44"/>
        <v>404.24255319148932</v>
      </c>
      <c r="R102" s="3">
        <f t="shared" si="45"/>
        <v>613.61702127659578</v>
      </c>
      <c r="S102" s="3">
        <f t="shared" si="46"/>
        <v>890.75744680851062</v>
      </c>
      <c r="U102" s="1">
        <f t="shared" si="57"/>
        <v>0.50383877159309021</v>
      </c>
      <c r="V102" s="1">
        <f t="shared" si="58"/>
        <v>0.69816094190911737</v>
      </c>
      <c r="W102" s="1">
        <f t="shared" si="59"/>
        <v>0.85107950777392971</v>
      </c>
      <c r="X102" s="1">
        <f t="shared" si="60"/>
        <v>0.94296116504854366</v>
      </c>
      <c r="Y102" s="1">
        <f t="shared" si="61"/>
        <v>0.98899812734082404</v>
      </c>
      <c r="AA102" s="1">
        <f t="shared" si="62"/>
        <v>0.49616122840690979</v>
      </c>
      <c r="AB102" s="1">
        <f t="shared" si="63"/>
        <v>0.30183905809088257</v>
      </c>
      <c r="AC102" s="1">
        <f t="shared" si="64"/>
        <v>0.14892049222607032</v>
      </c>
      <c r="AD102" s="1">
        <f t="shared" si="65"/>
        <v>5.7038834951456306E-2</v>
      </c>
      <c r="AE102" s="1">
        <f t="shared" si="66"/>
        <v>1.1001872659176031E-2</v>
      </c>
      <c r="AG102" s="2">
        <v>206.27631365233694</v>
      </c>
      <c r="AH102" s="2">
        <v>134.76514732587756</v>
      </c>
      <c r="AI102" s="2">
        <v>334.60904687074043</v>
      </c>
      <c r="AJ102" s="2">
        <v>911.78172309836998</v>
      </c>
      <c r="AK102" s="2">
        <v>598.87201720883411</v>
      </c>
      <c r="AM102" s="1">
        <f t="shared" si="47"/>
        <v>0.22743713413500674</v>
      </c>
      <c r="AN102" s="1">
        <f t="shared" si="48"/>
        <v>1.5858952295619242</v>
      </c>
      <c r="AO102" s="1">
        <f t="shared" si="49"/>
        <v>1.0281926218342599</v>
      </c>
      <c r="AP102" s="1">
        <f t="shared" si="50"/>
        <v>0.63460037267512781</v>
      </c>
      <c r="AQ102" s="1">
        <f t="shared" si="51"/>
        <v>1.4710279016114221</v>
      </c>
      <c r="AS102" s="1">
        <f t="shared" si="52"/>
        <v>0.22397142542437806</v>
      </c>
      <c r="AT102" s="1">
        <f t="shared" si="53"/>
        <v>0.68563721283638879</v>
      </c>
      <c r="AU102" s="1">
        <f t="shared" si="54"/>
        <v>0.17991145356944063</v>
      </c>
      <c r="AV102" s="1">
        <f t="shared" si="55"/>
        <v>3.8386380329126134E-2</v>
      </c>
      <c r="AW102" s="1">
        <f t="shared" si="56"/>
        <v>1.6364097367038304E-2</v>
      </c>
    </row>
    <row r="103" spans="2:49" x14ac:dyDescent="0.15">
      <c r="B103" s="2">
        <v>99</v>
      </c>
      <c r="C103" s="2">
        <v>47.393617021276597</v>
      </c>
      <c r="D103" s="2">
        <v>215.90425531914894</v>
      </c>
      <c r="E103" s="2">
        <v>347.55319148936172</v>
      </c>
      <c r="F103" s="2">
        <v>584.52127659574467</v>
      </c>
      <c r="G103" s="2">
        <v>889.94680851063833</v>
      </c>
      <c r="I103" s="2">
        <v>46.671428571428571</v>
      </c>
      <c r="J103" s="2">
        <v>93.342857142857142</v>
      </c>
      <c r="K103" s="2">
        <v>60.814285714285717</v>
      </c>
      <c r="L103" s="2">
        <v>35.357142857142861</v>
      </c>
      <c r="M103" s="2">
        <v>9.9</v>
      </c>
      <c r="O103" s="3">
        <f t="shared" si="42"/>
        <v>94.065045592705161</v>
      </c>
      <c r="P103" s="3">
        <f t="shared" si="43"/>
        <v>309.2471124620061</v>
      </c>
      <c r="Q103" s="3">
        <f t="shared" si="44"/>
        <v>408.36747720364747</v>
      </c>
      <c r="R103" s="3">
        <f t="shared" si="45"/>
        <v>619.87841945288756</v>
      </c>
      <c r="S103" s="3">
        <f t="shared" si="46"/>
        <v>899.84680851063831</v>
      </c>
      <c r="U103" s="1">
        <f t="shared" si="57"/>
        <v>0.50383877159309021</v>
      </c>
      <c r="V103" s="1">
        <f t="shared" si="58"/>
        <v>0.69816094190911737</v>
      </c>
      <c r="W103" s="1">
        <f t="shared" si="59"/>
        <v>0.8510795077739296</v>
      </c>
      <c r="X103" s="1">
        <f t="shared" si="60"/>
        <v>0.94296116504854366</v>
      </c>
      <c r="Y103" s="1">
        <f t="shared" si="61"/>
        <v>0.98899812734082404</v>
      </c>
      <c r="AA103" s="1">
        <f t="shared" si="62"/>
        <v>0.49616122840690979</v>
      </c>
      <c r="AB103" s="1">
        <f t="shared" si="63"/>
        <v>0.30183905809088252</v>
      </c>
      <c r="AC103" s="1">
        <f t="shared" si="64"/>
        <v>0.14892049222607029</v>
      </c>
      <c r="AD103" s="1">
        <f t="shared" si="65"/>
        <v>5.7038834951456313E-2</v>
      </c>
      <c r="AE103" s="1">
        <f t="shared" si="66"/>
        <v>1.1001872659176031E-2</v>
      </c>
      <c r="AG103" s="2">
        <v>206.27631365233694</v>
      </c>
      <c r="AH103" s="2">
        <v>134.76514732587756</v>
      </c>
      <c r="AI103" s="2">
        <v>334.60904687074043</v>
      </c>
      <c r="AJ103" s="2">
        <v>911.78172309836998</v>
      </c>
      <c r="AK103" s="2">
        <v>664.73294510068479</v>
      </c>
      <c r="AM103" s="1">
        <f t="shared" si="47"/>
        <v>0.22975792121801702</v>
      </c>
      <c r="AN103" s="1">
        <f t="shared" si="48"/>
        <v>1.6020778339452093</v>
      </c>
      <c r="AO103" s="1">
        <f t="shared" si="49"/>
        <v>1.0386843832815484</v>
      </c>
      <c r="AP103" s="1">
        <f t="shared" si="50"/>
        <v>0.64107588668201676</v>
      </c>
      <c r="AQ103" s="1">
        <f t="shared" si="51"/>
        <v>1.3388035226324477</v>
      </c>
      <c r="AS103" s="1">
        <f t="shared" si="52"/>
        <v>0.22625684813279007</v>
      </c>
      <c r="AT103" s="1">
        <f t="shared" si="53"/>
        <v>0.69263351092655601</v>
      </c>
      <c r="AU103" s="1">
        <f t="shared" si="54"/>
        <v>0.18174728472831247</v>
      </c>
      <c r="AV103" s="1">
        <f t="shared" si="55"/>
        <v>3.8778078087586605E-2</v>
      </c>
      <c r="AW103" s="1">
        <f t="shared" si="56"/>
        <v>1.4893198949994094E-2</v>
      </c>
    </row>
    <row r="104" spans="2:49" x14ac:dyDescent="0.15">
      <c r="B104" s="2">
        <v>100</v>
      </c>
      <c r="C104" s="2">
        <v>47.872340425531917</v>
      </c>
      <c r="D104" s="2">
        <v>218.08510638297872</v>
      </c>
      <c r="E104" s="2">
        <v>351.06382978723406</v>
      </c>
      <c r="F104" s="2">
        <v>590.42553191489355</v>
      </c>
      <c r="G104" s="2">
        <v>898.936170212766</v>
      </c>
      <c r="I104" s="2">
        <v>47.142857142857139</v>
      </c>
      <c r="J104" s="2">
        <v>94.285714285714278</v>
      </c>
      <c r="K104" s="2">
        <v>61.428571428571431</v>
      </c>
      <c r="L104" s="2">
        <v>35.714285714285715</v>
      </c>
      <c r="M104" s="2">
        <v>10</v>
      </c>
      <c r="O104" s="3">
        <f t="shared" si="42"/>
        <v>95.015197568389056</v>
      </c>
      <c r="P104" s="3">
        <f t="shared" si="43"/>
        <v>312.370820668693</v>
      </c>
      <c r="Q104" s="3">
        <f t="shared" si="44"/>
        <v>412.4924012158055</v>
      </c>
      <c r="R104" s="3">
        <f t="shared" si="45"/>
        <v>626.13981762917922</v>
      </c>
      <c r="S104" s="3">
        <f t="shared" si="46"/>
        <v>908.936170212766</v>
      </c>
      <c r="U104" s="1">
        <f t="shared" si="57"/>
        <v>0.50383877159309021</v>
      </c>
      <c r="V104" s="1">
        <f t="shared" si="58"/>
        <v>0.69816094190911748</v>
      </c>
      <c r="W104" s="1">
        <f t="shared" si="59"/>
        <v>0.85107950777392971</v>
      </c>
      <c r="X104" s="1">
        <f t="shared" si="60"/>
        <v>0.94296116504854377</v>
      </c>
      <c r="Y104" s="1">
        <f t="shared" si="61"/>
        <v>0.98899812734082393</v>
      </c>
      <c r="AA104" s="1">
        <f t="shared" si="62"/>
        <v>0.49616122840690974</v>
      </c>
      <c r="AB104" s="1">
        <f t="shared" si="63"/>
        <v>0.30183905809088252</v>
      </c>
      <c r="AC104" s="1">
        <f t="shared" si="64"/>
        <v>0.14892049222607029</v>
      </c>
      <c r="AD104" s="1">
        <f t="shared" si="65"/>
        <v>5.703883495145632E-2</v>
      </c>
      <c r="AE104" s="1">
        <f t="shared" si="66"/>
        <v>1.1001872659176029E-2</v>
      </c>
      <c r="AG104" s="2">
        <v>206.27631365233694</v>
      </c>
      <c r="AH104" s="2">
        <v>134.76514732587756</v>
      </c>
      <c r="AI104" s="2">
        <v>334.60904687074043</v>
      </c>
      <c r="AJ104" s="2">
        <v>911.78172309836998</v>
      </c>
      <c r="AK104" s="2">
        <v>736.50442730031159</v>
      </c>
      <c r="AM104" s="1">
        <f t="shared" si="47"/>
        <v>0.23207870830102728</v>
      </c>
      <c r="AN104" s="1">
        <f t="shared" si="48"/>
        <v>1.6182604383284942</v>
      </c>
      <c r="AO104" s="1">
        <f t="shared" si="49"/>
        <v>1.0491761447288366</v>
      </c>
      <c r="AP104" s="1">
        <f t="shared" si="50"/>
        <v>0.64755140068890582</v>
      </c>
      <c r="AQ104" s="1">
        <f t="shared" si="51"/>
        <v>1.2205441500302379</v>
      </c>
      <c r="AS104" s="1">
        <f t="shared" si="52"/>
        <v>0.22854227084120207</v>
      </c>
      <c r="AT104" s="1">
        <f t="shared" si="53"/>
        <v>0.69962980901672311</v>
      </c>
      <c r="AU104" s="1">
        <f t="shared" si="54"/>
        <v>0.18358311588718432</v>
      </c>
      <c r="AV104" s="1">
        <f t="shared" si="55"/>
        <v>3.9169775846047077E-2</v>
      </c>
      <c r="AW104" s="1">
        <f t="shared" si="56"/>
        <v>1.3577650899744659E-2</v>
      </c>
    </row>
    <row r="105" spans="2:49" x14ac:dyDescent="0.15">
      <c r="AM105" s="1"/>
      <c r="AN105" s="1"/>
      <c r="AO105" s="1"/>
      <c r="AP105" s="1"/>
      <c r="AQ105" s="1"/>
    </row>
  </sheetData>
  <mergeCells count="8">
    <mergeCell ref="C3:G3"/>
    <mergeCell ref="I3:M3"/>
    <mergeCell ref="AG3:AK3"/>
    <mergeCell ref="AM3:AQ3"/>
    <mergeCell ref="AS3:AW3"/>
    <mergeCell ref="O3:S3"/>
    <mergeCell ref="U3:Y3"/>
    <mergeCell ref="AA3:AE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F9D7-1C6D-4335-8373-037017DD0775}">
  <sheetPr codeName="Sheet1"/>
  <dimension ref="B1:CF363"/>
  <sheetViews>
    <sheetView topLeftCell="AY1" workbookViewId="0">
      <selection activeCell="BQ63" sqref="BQ63"/>
    </sheetView>
  </sheetViews>
  <sheetFormatPr defaultColWidth="6.625" defaultRowHeight="11.25" x14ac:dyDescent="0.15"/>
  <cols>
    <col min="1" max="12" width="6.625" style="4"/>
    <col min="13" max="13" width="6.625" style="8"/>
    <col min="14" max="35" width="6.625" style="4"/>
    <col min="36" max="36" width="6.625" style="8"/>
    <col min="37" max="43" width="6.625" style="4"/>
    <col min="44" max="44" width="6.625" style="5"/>
    <col min="45" max="50" width="6.625" style="4"/>
    <col min="51" max="51" width="6.625" style="5"/>
    <col min="52" max="58" width="6.625" style="4"/>
    <col min="59" max="59" width="6.625" style="8"/>
    <col min="60" max="60" width="6.625" style="4"/>
    <col min="61" max="66" width="6.625" style="9"/>
    <col min="67" max="16384" width="6.625" style="4"/>
  </cols>
  <sheetData>
    <row r="1" spans="2:84" x14ac:dyDescent="0.15">
      <c r="F1" s="83" t="s">
        <v>485</v>
      </c>
      <c r="G1" s="83" t="s">
        <v>98</v>
      </c>
      <c r="H1" s="7"/>
      <c r="I1" s="83" t="s">
        <v>26</v>
      </c>
      <c r="J1" s="83" t="s">
        <v>98</v>
      </c>
      <c r="K1" s="83" t="s">
        <v>99</v>
      </c>
      <c r="P1" s="4" t="s">
        <v>100</v>
      </c>
      <c r="AM1" s="4">
        <v>1</v>
      </c>
      <c r="AN1" s="4">
        <v>0.8</v>
      </c>
      <c r="AO1" s="4">
        <v>0.6</v>
      </c>
      <c r="AP1" s="4">
        <v>0.4</v>
      </c>
      <c r="AQ1" s="4">
        <v>0.2</v>
      </c>
    </row>
    <row r="2" spans="2:84" x14ac:dyDescent="0.15">
      <c r="F2" s="83"/>
      <c r="G2" s="83"/>
      <c r="H2" s="7"/>
      <c r="I2" s="83"/>
      <c r="J2" s="83"/>
      <c r="K2" s="83"/>
      <c r="P2" s="81" t="s">
        <v>486</v>
      </c>
      <c r="Q2" s="81"/>
      <c r="R2" s="81"/>
      <c r="S2" s="81"/>
      <c r="T2" s="81"/>
      <c r="W2" s="81" t="s">
        <v>487</v>
      </c>
      <c r="X2" s="81"/>
      <c r="Y2" s="81"/>
      <c r="Z2" s="81"/>
      <c r="AA2" s="81"/>
      <c r="AD2" s="81" t="s">
        <v>488</v>
      </c>
      <c r="AE2" s="81"/>
      <c r="AF2" s="81"/>
      <c r="AG2" s="81"/>
      <c r="AH2" s="81"/>
      <c r="AM2" s="81" t="s">
        <v>25</v>
      </c>
      <c r="AN2" s="81"/>
      <c r="AO2" s="81"/>
      <c r="AP2" s="81"/>
      <c r="AQ2" s="81"/>
      <c r="AT2" s="81" t="s">
        <v>101</v>
      </c>
      <c r="AU2" s="81"/>
      <c r="AV2" s="81"/>
      <c r="AW2" s="81"/>
      <c r="AX2" s="81"/>
      <c r="BA2" s="81" t="s">
        <v>102</v>
      </c>
      <c r="BB2" s="81"/>
      <c r="BC2" s="81"/>
      <c r="BD2" s="81"/>
      <c r="BE2" s="81"/>
      <c r="BJ2" s="82" t="s">
        <v>103</v>
      </c>
      <c r="BK2" s="82"/>
      <c r="BL2" s="82"/>
      <c r="BM2" s="82"/>
      <c r="BN2" s="82"/>
      <c r="BQ2" s="81" t="s">
        <v>489</v>
      </c>
      <c r="BR2" s="81"/>
      <c r="BS2" s="81"/>
      <c r="BT2" s="81"/>
      <c r="BU2" s="81"/>
      <c r="BX2" s="81" t="s">
        <v>490</v>
      </c>
      <c r="BY2" s="81"/>
      <c r="BZ2" s="81"/>
      <c r="CA2" s="81"/>
      <c r="CB2" s="81"/>
    </row>
    <row r="3" spans="2:84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11">
        <f>[1]节奏总纲!K3</f>
        <v>0.1</v>
      </c>
      <c r="N3" s="50" t="str">
        <f>[1]节奏总纲!N3</f>
        <v>对应玩家等级</v>
      </c>
      <c r="O3" s="4" t="s">
        <v>485</v>
      </c>
      <c r="P3" s="4" t="s">
        <v>20</v>
      </c>
      <c r="Q3" s="4" t="s">
        <v>21</v>
      </c>
      <c r="R3" s="4" t="s">
        <v>22</v>
      </c>
      <c r="S3" s="4" t="s">
        <v>23</v>
      </c>
      <c r="T3" s="4" t="s">
        <v>24</v>
      </c>
      <c r="V3" s="4" t="s">
        <v>485</v>
      </c>
      <c r="W3" s="4" t="s">
        <v>20</v>
      </c>
      <c r="X3" s="4" t="s">
        <v>21</v>
      </c>
      <c r="Y3" s="4" t="s">
        <v>22</v>
      </c>
      <c r="Z3" s="4" t="s">
        <v>23</v>
      </c>
      <c r="AA3" s="4" t="s">
        <v>24</v>
      </c>
      <c r="AC3" s="4" t="s">
        <v>19</v>
      </c>
      <c r="AD3" s="4" t="s">
        <v>20</v>
      </c>
      <c r="AE3" s="4" t="s">
        <v>21</v>
      </c>
      <c r="AF3" s="4" t="s">
        <v>22</v>
      </c>
      <c r="AG3" s="4" t="s">
        <v>23</v>
      </c>
      <c r="AH3" s="4" t="s">
        <v>24</v>
      </c>
      <c r="AL3" s="4" t="s">
        <v>26</v>
      </c>
      <c r="AM3" s="4" t="s">
        <v>20</v>
      </c>
      <c r="AN3" s="4" t="s">
        <v>21</v>
      </c>
      <c r="AO3" s="4" t="s">
        <v>22</v>
      </c>
      <c r="AP3" s="4" t="s">
        <v>23</v>
      </c>
      <c r="AQ3" s="4" t="s">
        <v>24</v>
      </c>
      <c r="AS3" s="4" t="s">
        <v>26</v>
      </c>
      <c r="AT3" s="4" t="s">
        <v>20</v>
      </c>
      <c r="AU3" s="4" t="s">
        <v>21</v>
      </c>
      <c r="AV3" s="4" t="s">
        <v>22</v>
      </c>
      <c r="AW3" s="4" t="s">
        <v>23</v>
      </c>
      <c r="AX3" s="4" t="s">
        <v>24</v>
      </c>
      <c r="AZ3" s="4" t="s">
        <v>19</v>
      </c>
      <c r="BA3" s="4" t="s">
        <v>20</v>
      </c>
      <c r="BB3" s="4" t="s">
        <v>21</v>
      </c>
      <c r="BC3" s="4" t="s">
        <v>22</v>
      </c>
      <c r="BD3" s="4" t="s">
        <v>23</v>
      </c>
      <c r="BE3" s="4" t="s">
        <v>24</v>
      </c>
      <c r="BI3" s="9" t="s">
        <v>485</v>
      </c>
      <c r="BJ3" s="9" t="s">
        <v>20</v>
      </c>
      <c r="BK3" s="9" t="s">
        <v>21</v>
      </c>
      <c r="BL3" s="9" t="s">
        <v>22</v>
      </c>
      <c r="BM3" s="9" t="s">
        <v>23</v>
      </c>
      <c r="BN3" s="9" t="s">
        <v>24</v>
      </c>
      <c r="BP3" s="4" t="s">
        <v>18</v>
      </c>
      <c r="BQ3" s="9" t="s">
        <v>20</v>
      </c>
      <c r="BR3" s="9" t="s">
        <v>21</v>
      </c>
      <c r="BS3" s="9" t="s">
        <v>22</v>
      </c>
      <c r="BT3" s="9" t="s">
        <v>23</v>
      </c>
      <c r="BU3" s="9" t="s">
        <v>24</v>
      </c>
      <c r="BW3" s="4" t="s">
        <v>485</v>
      </c>
      <c r="BX3" s="9" t="s">
        <v>20</v>
      </c>
      <c r="BY3" s="9" t="s">
        <v>21</v>
      </c>
      <c r="BZ3" s="9" t="s">
        <v>22</v>
      </c>
      <c r="CA3" s="9" t="s">
        <v>23</v>
      </c>
      <c r="CB3" s="9" t="s">
        <v>24</v>
      </c>
      <c r="CC3" s="4" t="s">
        <v>105</v>
      </c>
      <c r="CE3" s="10" t="s">
        <v>485</v>
      </c>
      <c r="CF3" s="9" t="s">
        <v>106</v>
      </c>
    </row>
    <row r="4" spans="2:84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11">
        <f>[1]节奏总纲!K4</f>
        <v>0.15</v>
      </c>
      <c r="N4" s="50">
        <f>[1]节奏总纲!N4</f>
        <v>2</v>
      </c>
      <c r="O4" s="4">
        <f>[1]节奏总纲!O4</f>
        <v>1</v>
      </c>
      <c r="P4" s="4">
        <f>[1]节奏总纲!P4</f>
        <v>7.1773462536293131E-2</v>
      </c>
      <c r="Q4" s="4">
        <f>[1]节奏总纲!Q4</f>
        <v>5.9787294292732177E-2</v>
      </c>
      <c r="R4" s="4">
        <f>[1]节奏总纲!R4</f>
        <v>4.677476553490223E-2</v>
      </c>
      <c r="S4" s="4">
        <f>[1]节奏总纲!S4</f>
        <v>3.2585151991477081E-2</v>
      </c>
      <c r="T4" s="4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f>[1]节奏总纲!AC4</f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f>[1]节奏总纲!AZ4</f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  <c r="BI4" s="4">
        <f>[1]节奏总纲!BI4</f>
        <v>1</v>
      </c>
      <c r="BJ4" s="4">
        <f>[1]节奏总纲!BJ4</f>
        <v>0.3</v>
      </c>
      <c r="BK4" s="4">
        <f>[1]节奏总纲!BK4</f>
        <v>0.30599999999999999</v>
      </c>
      <c r="BL4" s="4">
        <f>[1]节奏总纲!BL4</f>
        <v>0.318</v>
      </c>
      <c r="BM4" s="4">
        <f>[1]节奏总纲!BM4</f>
        <v>0.34199999999999997</v>
      </c>
      <c r="BN4" s="4">
        <f>[1]节奏总纲!BN4</f>
        <v>0.42</v>
      </c>
      <c r="BP4" s="4">
        <f>[1]节奏总纲!BP4</f>
        <v>1</v>
      </c>
      <c r="BQ4" s="4">
        <f>[1]节奏总纲!BQ4</f>
        <v>0.10358867312681475</v>
      </c>
      <c r="BR4" s="4">
        <f>[1]节奏总纲!BR4</f>
        <v>9.9484920169810143E-2</v>
      </c>
      <c r="BS4" s="4">
        <f>[1]节奏总纲!BS4</f>
        <v>9.5370882117675193E-2</v>
      </c>
      <c r="BT4" s="4">
        <f>[1]节奏总纲!BT4</f>
        <v>9.1267553415695812E-2</v>
      </c>
      <c r="BU4" s="4">
        <f>[1]节奏总纲!BU4</f>
        <v>8.7269311817030126E-2</v>
      </c>
      <c r="BW4" s="4">
        <f>[1]节奏总纲!BW4</f>
        <v>1</v>
      </c>
      <c r="BX4" s="4">
        <f>[1]节奏总纲!BX4</f>
        <v>3.4919352669146524</v>
      </c>
      <c r="BY4" s="4">
        <f>[1]节奏总纲!BY4</f>
        <v>3.5640303448543476</v>
      </c>
      <c r="BZ4" s="4">
        <f>[1]节奏总纲!BZ4</f>
        <v>3.6425338741664604</v>
      </c>
      <c r="CA4" s="4">
        <f>[1]节奏总纲!CA4</f>
        <v>3.7278827947172908</v>
      </c>
      <c r="CB4" s="4">
        <f>[1]节奏总纲!CB4</f>
        <v>3.8187662869079366</v>
      </c>
      <c r="CC4" s="4">
        <f>[1]节奏总纲!CC4</f>
        <v>3.8187662869079366</v>
      </c>
      <c r="CE4" s="4">
        <f>[1]节奏总纲!CE4</f>
        <v>3</v>
      </c>
      <c r="CF4" s="4">
        <f>[1]节奏总纲!CF4</f>
        <v>7</v>
      </c>
    </row>
    <row r="5" spans="2:84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11">
        <f>[1]节奏总纲!K5</f>
        <v>0.2</v>
      </c>
      <c r="N5" s="50">
        <f>[1]节奏总纲!N5</f>
        <v>4</v>
      </c>
      <c r="O5" s="4">
        <f>[1]节奏总纲!O5</f>
        <v>2</v>
      </c>
      <c r="P5" s="4">
        <f>[1]节奏总纲!P5</f>
        <v>0.1486983549970351</v>
      </c>
      <c r="Q5" s="4">
        <f>[1]节奏总纲!Q5</f>
        <v>0.12505531655250651</v>
      </c>
      <c r="R5" s="4">
        <f>[1]节奏总纲!R5</f>
        <v>9.883979656652922E-2</v>
      </c>
      <c r="S5" s="4">
        <f>[1]节奏总纲!S5</f>
        <v>6.9828747506607683E-2</v>
      </c>
      <c r="T5" s="4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f>[1]节奏总纲!AC5</f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f>[1]节奏总纲!AZ5</f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  <c r="BI5" s="4">
        <f>[1]节奏总纲!BI5</f>
        <v>2</v>
      </c>
      <c r="BJ5" s="4">
        <f>[1]节奏总纲!BJ5</f>
        <v>0.47499999999999998</v>
      </c>
      <c r="BK5" s="4">
        <f>[1]节奏总纲!BK5</f>
        <v>0.48449999999999999</v>
      </c>
      <c r="BL5" s="4">
        <f>[1]节奏总纲!BL5</f>
        <v>0.50349999999999995</v>
      </c>
      <c r="BM5" s="4">
        <f>[1]节奏总纲!BM5</f>
        <v>0.54149999999999998</v>
      </c>
      <c r="BN5" s="4">
        <f>[1]节奏总纲!BN5</f>
        <v>0.66499999999999992</v>
      </c>
      <c r="BP5" s="4">
        <f>[1]节奏总纲!BP5</f>
        <v>2</v>
      </c>
      <c r="BQ5" s="4">
        <f>[1]节奏总纲!BQ5</f>
        <v>0.33387121731586833</v>
      </c>
      <c r="BR5" s="4">
        <f>[1]节奏总纲!BR5</f>
        <v>0.3206446264738233</v>
      </c>
      <c r="BS5" s="4">
        <f>[1]节奏总纲!BS5</f>
        <v>0.30738488628129679</v>
      </c>
      <c r="BT5" s="4">
        <f>[1]节奏总纲!BT5</f>
        <v>0.29415966283336437</v>
      </c>
      <c r="BU5" s="4">
        <f>[1]节奏总纲!BU5</f>
        <v>0.2812731401144638</v>
      </c>
      <c r="BW5" s="4">
        <f>[1]节奏总纲!BW5</f>
        <v>2</v>
      </c>
      <c r="BX5" s="4">
        <f>[1]节奏总纲!BX5</f>
        <v>4.977308377450588</v>
      </c>
      <c r="BY5" s="4">
        <f>[1]节奏总纲!BY5</f>
        <v>5.0895603019048199</v>
      </c>
      <c r="BZ5" s="4">
        <f>[1]节奏总纲!BZ5</f>
        <v>5.2088085130582007</v>
      </c>
      <c r="CA5" s="4">
        <f>[1]节奏总纲!CA5</f>
        <v>5.348253402094703</v>
      </c>
      <c r="CB5" s="4">
        <f>[1]节奏总纲!CB5</f>
        <v>5.5020994005782997</v>
      </c>
      <c r="CC5" s="4">
        <f>[1]节奏总纲!CC5</f>
        <v>5.5020994005782997</v>
      </c>
      <c r="CE5" s="4">
        <f>[1]节奏总纲!CE5</f>
        <v>8</v>
      </c>
      <c r="CF5" s="4">
        <f>[1]节奏总纲!CF5</f>
        <v>12</v>
      </c>
    </row>
    <row r="6" spans="2:84" x14ac:dyDescent="0.15">
      <c r="B6" s="81" t="s">
        <v>491</v>
      </c>
      <c r="C6" s="81"/>
      <c r="D6" s="81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11">
        <f>[1]节奏总纲!K6</f>
        <v>0.25</v>
      </c>
      <c r="N6" s="50">
        <f>[1]节奏总纲!N6</f>
        <v>6</v>
      </c>
      <c r="O6" s="4">
        <f>[1]节奏总纲!O6</f>
        <v>3</v>
      </c>
      <c r="P6" s="4">
        <f>[1]节奏总纲!P6</f>
        <v>0.23114441334491631</v>
      </c>
      <c r="Q6" s="4">
        <f>[1]节奏总纲!Q6</f>
        <v>0.19582554698581309</v>
      </c>
      <c r="R6" s="4">
        <f>[1]节奏总纲!R6</f>
        <v>0.15616116565582547</v>
      </c>
      <c r="S6" s="4">
        <f>[1]节奏总纲!S6</f>
        <v>0.11120357726023924</v>
      </c>
      <c r="T6" s="4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f>[1]节奏总纲!AC6</f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f>[1]节奏总纲!AZ6</f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  <c r="BI6" s="4">
        <f>[1]节奏总纲!BI6</f>
        <v>3</v>
      </c>
      <c r="BJ6" s="4">
        <f>[1]节奏总纲!BJ6</f>
        <v>0.65</v>
      </c>
      <c r="BK6" s="4">
        <f>[1]节奏总纲!BK6</f>
        <v>0.66300000000000003</v>
      </c>
      <c r="BL6" s="4">
        <f>[1]节奏总纲!BL6</f>
        <v>0.68900000000000006</v>
      </c>
      <c r="BM6" s="4">
        <f>[1]节奏总纲!BM6</f>
        <v>0.74099999999999999</v>
      </c>
      <c r="BN6" s="4">
        <f>[1]节奏总纲!BN6</f>
        <v>0.90999999999999992</v>
      </c>
      <c r="BP6" s="4">
        <f>[1]节奏总纲!BP6</f>
        <v>3</v>
      </c>
      <c r="BQ6" s="4">
        <f>[1]节奏总纲!BQ6</f>
        <v>0.71853377040242361</v>
      </c>
      <c r="BR6" s="4">
        <f>[1]节奏总纲!BR6</f>
        <v>0.69006844696511282</v>
      </c>
      <c r="BS6" s="4">
        <f>[1]节奏总纲!BS6</f>
        <v>0.66153178186505168</v>
      </c>
      <c r="BT6" s="4">
        <f>[1]节奏总纲!BT6</f>
        <v>0.63306940123561561</v>
      </c>
      <c r="BU6" s="4">
        <f>[1]节奏总纲!BU6</f>
        <v>0.60533594810650693</v>
      </c>
      <c r="BW6" s="4">
        <f>[1]节奏总纲!BW6</f>
        <v>3</v>
      </c>
      <c r="BX6" s="4">
        <f>[1]节奏总纲!BX6</f>
        <v>6.1165253069520942</v>
      </c>
      <c r="BY6" s="4">
        <f>[1]节奏总纲!BY6</f>
        <v>6.2666264078379221</v>
      </c>
      <c r="BZ6" s="4">
        <f>[1]节奏总纲!BZ6</f>
        <v>6.4370802003692873</v>
      </c>
      <c r="CA6" s="4">
        <f>[1]节奏总纲!CA6</f>
        <v>6.6323388358436492</v>
      </c>
      <c r="CB6" s="4">
        <f>[1]节奏总纲!CB6</f>
        <v>6.8403179035964721</v>
      </c>
      <c r="CC6" s="4">
        <f>[1]节奏总纲!CC6</f>
        <v>6.8403179035964721</v>
      </c>
      <c r="CE6" s="4">
        <f>[1]节奏总纲!CE6</f>
        <v>13</v>
      </c>
      <c r="CF6" s="4">
        <f>[1]节奏总纲!CF6</f>
        <v>15</v>
      </c>
    </row>
    <row r="7" spans="2:84" x14ac:dyDescent="0.15">
      <c r="B7" s="4" t="s">
        <v>485</v>
      </c>
      <c r="C7" s="4" t="s">
        <v>107</v>
      </c>
      <c r="D7" s="4" t="s">
        <v>108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11">
        <f>[1]节奏总纲!K7</f>
        <v>0.3</v>
      </c>
      <c r="N7" s="50">
        <f>[1]节奏总纲!N7</f>
        <v>8</v>
      </c>
      <c r="O7" s="4">
        <f>[1]节奏总纲!O7</f>
        <v>4</v>
      </c>
      <c r="P7" s="4">
        <f>[1]节奏总纲!P7</f>
        <v>0.3195079107728942</v>
      </c>
      <c r="Q7" s="4">
        <f>[1]节奏总纲!Q7</f>
        <v>0.2719651336498875</v>
      </c>
      <c r="R7" s="4">
        <f>[1]节奏总纲!R7</f>
        <v>0.21816000147573214</v>
      </c>
      <c r="S7" s="4">
        <f>[1]节奏总纲!S7</f>
        <v>0.15607961441255883</v>
      </c>
      <c r="T7" s="4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f>[1]节奏总纲!AC7</f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f>[1]节奏总纲!AZ7</f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  <c r="BI7" s="4">
        <f>[1]节奏总纲!BI7</f>
        <v>4</v>
      </c>
      <c r="BJ7" s="4">
        <f>[1]节奏总纲!BJ7</f>
        <v>0.82499999999999996</v>
      </c>
      <c r="BK7" s="4">
        <f>[1]节奏总纲!BK7</f>
        <v>0.84149999999999991</v>
      </c>
      <c r="BL7" s="4">
        <f>[1]节奏总纲!BL7</f>
        <v>0.87449999999999994</v>
      </c>
      <c r="BM7" s="4">
        <f>[1]节奏总纲!BM7</f>
        <v>0.94049999999999989</v>
      </c>
      <c r="BN7" s="4">
        <f>[1]节奏总纲!BN7</f>
        <v>1.1549999999999998</v>
      </c>
      <c r="BP7" s="4">
        <f>[1]节奏总纲!BP7</f>
        <v>4</v>
      </c>
      <c r="BQ7" s="4">
        <f>[1]节奏总纲!BQ7</f>
        <v>1.2712279162221225</v>
      </c>
      <c r="BR7" s="4">
        <f>[1]节奏总纲!BR7</f>
        <v>1.2194461831474863</v>
      </c>
      <c r="BS7" s="4">
        <f>[1]节奏总纲!BS7</f>
        <v>1.1691695709192234</v>
      </c>
      <c r="BT7" s="4">
        <f>[1]节奏总纲!BT7</f>
        <v>1.1200180669001034</v>
      </c>
      <c r="BU7" s="4">
        <f>[1]节奏总纲!BU7</f>
        <v>1.0742533268514161</v>
      </c>
      <c r="BW7" s="4">
        <f>[1]节奏总纲!BW7</f>
        <v>4</v>
      </c>
      <c r="BX7" s="4">
        <f>[1]节奏总纲!BX7</f>
        <v>7.0702756195404151</v>
      </c>
      <c r="BY7" s="4">
        <f>[1]节奏总纲!BY7</f>
        <v>7.2477985806027867</v>
      </c>
      <c r="BZ7" s="4">
        <f>[1]节奏总纲!BZ7</f>
        <v>7.4530595043311552</v>
      </c>
      <c r="CA7" s="4">
        <f>[1]节奏总纲!CA7</f>
        <v>7.6839780435255705</v>
      </c>
      <c r="CB7" s="4">
        <f>[1]节奏总纲!CB7</f>
        <v>7.9454083416525796</v>
      </c>
      <c r="CC7" s="4">
        <f>[1]节奏总纲!CC7</f>
        <v>7.9454083416525796</v>
      </c>
      <c r="CE7" s="4">
        <f>[1]节奏总纲!CE7</f>
        <v>18</v>
      </c>
      <c r="CF7" s="4">
        <f>[1]节奏总纲!CF7</f>
        <v>18</v>
      </c>
    </row>
    <row r="8" spans="2:84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11">
        <f>[1]节奏总纲!K8</f>
        <v>0.34</v>
      </c>
      <c r="N8" s="50">
        <f>[1]节奏总纲!N8</f>
        <v>10</v>
      </c>
      <c r="O8" s="4">
        <f>[1]节奏总纲!O8</f>
        <v>5</v>
      </c>
      <c r="P8" s="4">
        <f>[1]节奏总纲!P8</f>
        <v>0.41421356237309515</v>
      </c>
      <c r="Q8" s="4">
        <f>[1]节奏总纲!Q8</f>
        <v>0.35241289886702937</v>
      </c>
      <c r="R8" s="4">
        <f>[1]节奏总纲!R8</f>
        <v>0.28315639123824782</v>
      </c>
      <c r="S8" s="4">
        <f>[1]节奏总纲!S8</f>
        <v>0.20296464556281663</v>
      </c>
      <c r="T8" s="4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f>[1]节奏总纲!AC8</f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f>[1]节奏总纲!AZ8</f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  <c r="BI8" s="4">
        <f>[1]节奏总纲!BI8</f>
        <v>5</v>
      </c>
      <c r="BJ8" s="4">
        <f>[1]节奏总纲!BJ8</f>
        <v>1</v>
      </c>
      <c r="BK8" s="4">
        <f>[1]节奏总纲!BK8</f>
        <v>1.02</v>
      </c>
      <c r="BL8" s="4">
        <f>[1]节奏总纲!BL8</f>
        <v>1.06</v>
      </c>
      <c r="BM8" s="4">
        <f>[1]节奏总纲!BM8</f>
        <v>1.1399999999999999</v>
      </c>
      <c r="BN8" s="4">
        <f>[1]节奏总纲!BN8</f>
        <v>1.4</v>
      </c>
      <c r="BP8" s="4">
        <f>[1]节奏总纲!BP8</f>
        <v>5</v>
      </c>
      <c r="BQ8" s="4">
        <f>[1]节奏总纲!BQ8</f>
        <v>2.0157878378790723</v>
      </c>
      <c r="BR8" s="4">
        <f>[1]节奏总纲!BR8</f>
        <v>1.9225452774961409</v>
      </c>
      <c r="BS8" s="4">
        <f>[1]节奏总纲!BS8</f>
        <v>1.830216243198636</v>
      </c>
      <c r="BT8" s="4">
        <f>[1]节奏总纲!BT8</f>
        <v>1.7360956328017618</v>
      </c>
      <c r="BU8" s="4">
        <f>[1]节奏总纲!BU8</f>
        <v>1.6465506273391022</v>
      </c>
      <c r="BW8" s="4">
        <f>[1]节奏总纲!BW8</f>
        <v>5</v>
      </c>
      <c r="BX8" s="4">
        <f>[1]节奏总纲!BX8</f>
        <v>7.8924592775257718</v>
      </c>
      <c r="BY8" s="4">
        <f>[1]节奏总纲!BY8</f>
        <v>8.0964284787133458</v>
      </c>
      <c r="BZ8" s="4">
        <f>[1]节奏总纲!BZ8</f>
        <v>8.3140998912475936</v>
      </c>
      <c r="CA8" s="4">
        <f>[1]节奏总纲!CA8</f>
        <v>8.5599968276049641</v>
      </c>
      <c r="CB8" s="4">
        <f>[1]节奏总纲!CB8</f>
        <v>8.8384248761652557</v>
      </c>
      <c r="CC8" s="4">
        <f>[1]节奏总纲!CC8</f>
        <v>8.8384248761652557</v>
      </c>
      <c r="CE8" s="4">
        <f>[1]节奏总纲!CE8</f>
        <v>23</v>
      </c>
      <c r="CF8" s="4">
        <f>[1]节奏总纲!CF8</f>
        <v>21</v>
      </c>
    </row>
    <row r="9" spans="2:84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11">
        <f>[1]节奏总纲!K9</f>
        <v>0.38</v>
      </c>
      <c r="N9" s="50">
        <f>[1]节奏总纲!N9</f>
        <v>12</v>
      </c>
      <c r="O9" s="4">
        <f>[1]节奏总纲!O9</f>
        <v>6</v>
      </c>
      <c r="P9" s="4">
        <f>[1]节奏总纲!P9</f>
        <v>0.51571656651039799</v>
      </c>
      <c r="Q9" s="4">
        <f>[1]节奏总纲!Q9</f>
        <v>0.43939051466685908</v>
      </c>
      <c r="R9" s="4">
        <f>[1]节奏总纲!R9</f>
        <v>0.35336899137292471</v>
      </c>
      <c r="S9" s="4">
        <f>[1]节奏总纲!S9</f>
        <v>0.25440298225957936</v>
      </c>
      <c r="T9" s="4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f>[1]节奏总纲!AC9</f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f>[1]节奏总纲!AZ9</f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  <c r="BI9" s="4">
        <f>[1]节奏总纲!BI9</f>
        <v>6</v>
      </c>
      <c r="BJ9" s="4">
        <f>[1]节奏总纲!BJ9</f>
        <v>1.0333333333333334</v>
      </c>
      <c r="BK9" s="4">
        <f>[1]节奏总纲!BK9</f>
        <v>1.054</v>
      </c>
      <c r="BL9" s="4">
        <f>[1]节奏总纲!BL9</f>
        <v>1.0953333333333335</v>
      </c>
      <c r="BM9" s="4">
        <f>[1]节奏总纲!BM9</f>
        <v>1.1779999999999999</v>
      </c>
      <c r="BN9" s="4">
        <f>[1]节奏总纲!BN9</f>
        <v>1.4466666666666668</v>
      </c>
      <c r="BP9" s="4">
        <f>[1]节奏总纲!BP9</f>
        <v>6</v>
      </c>
      <c r="BQ9" s="4">
        <f>[1]节奏总纲!BQ9</f>
        <v>2.871589098883871</v>
      </c>
      <c r="BR9" s="4">
        <f>[1]节奏总纲!BR9</f>
        <v>2.7261617729946108</v>
      </c>
      <c r="BS9" s="4">
        <f>[1]节奏总纲!BS9</f>
        <v>2.5843312604883417</v>
      </c>
      <c r="BT9" s="4">
        <f>[1]节奏总纲!BT9</f>
        <v>2.4445753343885266</v>
      </c>
      <c r="BU9" s="4">
        <f>[1]节奏总纲!BU9</f>
        <v>2.3151343284372583</v>
      </c>
      <c r="BW9" s="4">
        <f>[1]节奏总纲!BW9</f>
        <v>6</v>
      </c>
      <c r="BX9" s="4">
        <f>[1]节奏总纲!BX9</f>
        <v>8.6175479890862157</v>
      </c>
      <c r="BY9" s="4">
        <f>[1]节奏总纲!BY9</f>
        <v>8.849843797743457</v>
      </c>
      <c r="BZ9" s="4">
        <f>[1]节奏总纲!BZ9</f>
        <v>9.1007395721182949</v>
      </c>
      <c r="CA9" s="4">
        <f>[1]节奏总纲!CA9</f>
        <v>9.3635025505897787</v>
      </c>
      <c r="CB9" s="4">
        <f>[1]节奏总纲!CB9</f>
        <v>9.6752186318997833</v>
      </c>
      <c r="CC9" s="4">
        <f>[1]节奏总纲!CC9</f>
        <v>9.6752186318997833</v>
      </c>
      <c r="CE9" s="4">
        <f>[1]节奏总纲!CE9</f>
        <v>28</v>
      </c>
      <c r="CF9" s="4">
        <f>[1]节奏总纲!CF9</f>
        <v>24</v>
      </c>
    </row>
    <row r="10" spans="2:84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11">
        <f>[1]节奏总纲!K10</f>
        <v>0.42</v>
      </c>
      <c r="N10" s="50">
        <f>[1]节奏总纲!N10</f>
        <v>14</v>
      </c>
      <c r="O10" s="4">
        <f>[1]节奏总纲!O10</f>
        <v>7</v>
      </c>
      <c r="P10" s="4">
        <f>[1]节奏总纲!P10</f>
        <v>0.62450479271247095</v>
      </c>
      <c r="Q10" s="4">
        <f>[1]节奏总纲!Q10</f>
        <v>0.53413894920697635</v>
      </c>
      <c r="R10" s="4">
        <f>[1]节奏总纲!R10</f>
        <v>0.43072095553379119</v>
      </c>
      <c r="S10" s="4">
        <f>[1]节奏总纲!S10</f>
        <v>0.30950457526830061</v>
      </c>
      <c r="T10" s="4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f>[1]节奏总纲!AC10</f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f>[1]节奏总纲!AZ10</f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  <c r="BI10" s="4">
        <f>[1]节奏总纲!BI10</f>
        <v>7</v>
      </c>
      <c r="BJ10" s="4">
        <f>[1]节奏总纲!BJ10</f>
        <v>1.0666666666666669</v>
      </c>
      <c r="BK10" s="4">
        <f>[1]节奏总纲!BK10</f>
        <v>1.0880000000000003</v>
      </c>
      <c r="BL10" s="4">
        <f>[1]节奏总纲!BL10</f>
        <v>1.1306666666666669</v>
      </c>
      <c r="BM10" s="4">
        <f>[1]节奏总纲!BM10</f>
        <v>1.2160000000000002</v>
      </c>
      <c r="BN10" s="4">
        <f>[1]节奏总纲!BN10</f>
        <v>1.4933333333333336</v>
      </c>
      <c r="BP10" s="4">
        <f>[1]节奏总纲!BP10</f>
        <v>7</v>
      </c>
      <c r="BQ10" s="4">
        <f>[1]节奏总纲!BQ10</f>
        <v>3.9083908523902386</v>
      </c>
      <c r="BR10" s="4">
        <f>[1]节奏总纲!BR10</f>
        <v>3.7000938700170019</v>
      </c>
      <c r="BS10" s="4">
        <f>[1]节奏总纲!BS10</f>
        <v>3.4949550680198662</v>
      </c>
      <c r="BT10" s="4">
        <f>[1]节奏总纲!BT10</f>
        <v>3.2977452115900578</v>
      </c>
      <c r="BU10" s="4">
        <f>[1]节奏总纲!BU10</f>
        <v>3.1175616442680676</v>
      </c>
      <c r="BW10" s="4">
        <f>[1]节奏总纲!BW10</f>
        <v>7</v>
      </c>
      <c r="BX10" s="4">
        <f>[1]节奏总纲!BX10</f>
        <v>9.2992754060675331</v>
      </c>
      <c r="BY10" s="4">
        <f>[1]节奏总纲!BY10</f>
        <v>9.5403165281128111</v>
      </c>
      <c r="BZ10" s="4">
        <f>[1]节奏总纲!BZ10</f>
        <v>9.8205867658616608</v>
      </c>
      <c r="CA10" s="4">
        <f>[1]节奏总纲!CA10</f>
        <v>10.128686248037246</v>
      </c>
      <c r="CB10" s="4">
        <f>[1]节奏总纲!CB10</f>
        <v>10.460138723751793</v>
      </c>
      <c r="CC10" s="4">
        <f>[1]节奏总纲!CC10</f>
        <v>10.460138723751793</v>
      </c>
      <c r="CE10" s="4">
        <f>[1]节奏总纲!CE10</f>
        <v>33</v>
      </c>
      <c r="CF10" s="4">
        <f>[1]节奏总纲!CF10</f>
        <v>26</v>
      </c>
    </row>
    <row r="11" spans="2:84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11">
        <f>[1]节奏总纲!K11</f>
        <v>0.46</v>
      </c>
      <c r="N11" s="50">
        <f>[1]节奏总纲!N11</f>
        <v>16</v>
      </c>
      <c r="O11" s="4">
        <f>[1]节奏总纲!O11</f>
        <v>8</v>
      </c>
      <c r="P11" s="4">
        <f>[1]节奏总纲!P11</f>
        <v>0.74110112659224825</v>
      </c>
      <c r="Q11" s="4">
        <f>[1]节奏总纲!Q11</f>
        <v>0.63089938906798093</v>
      </c>
      <c r="R11" s="4">
        <f>[1]节奏总纲!R11</f>
        <v>0.50550507844857251</v>
      </c>
      <c r="S11" s="4">
        <f>[1]节奏总纲!S11</f>
        <v>0.36195379022765406</v>
      </c>
      <c r="T11" s="4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f>[1]节奏总纲!AC11</f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f>[1]节奏总纲!AZ11</f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  <c r="BI11" s="4">
        <f>[1]节奏总纲!BI11</f>
        <v>8</v>
      </c>
      <c r="BJ11" s="4">
        <f>[1]节奏总纲!BJ11</f>
        <v>1.1000000000000003</v>
      </c>
      <c r="BK11" s="4">
        <f>[1]节奏总纲!BK11</f>
        <v>1.1220000000000003</v>
      </c>
      <c r="BL11" s="4">
        <f>[1]节奏总纲!BL11</f>
        <v>1.1660000000000004</v>
      </c>
      <c r="BM11" s="4">
        <f>[1]节奏总纲!BM11</f>
        <v>1.2540000000000002</v>
      </c>
      <c r="BN11" s="4">
        <f>[1]节奏总纲!BN11</f>
        <v>1.5400000000000003</v>
      </c>
      <c r="BP11" s="4">
        <f>[1]节奏总纲!BP11</f>
        <v>8</v>
      </c>
      <c r="BQ11" s="4">
        <f>[1]节奏总纲!BQ11</f>
        <v>5.1220396939633002</v>
      </c>
      <c r="BR11" s="4">
        <f>[1]节奏总纲!BR11</f>
        <v>4.8616228494416447</v>
      </c>
      <c r="BS11" s="4">
        <f>[1]节奏总纲!BS11</f>
        <v>4.5815795834661612</v>
      </c>
      <c r="BT11" s="4">
        <f>[1]节奏总纲!BT11</f>
        <v>4.3105632736922681</v>
      </c>
      <c r="BU11" s="4">
        <f>[1]节奏总纲!BU11</f>
        <v>4.0494061619177515</v>
      </c>
      <c r="BW11" s="4">
        <f>[1]节奏总纲!BW11</f>
        <v>8</v>
      </c>
      <c r="BX11" s="4">
        <f>[1]节奏总纲!BX11</f>
        <v>9.9503115729287064</v>
      </c>
      <c r="BY11" s="4">
        <f>[1]节奏总纲!BY11</f>
        <v>10.209179596854964</v>
      </c>
      <c r="BZ11" s="4">
        <f>[1]节奏总纲!BZ11</f>
        <v>10.501003645853389</v>
      </c>
      <c r="CA11" s="4">
        <f>[1]节奏总纲!CA11</f>
        <v>10.838817158161019</v>
      </c>
      <c r="CB11" s="4">
        <f>[1]节奏总纲!CB11</f>
        <v>11.201197012273351</v>
      </c>
      <c r="CC11" s="4">
        <f>[1]节奏总纲!CC11</f>
        <v>11.201197012273351</v>
      </c>
      <c r="CE11" s="4">
        <f>[1]节奏总纲!CE11</f>
        <v>38</v>
      </c>
      <c r="CF11" s="4">
        <f>[1]节奏总纲!CF11</f>
        <v>28</v>
      </c>
    </row>
    <row r="12" spans="2:84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11">
        <f>[1]节奏总纲!K12</f>
        <v>0.5</v>
      </c>
      <c r="N12" s="50">
        <f>[1]节奏总纲!N12</f>
        <v>18</v>
      </c>
      <c r="O12" s="4">
        <f>[1]节奏总纲!O12</f>
        <v>9</v>
      </c>
      <c r="P12" s="4">
        <f>[1]节奏总纲!P12</f>
        <v>0.86606598307361482</v>
      </c>
      <c r="Q12" s="4">
        <f>[1]节奏总纲!Q12</f>
        <v>0.73702215159564621</v>
      </c>
      <c r="R12" s="4">
        <f>[1]节奏总纲!R12</f>
        <v>0.59282216541388932</v>
      </c>
      <c r="S12" s="4">
        <f>[1]节奏总纲!S12</f>
        <v>0.42766338244175101</v>
      </c>
      <c r="T12" s="4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f>[1]节奏总纲!AC12</f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f>[1]节奏总纲!AZ12</f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  <c r="BI12" s="4">
        <f>[1]节奏总纲!BI12</f>
        <v>9</v>
      </c>
      <c r="BJ12" s="4">
        <f>[1]节奏总纲!BJ12</f>
        <v>1.1333333333333337</v>
      </c>
      <c r="BK12" s="4">
        <f>[1]节奏总纲!BK12</f>
        <v>1.1560000000000004</v>
      </c>
      <c r="BL12" s="4">
        <f>[1]节奏总纲!BL12</f>
        <v>1.2013333333333338</v>
      </c>
      <c r="BM12" s="4">
        <f>[1]节奏总纲!BM12</f>
        <v>1.2920000000000003</v>
      </c>
      <c r="BN12" s="4">
        <f>[1]节奏总纲!BN12</f>
        <v>1.5866666666666671</v>
      </c>
      <c r="BP12" s="4">
        <f>[1]节奏总纲!BP12</f>
        <v>9</v>
      </c>
      <c r="BQ12" s="4">
        <f>[1]节奏总纲!BQ12</f>
        <v>6.5073154848533106</v>
      </c>
      <c r="BR12" s="4">
        <f>[1]节奏总纲!BR12</f>
        <v>6.182955000821134</v>
      </c>
      <c r="BS12" s="4">
        <f>[1]节奏总纲!BS12</f>
        <v>5.8458242478885518</v>
      </c>
      <c r="BT12" s="4">
        <f>[1]节奏总纲!BT12</f>
        <v>5.4937555014634736</v>
      </c>
      <c r="BU12" s="4">
        <f>[1]节奏总纲!BU12</f>
        <v>5.1616447031846953</v>
      </c>
      <c r="BW12" s="4">
        <f>[1]节奏总纲!BW12</f>
        <v>9</v>
      </c>
      <c r="BX12" s="4">
        <f>[1]节奏总纲!BX12</f>
        <v>10.62858551654854</v>
      </c>
      <c r="BY12" s="4">
        <f>[1]节奏总纲!BY12</f>
        <v>10.92759887154785</v>
      </c>
      <c r="BZ12" s="4">
        <f>[1]节奏总纲!BZ12</f>
        <v>11.242219885173299</v>
      </c>
      <c r="CA12" s="4">
        <f>[1]节奏总纲!CA12</f>
        <v>11.610247668732617</v>
      </c>
      <c r="CB12" s="4">
        <f>[1]节奏总纲!CB12</f>
        <v>12.017497952687538</v>
      </c>
      <c r="CC12" s="4">
        <f>[1]节奏总纲!CC12</f>
        <v>12.017497952687538</v>
      </c>
      <c r="CE12" s="4">
        <f>[1]节奏总纲!CE12</f>
        <v>43</v>
      </c>
      <c r="CF12" s="4">
        <f>[1]节奏总纲!CF12</f>
        <v>30</v>
      </c>
    </row>
    <row r="13" spans="2:84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11">
        <f>[1]节奏总纲!K13</f>
        <v>0.52</v>
      </c>
      <c r="N13" s="50">
        <f>[1]节奏总纲!N13</f>
        <v>20</v>
      </c>
      <c r="O13" s="4">
        <f>[1]节奏总纲!O13</f>
        <v>10</v>
      </c>
      <c r="P13" s="4">
        <f>[1]节奏总纲!P13</f>
        <v>1</v>
      </c>
      <c r="Q13" s="4">
        <f>[1]节奏总纲!Q13</f>
        <v>0.8548</v>
      </c>
      <c r="R13" s="4">
        <f>[1]节奏总纲!R13</f>
        <v>0.6895</v>
      </c>
      <c r="S13" s="4">
        <f>[1]节奏总纲!S13</f>
        <v>0.49980000000000002</v>
      </c>
      <c r="T13" s="4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f>[1]节奏总纲!AC13</f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f>[1]节奏总纲!AZ13</f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  <c r="BI13" s="4">
        <f>[1]节奏总纲!BI13</f>
        <v>10</v>
      </c>
      <c r="BJ13" s="4">
        <f>[1]节奏总纲!BJ13</f>
        <v>1.1666666666666672</v>
      </c>
      <c r="BK13" s="4">
        <f>[1]节奏总纲!BK13</f>
        <v>1.1900000000000006</v>
      </c>
      <c r="BL13" s="4">
        <f>[1]节奏总纲!BL13</f>
        <v>1.2366666666666672</v>
      </c>
      <c r="BM13" s="4">
        <f>[1]节奏总纲!BM13</f>
        <v>1.3300000000000005</v>
      </c>
      <c r="BN13" s="4">
        <f>[1]节奏总纲!BN13</f>
        <v>1.633333333333334</v>
      </c>
      <c r="BP13" s="4">
        <f>[1]节奏总纲!BP13</f>
        <v>10</v>
      </c>
      <c r="BQ13" s="4">
        <f>[1]节奏总纲!BQ13</f>
        <v>8.071211008105136</v>
      </c>
      <c r="BR13" s="4">
        <f>[1]节奏总纲!BR13</f>
        <v>7.6806609280366285</v>
      </c>
      <c r="BS13" s="4">
        <f>[1]节奏总纲!BS13</f>
        <v>7.2577959560771719</v>
      </c>
      <c r="BT13" s="4">
        <f>[1]节奏总纲!BT13</f>
        <v>6.8275081581253696</v>
      </c>
      <c r="BU13" s="4">
        <f>[1]节奏总纲!BU13</f>
        <v>6.4063898414553373</v>
      </c>
      <c r="BW13" s="4">
        <f>[1]节奏总纲!BW13</f>
        <v>10</v>
      </c>
      <c r="BX13" s="4">
        <f>[1]节奏总纲!BX13</f>
        <v>11.296493250964016</v>
      </c>
      <c r="BY13" s="4">
        <f>[1]节奏总纲!BY13</f>
        <v>11.607260419981094</v>
      </c>
      <c r="BZ13" s="4">
        <f>[1]节奏总纲!BZ13</f>
        <v>11.973224677412396</v>
      </c>
      <c r="CA13" s="4">
        <f>[1]节奏总纲!CA13</f>
        <v>12.359692277800681</v>
      </c>
      <c r="CB13" s="4">
        <f>[1]节奏总纲!CB13</f>
        <v>12.803444306803474</v>
      </c>
      <c r="CC13" s="4">
        <f>[1]节奏总纲!CC13</f>
        <v>12.803444306803474</v>
      </c>
      <c r="CE13" s="4">
        <f>[1]节奏总纲!CE13</f>
        <v>48</v>
      </c>
      <c r="CF13" s="4">
        <f>[1]节奏总纲!CF13</f>
        <v>33</v>
      </c>
    </row>
    <row r="14" spans="2:84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11">
        <f>[1]节奏总纲!K14</f>
        <v>0.54</v>
      </c>
      <c r="N14" s="50">
        <f>[1]节奏总纲!N14</f>
        <v>21</v>
      </c>
      <c r="O14" s="4">
        <f>[1]节奏总纲!O14</f>
        <v>11</v>
      </c>
      <c r="P14" s="4">
        <f>[1]节奏总纲!P14</f>
        <v>1.1435469250725863</v>
      </c>
      <c r="Q14" s="4">
        <f>[1]节奏总纲!Q14</f>
        <v>0.98036277886472811</v>
      </c>
      <c r="R14" s="4">
        <f>[1]节奏总纲!R14</f>
        <v>0.79453640354043287</v>
      </c>
      <c r="S14" s="4">
        <f>[1]节奏总纲!S14</f>
        <v>0.57577587677404707</v>
      </c>
      <c r="T14" s="4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f>[1]节奏总纲!AC14</f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f>[1]节奏总纲!AZ14</f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  <c r="BI14" s="4">
        <f>[1]节奏总纲!BI14</f>
        <v>11</v>
      </c>
      <c r="BJ14" s="4">
        <f>[1]节奏总纲!BJ14</f>
        <v>1.2000000000000006</v>
      </c>
      <c r="BK14" s="4">
        <f>[1]节奏总纲!BK14</f>
        <v>1.2240000000000006</v>
      </c>
      <c r="BL14" s="4">
        <f>[1]节奏总纲!BL14</f>
        <v>1.2720000000000007</v>
      </c>
      <c r="BM14" s="4">
        <f>[1]节奏总纲!BM14</f>
        <v>1.3680000000000005</v>
      </c>
      <c r="BN14" s="4">
        <f>[1]节奏总纲!BN14</f>
        <v>1.6800000000000008</v>
      </c>
      <c r="BP14" s="4">
        <f>[1]节奏总纲!BP14</f>
        <v>11</v>
      </c>
      <c r="BQ14" s="4">
        <f>[1]节奏总纲!BQ14</f>
        <v>9.5120454660969038</v>
      </c>
      <c r="BR14" s="4">
        <f>[1]节奏总纲!BR14</f>
        <v>9.0908055284315381</v>
      </c>
      <c r="BS14" s="4">
        <f>[1]节奏总纲!BS14</f>
        <v>8.6331257373661145</v>
      </c>
      <c r="BT14" s="4">
        <f>[1]节奏总纲!BT14</f>
        <v>8.1811718053632738</v>
      </c>
      <c r="BU14" s="4">
        <f>[1]节奏总纲!BU14</f>
        <v>7.6920934414083888</v>
      </c>
      <c r="BW14" s="4">
        <f>[1]节奏总纲!BW14</f>
        <v>11</v>
      </c>
      <c r="BX14" s="4">
        <f>[1]节奏总纲!BX14</f>
        <v>11.947729331634296</v>
      </c>
      <c r="BY14" s="4">
        <f>[1]节奏总纲!BY14</f>
        <v>12.268098330256127</v>
      </c>
      <c r="BZ14" s="4">
        <f>[1]节奏总纲!BZ14</f>
        <v>12.644330976574002</v>
      </c>
      <c r="CA14" s="4">
        <f>[1]节奏总纲!CA14</f>
        <v>13.069974059992543</v>
      </c>
      <c r="CB14" s="4">
        <f>[1]节奏总纲!CB14</f>
        <v>13.547253897167892</v>
      </c>
      <c r="CC14" s="4">
        <f>[1]节奏总纲!CC14</f>
        <v>13.547253897167892</v>
      </c>
      <c r="CE14" s="4">
        <f>[1]节奏总纲!CE14</f>
        <v>53</v>
      </c>
      <c r="CF14" s="4">
        <f>[1]节奏总纲!CF14</f>
        <v>35</v>
      </c>
    </row>
    <row r="15" spans="2:84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11">
        <f>[1]节奏总纲!K15</f>
        <v>0.56000000000000005</v>
      </c>
      <c r="N15" s="50">
        <f>[1]节奏总纲!N15</f>
        <v>22</v>
      </c>
      <c r="O15" s="4">
        <f>[1]节奏总纲!O15</f>
        <v>12</v>
      </c>
      <c r="P15" s="4">
        <f>[1]节奏总纲!P15</f>
        <v>1.2973967099940702</v>
      </c>
      <c r="Q15" s="4">
        <f>[1]节奏总纲!Q15</f>
        <v>1.1126474184909145</v>
      </c>
      <c r="R15" s="4">
        <f>[1]节奏总纲!R15</f>
        <v>0.9058423829178599</v>
      </c>
      <c r="S15" s="4">
        <f>[1]节奏总纲!S15</f>
        <v>0.66219128078097333</v>
      </c>
      <c r="T15" s="4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f>[1]节奏总纲!AC15</f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f>[1]节奏总纲!AZ15</f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  <c r="BI15" s="4">
        <f>[1]节奏总纲!BI15</f>
        <v>12</v>
      </c>
      <c r="BJ15" s="4">
        <f>[1]节奏总纲!BJ15</f>
        <v>1.2333333333333341</v>
      </c>
      <c r="BK15" s="4">
        <f>[1]节奏总纲!BK15</f>
        <v>1.2580000000000007</v>
      </c>
      <c r="BL15" s="4">
        <f>[1]节奏总纲!BL15</f>
        <v>1.3073333333333341</v>
      </c>
      <c r="BM15" s="4">
        <f>[1]节奏总纲!BM15</f>
        <v>1.4060000000000008</v>
      </c>
      <c r="BN15" s="4">
        <f>[1]节奏总纲!BN15</f>
        <v>1.7266666666666677</v>
      </c>
      <c r="BP15" s="4">
        <f>[1]节奏总纲!BP15</f>
        <v>12</v>
      </c>
      <c r="BQ15" s="4">
        <f>[1]节奏总纲!BQ15</f>
        <v>11.074888753130331</v>
      </c>
      <c r="BR15" s="4">
        <f>[1]节奏总纲!BR15</f>
        <v>10.551555449265667</v>
      </c>
      <c r="BS15" s="4">
        <f>[1]节奏总纲!BS15</f>
        <v>10.033713322824047</v>
      </c>
      <c r="BT15" s="4">
        <f>[1]节奏总纲!BT15</f>
        <v>9.4763743598650301</v>
      </c>
      <c r="BU15" s="4">
        <f>[1]节奏总纲!BU15</f>
        <v>8.9745731744178503</v>
      </c>
      <c r="BW15" s="4">
        <f>[1]节奏总纲!BW15</f>
        <v>12</v>
      </c>
      <c r="BX15" s="4">
        <f>[1]节奏总纲!BX15</f>
        <v>12.542132297048981</v>
      </c>
      <c r="BY15" s="4">
        <f>[1]节奏总纲!BY15</f>
        <v>12.897943579612605</v>
      </c>
      <c r="BZ15" s="4">
        <f>[1]节奏总纲!BZ15</f>
        <v>13.295232951964469</v>
      </c>
      <c r="CA15" s="4">
        <f>[1]节奏总纲!CA15</f>
        <v>13.76223932139796</v>
      </c>
      <c r="CB15" s="4">
        <f>[1]节奏总纲!CB15</f>
        <v>14.265591764569512</v>
      </c>
      <c r="CC15" s="4">
        <f>[1]节奏总纲!CC15</f>
        <v>14.265591764569512</v>
      </c>
      <c r="CE15" s="4">
        <f>[1]节奏总纲!CE15</f>
        <v>58</v>
      </c>
      <c r="CF15" s="4">
        <f>[1]节奏总纲!CF15</f>
        <v>37</v>
      </c>
    </row>
    <row r="16" spans="2:84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11">
        <f>[1]节奏总纲!K16</f>
        <v>0.57999999999999996</v>
      </c>
      <c r="N16" s="50">
        <f>[1]节奏总纲!N16</f>
        <v>23</v>
      </c>
      <c r="O16" s="4">
        <f>[1]节奏总纲!O16</f>
        <v>13</v>
      </c>
      <c r="P16" s="4">
        <f>[1]节奏总纲!P16</f>
        <v>1.4622888266898326</v>
      </c>
      <c r="Q16" s="4">
        <f>[1]节奏总纲!Q16</f>
        <v>1.2628326307293396</v>
      </c>
      <c r="R16" s="4">
        <f>[1]节奏总纲!R16</f>
        <v>1.0294513339896421</v>
      </c>
      <c r="S16" s="4">
        <f>[1]节奏总纲!S16</f>
        <v>0.75556463675063656</v>
      </c>
      <c r="T16" s="4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f>[1]节奏总纲!AC16</f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f>[1]节奏总纲!AZ16</f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  <c r="BI16" s="4">
        <f>[1]节奏总纲!BI16</f>
        <v>13</v>
      </c>
      <c r="BJ16" s="4">
        <f>[1]节奏总纲!BJ16</f>
        <v>1.2666666666666675</v>
      </c>
      <c r="BK16" s="4">
        <f>[1]节奏总纲!BK16</f>
        <v>1.2920000000000009</v>
      </c>
      <c r="BL16" s="4">
        <f>[1]节奏总纲!BL16</f>
        <v>1.3426666666666676</v>
      </c>
      <c r="BM16" s="4">
        <f>[1]节奏总纲!BM16</f>
        <v>1.4440000000000008</v>
      </c>
      <c r="BN16" s="4">
        <f>[1]节奏总纲!BN16</f>
        <v>1.7733333333333343</v>
      </c>
      <c r="BP16" s="4">
        <f>[1]节奏总纲!BP16</f>
        <v>13</v>
      </c>
      <c r="BQ16" s="4">
        <f>[1]节奏总纲!BQ16</f>
        <v>12.728996915718925</v>
      </c>
      <c r="BR16" s="4">
        <f>[1]节奏总纲!BR16</f>
        <v>12.142721275836225</v>
      </c>
      <c r="BS16" s="4">
        <f>[1]节奏总纲!BS16</f>
        <v>11.503343391504416</v>
      </c>
      <c r="BT16" s="4">
        <f>[1]节奏总纲!BT16</f>
        <v>10.885031205321049</v>
      </c>
      <c r="BU16" s="4">
        <f>[1]节奏总纲!BU16</f>
        <v>10.232039772979649</v>
      </c>
      <c r="BW16" s="4">
        <f>[1]节奏总纲!BW16</f>
        <v>13</v>
      </c>
      <c r="BX16" s="4">
        <f>[1]节奏总纲!BX16</f>
        <v>13.143190924164548</v>
      </c>
      <c r="BY16" s="4">
        <f>[1]节奏总纲!BY16</f>
        <v>13.515704114816591</v>
      </c>
      <c r="BZ16" s="4">
        <f>[1]节奏总纲!BZ16</f>
        <v>13.955379012797932</v>
      </c>
      <c r="CA16" s="4">
        <f>[1]节奏总纲!CA16</f>
        <v>14.429987921274376</v>
      </c>
      <c r="CB16" s="4">
        <f>[1]节奏总纲!CB16</f>
        <v>14.981817088938907</v>
      </c>
      <c r="CC16" s="4">
        <f>[1]节奏总纲!CC16</f>
        <v>14.981817088938907</v>
      </c>
      <c r="CE16" s="4">
        <f>[1]节奏总纲!CE16</f>
        <v>63</v>
      </c>
      <c r="CF16" s="4">
        <f>[1]节奏总纲!CF16</f>
        <v>39</v>
      </c>
    </row>
    <row r="17" spans="2:84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11">
        <f>[1]节奏总纲!K17</f>
        <v>0.6</v>
      </c>
      <c r="N17" s="50">
        <f>[1]节奏总纲!N17</f>
        <v>24</v>
      </c>
      <c r="O17" s="4">
        <f>[1]节奏总纲!O17</f>
        <v>14</v>
      </c>
      <c r="P17" s="4">
        <f>[1]节奏总纲!P17</f>
        <v>1.6390158215457884</v>
      </c>
      <c r="Q17" s="4">
        <f>[1]节奏总纲!Q17</f>
        <v>1.4136511460832426</v>
      </c>
      <c r="R17" s="4">
        <f>[1]节奏总纲!R17</f>
        <v>1.1545227446968533</v>
      </c>
      <c r="S17" s="4">
        <f>[1]节奏总纲!S17</f>
        <v>0.84605996708193598</v>
      </c>
      <c r="T17" s="4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f>[1]节奏总纲!AC17</f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f>[1]节奏总纲!AZ17</f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  <c r="BI17" s="4">
        <f>[1]节奏总纲!BI17</f>
        <v>14</v>
      </c>
      <c r="BJ17" s="4">
        <f>[1]节奏总纲!BJ17</f>
        <v>1.3000000000000009</v>
      </c>
      <c r="BK17" s="4">
        <f>[1]节奏总纲!BK17</f>
        <v>1.326000000000001</v>
      </c>
      <c r="BL17" s="4">
        <f>[1]节奏总纲!BL17</f>
        <v>1.378000000000001</v>
      </c>
      <c r="BM17" s="4">
        <f>[1]节奏总纲!BM17</f>
        <v>1.4820000000000009</v>
      </c>
      <c r="BN17" s="4">
        <f>[1]节奏总纲!BN17</f>
        <v>1.8200000000000012</v>
      </c>
      <c r="BP17" s="4">
        <f>[1]节奏总纲!BP17</f>
        <v>14</v>
      </c>
      <c r="BQ17" s="4">
        <f>[1]节奏总纲!BQ17</f>
        <v>14.478648759442287</v>
      </c>
      <c r="BR17" s="4">
        <f>[1]节奏总纲!BR17</f>
        <v>13.801686811891411</v>
      </c>
      <c r="BS17" s="4">
        <f>[1]节奏总纲!BS17</f>
        <v>13.066802237788149</v>
      </c>
      <c r="BT17" s="4">
        <f>[1]节奏总纲!BT17</f>
        <v>12.317859861087916</v>
      </c>
      <c r="BU17" s="4">
        <f>[1]节奏总纲!BU17</f>
        <v>11.589582338965862</v>
      </c>
      <c r="BW17" s="4">
        <f>[1]节奏总纲!BW17</f>
        <v>14</v>
      </c>
      <c r="BX17" s="4">
        <f>[1]节奏总纲!BX17</f>
        <v>13.709487920387797</v>
      </c>
      <c r="BY17" s="4">
        <f>[1]节奏总纲!BY17</f>
        <v>14.100956885571147</v>
      </c>
      <c r="BZ17" s="4">
        <f>[1]节奏总纲!BZ17</f>
        <v>14.525291242595772</v>
      </c>
      <c r="CA17" s="4">
        <f>[1]节奏总纲!CA17</f>
        <v>15.034528001908788</v>
      </c>
      <c r="CB17" s="4">
        <f>[1]节奏总纲!CB17</f>
        <v>15.548154022600523</v>
      </c>
      <c r="CC17" s="4">
        <f>[1]节奏总纲!CC17</f>
        <v>15.548154022600523</v>
      </c>
      <c r="CE17" s="4">
        <f>[1]节奏总纲!CE17</f>
        <v>68</v>
      </c>
      <c r="CF17" s="4">
        <f>[1]节奏总纲!CF17</f>
        <v>42</v>
      </c>
    </row>
    <row r="18" spans="2:84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11">
        <f>[1]节奏总纲!K18</f>
        <v>0.62</v>
      </c>
      <c r="N18" s="50">
        <f>[1]节奏总纲!N18</f>
        <v>25</v>
      </c>
      <c r="O18" s="4">
        <f>[1]节奏总纲!O18</f>
        <v>15</v>
      </c>
      <c r="P18" s="4">
        <f>[1]节奏总纲!P18</f>
        <v>1.8284271247461898</v>
      </c>
      <c r="Q18" s="4">
        <f>[1]节奏总纲!Q18</f>
        <v>1.5793953503557587</v>
      </c>
      <c r="R18" s="4">
        <f>[1]节奏总纲!R18</f>
        <v>1.2928808199080308</v>
      </c>
      <c r="S18" s="4">
        <f>[1]节奏总纲!S18</f>
        <v>0.94895367774327255</v>
      </c>
      <c r="T18" s="4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f>[1]节奏总纲!AC18</f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f>[1]节奏总纲!AZ18</f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  <c r="BI18" s="4">
        <f>[1]节奏总纲!BI18</f>
        <v>15</v>
      </c>
      <c r="BJ18" s="4">
        <f>[1]节奏总纲!BJ18</f>
        <v>1.3333333333333344</v>
      </c>
      <c r="BK18" s="4">
        <f>[1]节奏总纲!BK18</f>
        <v>1.360000000000001</v>
      </c>
      <c r="BL18" s="4">
        <f>[1]节奏总纲!BL18</f>
        <v>1.4133333333333344</v>
      </c>
      <c r="BM18" s="4">
        <f>[1]节奏总纲!BM18</f>
        <v>1.5200000000000011</v>
      </c>
      <c r="BN18" s="4">
        <f>[1]节奏总纲!BN18</f>
        <v>1.866666666666668</v>
      </c>
      <c r="BP18" s="4">
        <f>[1]节奏总纲!BP18</f>
        <v>15</v>
      </c>
      <c r="BQ18" s="4">
        <f>[1]节奏总纲!BQ18</f>
        <v>16.315139190025224</v>
      </c>
      <c r="BR18" s="4">
        <f>[1]节奏总纲!BR18</f>
        <v>15.561358773741674</v>
      </c>
      <c r="BS18" s="4">
        <f>[1]节奏总纲!BS18</f>
        <v>14.762349831349963</v>
      </c>
      <c r="BT18" s="4">
        <f>[1]节奏总纲!BT18</f>
        <v>13.933035582501875</v>
      </c>
      <c r="BU18" s="4">
        <f>[1]节奏总纲!BU18</f>
        <v>13.02723395474071</v>
      </c>
      <c r="BW18" s="4">
        <f>[1]节奏总纲!BW18</f>
        <v>15</v>
      </c>
      <c r="BX18" s="4">
        <f>[1]节奏总纲!BX18</f>
        <v>14.266658834916136</v>
      </c>
      <c r="BY18" s="4">
        <f>[1]节奏总纲!BY18</f>
        <v>14.660415593263824</v>
      </c>
      <c r="BZ18" s="4">
        <f>[1]节奏总纲!BZ18</f>
        <v>15.124897159472612</v>
      </c>
      <c r="CA18" s="4">
        <f>[1]节奏总纲!CA18</f>
        <v>15.620787661421978</v>
      </c>
      <c r="CB18" s="4">
        <f>[1]节奏总纲!CB18</f>
        <v>16.186655799493046</v>
      </c>
      <c r="CC18" s="4">
        <f>[1]节奏总纲!CC18</f>
        <v>16.186655799493046</v>
      </c>
      <c r="CE18" s="4">
        <f>[1]节奏总纲!CE18</f>
        <v>73</v>
      </c>
      <c r="CF18" s="4">
        <f>[1]节奏总纲!CF18</f>
        <v>44</v>
      </c>
    </row>
    <row r="19" spans="2:84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11">
        <f>[1]节奏总纲!K19</f>
        <v>0.64</v>
      </c>
      <c r="N19" s="50">
        <f>[1]节奏总纲!N19</f>
        <v>26</v>
      </c>
      <c r="O19" s="4">
        <f>[1]节奏总纲!O19</f>
        <v>16</v>
      </c>
      <c r="P19" s="4">
        <f>[1]节奏总纲!P19</f>
        <v>2.031433133020796</v>
      </c>
      <c r="Q19" s="4">
        <f>[1]节奏总纲!Q19</f>
        <v>1.7586116632561031</v>
      </c>
      <c r="R19" s="4">
        <f>[1]节奏总纲!R19</f>
        <v>1.4398798046851402</v>
      </c>
      <c r="S19" s="4">
        <f>[1]节奏总纲!S19</f>
        <v>1.0618300986299702</v>
      </c>
      <c r="T19" s="4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f>[1]节奏总纲!AC19</f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f>[1]节奏总纲!AZ19</f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  <c r="BI19" s="4">
        <f>[1]节奏总纲!BI19</f>
        <v>16</v>
      </c>
      <c r="BJ19" s="4">
        <f>[1]节奏总纲!BJ19</f>
        <v>1.3666666666666678</v>
      </c>
      <c r="BK19" s="4">
        <f>[1]节奏总纲!BK19</f>
        <v>1.3940000000000012</v>
      </c>
      <c r="BL19" s="4">
        <f>[1]节奏总纲!BL19</f>
        <v>1.4486666666666679</v>
      </c>
      <c r="BM19" s="4">
        <f>[1]节奏总纲!BM19</f>
        <v>1.5580000000000012</v>
      </c>
      <c r="BN19" s="4">
        <f>[1]节奏总纲!BN19</f>
        <v>1.9133333333333349</v>
      </c>
      <c r="BP19" s="4">
        <f>[1]节奏总纲!BP19</f>
        <v>16</v>
      </c>
      <c r="BQ19" s="4">
        <f>[1]节奏总纲!BQ19</f>
        <v>18.226342304552581</v>
      </c>
      <c r="BR19" s="4">
        <f>[1]节奏总纲!BR19</f>
        <v>17.420973982667814</v>
      </c>
      <c r="BS19" s="4">
        <f>[1]节奏总纲!BS19</f>
        <v>16.55360159735687</v>
      </c>
      <c r="BT19" s="4">
        <f>[1]节奏总纲!BT19</f>
        <v>15.589627930182091</v>
      </c>
      <c r="BU19" s="4">
        <f>[1]节奏总纲!BU19</f>
        <v>14.671687356650759</v>
      </c>
      <c r="BW19" s="4">
        <f>[1]节奏总纲!BW19</f>
        <v>16</v>
      </c>
      <c r="BX19" s="4">
        <f>[1]节奏总纲!BX19</f>
        <v>14.814845624513547</v>
      </c>
      <c r="BY19" s="4">
        <f>[1]节奏总纲!BY19</f>
        <v>15.223953663630512</v>
      </c>
      <c r="BZ19" s="4">
        <f>[1]节奏总纲!BZ19</f>
        <v>15.68326996451129</v>
      </c>
      <c r="CA19" s="4">
        <f>[1]节奏总纲!CA19</f>
        <v>16.223055450854915</v>
      </c>
      <c r="CB19" s="4">
        <f>[1]节奏总纲!CB19</f>
        <v>16.836396297114952</v>
      </c>
      <c r="CC19" s="4">
        <f>[1]节奏总纲!CC19</f>
        <v>16.836396297114952</v>
      </c>
      <c r="CE19" s="4">
        <f>[1]节奏总纲!CE19</f>
        <v>78</v>
      </c>
      <c r="CF19" s="4">
        <f>[1]节奏总纲!CF19</f>
        <v>46</v>
      </c>
    </row>
    <row r="20" spans="2:84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11">
        <f>[1]节奏总纲!K20</f>
        <v>0.66</v>
      </c>
      <c r="N20" s="50">
        <f>[1]节奏总纲!N20</f>
        <v>27</v>
      </c>
      <c r="O20" s="4">
        <f>[1]节奏总纲!O20</f>
        <v>17</v>
      </c>
      <c r="P20" s="4">
        <f>[1]节奏总纲!P20</f>
        <v>2.2490095854249419</v>
      </c>
      <c r="Q20" s="4">
        <f>[1]节奏总纲!Q20</f>
        <v>1.9433691827656923</v>
      </c>
      <c r="R20" s="4">
        <f>[1]节奏总纲!R20</f>
        <v>1.5904995788125189</v>
      </c>
      <c r="S20" s="4">
        <f>[1]节奏总纲!S20</f>
        <v>1.1742079045503622</v>
      </c>
      <c r="T20" s="4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f>[1]节奏总纲!AC20</f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f>[1]节奏总纲!AZ20</f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  <c r="BI20" s="4">
        <f>[1]节奏总纲!BI20</f>
        <v>17</v>
      </c>
      <c r="BJ20" s="4">
        <f>[1]节奏总纲!BJ20</f>
        <v>1.4000000000000012</v>
      </c>
      <c r="BK20" s="4">
        <f>[1]节奏总纲!BK20</f>
        <v>1.4280000000000013</v>
      </c>
      <c r="BL20" s="4">
        <f>[1]节奏总纲!BL20</f>
        <v>1.4840000000000013</v>
      </c>
      <c r="BM20" s="4">
        <f>[1]节奏总纲!BM20</f>
        <v>1.5960000000000012</v>
      </c>
      <c r="BN20" s="4">
        <f>[1]节奏总纲!BN20</f>
        <v>1.9600000000000015</v>
      </c>
      <c r="BP20" s="4">
        <f>[1]节奏总纲!BP20</f>
        <v>17</v>
      </c>
      <c r="BQ20" s="4">
        <f>[1]节奏总纲!BQ20</f>
        <v>20.20181641490861</v>
      </c>
      <c r="BR20" s="4">
        <f>[1]节奏总纲!BR20</f>
        <v>19.316761289213389</v>
      </c>
      <c r="BS20" s="4">
        <f>[1]节奏总纲!BS20</f>
        <v>18.361080760620879</v>
      </c>
      <c r="BT20" s="4">
        <f>[1]节奏总纲!BT20</f>
        <v>17.369785176246889</v>
      </c>
      <c r="BU20" s="4">
        <f>[1]节奏总纲!BU20</f>
        <v>16.290326765372022</v>
      </c>
      <c r="BW20" s="4">
        <f>[1]节奏总纲!BW20</f>
        <v>17</v>
      </c>
      <c r="BX20" s="4">
        <f>[1]节奏总纲!BX20</f>
        <v>15.339606019664149</v>
      </c>
      <c r="BY20" s="4">
        <f>[1]节奏总纲!BY20</f>
        <v>15.750302066190816</v>
      </c>
      <c r="BZ20" s="4">
        <f>[1]节奏总纲!BZ20</f>
        <v>16.215846584296784</v>
      </c>
      <c r="CA20" s="4">
        <f>[1]节奏总纲!CA20</f>
        <v>16.764198848718195</v>
      </c>
      <c r="CB20" s="4">
        <f>[1]节奏总纲!CB20</f>
        <v>17.338393226762065</v>
      </c>
      <c r="CC20" s="4">
        <f>[1]节奏总纲!CC20</f>
        <v>17.338393226762065</v>
      </c>
      <c r="CE20" s="74">
        <f>[1]节奏总纲!CE20</f>
        <v>83</v>
      </c>
      <c r="CF20" s="74">
        <f>[1]节奏总纲!CF20</f>
        <v>49</v>
      </c>
    </row>
    <row r="21" spans="2:84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11">
        <f>[1]节奏总纲!K21</f>
        <v>0.68</v>
      </c>
      <c r="N21" s="50">
        <f>[1]节奏总纲!N21</f>
        <v>28</v>
      </c>
      <c r="O21" s="4">
        <f>[1]节奏总纲!O21</f>
        <v>18</v>
      </c>
      <c r="P21" s="4">
        <f>[1]节奏总纲!P21</f>
        <v>2.4822022531844965</v>
      </c>
      <c r="Q21" s="4">
        <f>[1]节奏总纲!Q21</f>
        <v>2.1515729130603214</v>
      </c>
      <c r="R21" s="4">
        <f>[1]节奏总纲!R21</f>
        <v>1.7690655458445907</v>
      </c>
      <c r="S21" s="4">
        <f>[1]节奏总纲!S21</f>
        <v>1.3066312660763189</v>
      </c>
      <c r="T21" s="4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f>[1]节奏总纲!AC21</f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f>[1]节奏总纲!AZ21</f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  <c r="BI21" s="4">
        <f>[1]节奏总纲!BI21</f>
        <v>18</v>
      </c>
      <c r="BJ21" s="4">
        <f>[1]节奏总纲!BJ21</f>
        <v>1.4333333333333347</v>
      </c>
      <c r="BK21" s="4">
        <f>[1]节奏总纲!BK21</f>
        <v>1.4620000000000013</v>
      </c>
      <c r="BL21" s="4">
        <f>[1]节奏总纲!BL21</f>
        <v>1.5193333333333348</v>
      </c>
      <c r="BM21" s="4">
        <f>[1]节奏总纲!BM21</f>
        <v>1.6340000000000015</v>
      </c>
      <c r="BN21" s="4">
        <f>[1]节奏总纲!BN21</f>
        <v>2.0066666666666686</v>
      </c>
      <c r="BP21" s="4">
        <f>[1]节奏总纲!BP21</f>
        <v>18</v>
      </c>
      <c r="BQ21" s="4">
        <f>[1]节奏总纲!BQ21</f>
        <v>22.23257120211764</v>
      </c>
      <c r="BR21" s="4">
        <f>[1]节奏总纲!BR21</f>
        <v>21.313236761787984</v>
      </c>
      <c r="BS21" s="4">
        <f>[1]节奏总纲!BS21</f>
        <v>20.31364557414641</v>
      </c>
      <c r="BT21" s="4">
        <f>[1]节奏总纲!BT21</f>
        <v>19.206606162403641</v>
      </c>
      <c r="BU21" s="4">
        <f>[1]节奏总纲!BU21</f>
        <v>18.113419670820548</v>
      </c>
      <c r="BW21" s="4">
        <f>[1]节奏总纲!BW21</f>
        <v>18</v>
      </c>
      <c r="BX21" s="4">
        <f>[1]节奏总纲!BX21</f>
        <v>15.871072726902106</v>
      </c>
      <c r="BY21" s="4">
        <f>[1]节奏总纲!BY21</f>
        <v>16.290260811148702</v>
      </c>
      <c r="BZ21" s="4">
        <f>[1]节奏总纲!BZ21</f>
        <v>16.78909022643807</v>
      </c>
      <c r="CA21" s="4">
        <f>[1]节奏总纲!CA21</f>
        <v>17.340049562343136</v>
      </c>
      <c r="CB21" s="4">
        <f>[1]节奏总纲!CB21</f>
        <v>17.928688718553115</v>
      </c>
      <c r="CC21" s="4">
        <f>[1]节奏总纲!CC21</f>
        <v>17.928688718553115</v>
      </c>
      <c r="CE21" s="74">
        <f>[1]节奏总纲!CE21</f>
        <v>88</v>
      </c>
      <c r="CF21" s="74">
        <f>[1]节奏总纲!CF21</f>
        <v>51</v>
      </c>
    </row>
    <row r="22" spans="2:84" x14ac:dyDescent="0.15">
      <c r="B22" s="81" t="s">
        <v>109</v>
      </c>
      <c r="C22" s="81"/>
      <c r="D22" s="81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11">
        <f>[1]节奏总纲!K22</f>
        <v>0.7</v>
      </c>
      <c r="N22" s="50">
        <f>[1]节奏总纲!N22</f>
        <v>29</v>
      </c>
      <c r="O22" s="4">
        <f>[1]节奏总纲!O22</f>
        <v>19</v>
      </c>
      <c r="P22" s="4">
        <f>[1]节奏总纲!P22</f>
        <v>2.7321319661472296</v>
      </c>
      <c r="Q22" s="4">
        <f>[1]节奏总纲!Q22</f>
        <v>2.3734030389920986</v>
      </c>
      <c r="R22" s="4">
        <f>[1]节奏总纲!R22</f>
        <v>1.9510154370257367</v>
      </c>
      <c r="S22" s="4">
        <f>[1]节奏总纲!S22</f>
        <v>1.4395603329629754</v>
      </c>
      <c r="T22" s="4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f>[1]节奏总纲!AC22</f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f>[1]节奏总纲!AZ22</f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  <c r="BI22" s="4">
        <f>[1]节奏总纲!BI22</f>
        <v>19</v>
      </c>
      <c r="BJ22" s="4">
        <f>[1]节奏总纲!BJ22</f>
        <v>1.4666666666666681</v>
      </c>
      <c r="BK22" s="4">
        <f>[1]节奏总纲!BK22</f>
        <v>1.4960000000000016</v>
      </c>
      <c r="BL22" s="4">
        <f>[1]节奏总纲!BL22</f>
        <v>1.5546666666666682</v>
      </c>
      <c r="BM22" s="4">
        <f>[1]节奏总纲!BM22</f>
        <v>1.6720000000000015</v>
      </c>
      <c r="BN22" s="4">
        <f>[1]节奏总纲!BN22</f>
        <v>2.0533333333333355</v>
      </c>
      <c r="BP22" s="4">
        <f>[1]节奏总纲!BP22</f>
        <v>19</v>
      </c>
      <c r="BQ22" s="4">
        <f>[1]节奏总纲!BQ22</f>
        <v>24.310866931512376</v>
      </c>
      <c r="BR22" s="4">
        <f>[1]节奏总纲!BR22</f>
        <v>23.346355732194773</v>
      </c>
      <c r="BS22" s="4">
        <f>[1]节奏总纲!BS22</f>
        <v>22.270075478919804</v>
      </c>
      <c r="BT22" s="4">
        <f>[1]节奏总纲!BT22</f>
        <v>21.127034033068878</v>
      </c>
      <c r="BU22" s="4">
        <f>[1]节奏总纲!BU22</f>
        <v>19.990401674856564</v>
      </c>
      <c r="BW22" s="4">
        <f>[1]节奏总纲!BW22</f>
        <v>19</v>
      </c>
      <c r="BX22" s="4">
        <f>[1]节奏总纲!BX22</f>
        <v>16.372441911687645</v>
      </c>
      <c r="BY22" s="4">
        <f>[1]节奏总纲!BY22</f>
        <v>16.824360525554045</v>
      </c>
      <c r="BZ22" s="4">
        <f>[1]节奏总纲!BZ22</f>
        <v>17.315787914321945</v>
      </c>
      <c r="CA22" s="4">
        <f>[1]节奏总纲!CA22</f>
        <v>17.881687348051518</v>
      </c>
      <c r="CB22" s="4">
        <f>[1]节奏总纲!CB22</f>
        <v>18.472191841608893</v>
      </c>
      <c r="CC22" s="4">
        <f>[1]节奏总纲!CC22</f>
        <v>18.472191841608893</v>
      </c>
      <c r="CE22" s="74">
        <f>[1]节奏总纲!CE22</f>
        <v>93</v>
      </c>
      <c r="CF22" s="74">
        <f>[1]节奏总纲!CF22</f>
        <v>53</v>
      </c>
    </row>
    <row r="23" spans="2:84" x14ac:dyDescent="0.15">
      <c r="B23" s="4" t="s">
        <v>485</v>
      </c>
      <c r="C23" s="4" t="s">
        <v>107</v>
      </c>
      <c r="D23" s="4" t="s">
        <v>108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11">
        <f>[1]节奏总纲!K23</f>
        <v>0.72</v>
      </c>
      <c r="N23" s="50">
        <f>[1]节奏总纲!N23</f>
        <v>30</v>
      </c>
      <c r="O23" s="4">
        <f>[1]节奏总纲!O23</f>
        <v>20</v>
      </c>
      <c r="P23" s="4">
        <f>[1]节奏总纲!P23</f>
        <v>3</v>
      </c>
      <c r="Q23" s="4">
        <f>[1]节奏总纲!Q23</f>
        <v>2.6036999999999999</v>
      </c>
      <c r="R23" s="4">
        <f>[1]节奏总纲!R23</f>
        <v>2.1372</v>
      </c>
      <c r="S23" s="4">
        <f>[1]节奏总纲!S23</f>
        <v>1.5800999999999998</v>
      </c>
      <c r="T23" s="4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f>[1]节奏总纲!AC23</f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f>[1]节奏总纲!AZ23</f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  <c r="BI23" s="4">
        <f>[1]节奏总纲!BI23</f>
        <v>20</v>
      </c>
      <c r="BJ23" s="4">
        <f>[1]节奏总纲!BJ23</f>
        <v>1.5000000000000016</v>
      </c>
      <c r="BK23" s="4">
        <f>[1]节奏总纲!BK23</f>
        <v>1.5300000000000016</v>
      </c>
      <c r="BL23" s="4">
        <f>[1]节奏总纲!BL23</f>
        <v>1.5900000000000016</v>
      </c>
      <c r="BM23" s="4">
        <f>[1]节奏总纲!BM23</f>
        <v>1.7100000000000015</v>
      </c>
      <c r="BN23" s="4">
        <f>[1]节奏总纲!BN23</f>
        <v>2.1000000000000019</v>
      </c>
      <c r="BP23" s="4">
        <f>[1]节奏总纲!BP23</f>
        <v>20</v>
      </c>
      <c r="BQ23" s="4">
        <f>[1]节奏总纲!BQ23</f>
        <v>26.430041330048915</v>
      </c>
      <c r="BR23" s="4">
        <f>[1]节奏总纲!BR23</f>
        <v>25.411137335118717</v>
      </c>
      <c r="BS23" s="4">
        <f>[1]节奏总纲!BS23</f>
        <v>24.291601023356559</v>
      </c>
      <c r="BT23" s="4">
        <f>[1]节奏总纲!BT23</f>
        <v>23.104674507319633</v>
      </c>
      <c r="BU23" s="4">
        <f>[1]节奏总纲!BU23</f>
        <v>21.807019312177008</v>
      </c>
      <c r="BW23" s="4">
        <f>[1]节奏总纲!BW23</f>
        <v>20</v>
      </c>
      <c r="BX23" s="4">
        <f>[1]节奏总纲!BX23</f>
        <v>16.888397947066121</v>
      </c>
      <c r="BY23" s="4">
        <f>[1]节奏总纲!BY23</f>
        <v>17.320567635394323</v>
      </c>
      <c r="BZ23" s="4">
        <f>[1]节奏总纲!BZ23</f>
        <v>17.821544339079665</v>
      </c>
      <c r="CA23" s="4">
        <f>[1]节奏总纲!CA23</f>
        <v>18.384863983569073</v>
      </c>
      <c r="CB23" s="4">
        <f>[1]节奏总纲!CB23</f>
        <v>19.004337291338853</v>
      </c>
      <c r="CC23" s="4">
        <f>[1]节奏总纲!CC23</f>
        <v>19.004337291338853</v>
      </c>
      <c r="CE23" s="74">
        <f>[1]节奏总纲!CE23</f>
        <v>98</v>
      </c>
      <c r="CF23" s="74">
        <f>[1]节奏总纲!CF23</f>
        <v>55</v>
      </c>
    </row>
    <row r="24" spans="2:84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11">
        <f>[1]节奏总纲!K24</f>
        <v>0.74</v>
      </c>
      <c r="N24" s="50">
        <f>[1]节奏总纲!N24</f>
        <v>31</v>
      </c>
      <c r="O24" s="4">
        <f>[1]节奏总纲!O24</f>
        <v>21</v>
      </c>
      <c r="P24" s="4">
        <f>[1]节奏总纲!P24</f>
        <v>3.2870938501451725</v>
      </c>
      <c r="Q24" s="4">
        <f>[1]节奏总纲!Q24</f>
        <v>2.8518826243859516</v>
      </c>
      <c r="R24" s="4">
        <f>[1]节奏总纲!R24</f>
        <v>2.3466562996186386</v>
      </c>
      <c r="S24" s="4">
        <f>[1]节奏总纲!S24</f>
        <v>1.7365716810316947</v>
      </c>
      <c r="T24" s="4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f>[1]节奏总纲!AC24</f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f>[1]节奏总纲!AZ24</f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  <c r="BI24" s="4">
        <f>[1]节奏总纲!BI24</f>
        <v>21</v>
      </c>
      <c r="BJ24" s="4">
        <f>[1]节奏总纲!BJ24</f>
        <v>1.533333333333335</v>
      </c>
      <c r="BK24" s="4">
        <f>[1]节奏总纲!BK24</f>
        <v>1.5640000000000016</v>
      </c>
      <c r="BL24" s="4">
        <f>[1]节奏总纲!BL24</f>
        <v>1.6253333333333351</v>
      </c>
      <c r="BM24" s="4">
        <f>[1]节奏总纲!BM24</f>
        <v>1.7480000000000018</v>
      </c>
      <c r="BN24" s="4">
        <f>[1]节奏总纲!BN24</f>
        <v>2.1466666666666687</v>
      </c>
      <c r="BP24" s="4">
        <f>[1]节奏总纲!BP24</f>
        <v>21</v>
      </c>
      <c r="BQ24" s="4">
        <f>[1]节奏总纲!BQ24</f>
        <v>28.584360328652647</v>
      </c>
      <c r="BR24" s="4">
        <f>[1]节奏总纲!BR24</f>
        <v>27.538147336025965</v>
      </c>
      <c r="BS24" s="4">
        <f>[1]节奏总纲!BS24</f>
        <v>26.374084715154964</v>
      </c>
      <c r="BT24" s="4">
        <f>[1]节奏总纲!BT24</f>
        <v>25.113701488415835</v>
      </c>
      <c r="BU24" s="4">
        <f>[1]节奏总纲!BU24</f>
        <v>23.834029842136172</v>
      </c>
      <c r="BW24" s="4">
        <f>[1]节奏总纲!BW24</f>
        <v>21</v>
      </c>
      <c r="BX24" s="4">
        <f>[1]节奏总纲!BX24</f>
        <v>17.373487155583607</v>
      </c>
      <c r="BY24" s="4">
        <f>[1]节奏总纲!BY24</f>
        <v>17.826194772754434</v>
      </c>
      <c r="BZ24" s="4">
        <f>[1]节奏总纲!BZ24</f>
        <v>18.330803528855718</v>
      </c>
      <c r="CA24" s="4">
        <f>[1]节奏总纲!CA24</f>
        <v>18.92494047784373</v>
      </c>
      <c r="CB24" s="4">
        <f>[1]节奏总纲!CB24</f>
        <v>19.541473862851607</v>
      </c>
      <c r="CC24" s="4">
        <f>[1]节奏总纲!CC24</f>
        <v>19.541473862851607</v>
      </c>
      <c r="CE24" s="74">
        <f>[1]节奏总纲!CE24</f>
        <v>103</v>
      </c>
      <c r="CF24" s="74">
        <f>[1]节奏总纲!CF24</f>
        <v>58</v>
      </c>
    </row>
    <row r="25" spans="2:84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11">
        <f>[1]节奏总纲!K25</f>
        <v>0.76</v>
      </c>
      <c r="N25" s="50">
        <f>[1]节奏总纲!N25</f>
        <v>32</v>
      </c>
      <c r="O25" s="4">
        <f>[1]节奏总纲!O25</f>
        <v>22</v>
      </c>
      <c r="P25" s="4">
        <f>[1]节奏总纲!P25</f>
        <v>3.5947934199881395</v>
      </c>
      <c r="Q25" s="4">
        <f>[1]节奏总纲!Q25</f>
        <v>3.124234961311692</v>
      </c>
      <c r="R25" s="4">
        <f>[1]节奏总纲!R25</f>
        <v>2.5749505267375046</v>
      </c>
      <c r="S25" s="4">
        <f>[1]节奏总纲!S25</f>
        <v>1.9077568679877055</v>
      </c>
      <c r="T25" s="4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f>[1]节奏总纲!AC25</f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f>[1]节奏总纲!AZ25</f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  <c r="BI25" s="4">
        <f>[1]节奏总纲!BI25</f>
        <v>22</v>
      </c>
      <c r="BJ25" s="4">
        <f>[1]节奏总纲!BJ25</f>
        <v>1.5666666666666684</v>
      </c>
      <c r="BK25" s="4">
        <f>[1]节奏总纲!BK25</f>
        <v>1.5980000000000019</v>
      </c>
      <c r="BL25" s="4">
        <f>[1]节奏总纲!BL25</f>
        <v>1.6606666666666685</v>
      </c>
      <c r="BM25" s="4">
        <f>[1]节奏总纲!BM25</f>
        <v>1.7860000000000018</v>
      </c>
      <c r="BN25" s="4">
        <f>[1]节奏总纲!BN25</f>
        <v>2.1933333333333356</v>
      </c>
      <c r="BP25" s="4">
        <f>[1]节奏总纲!BP25</f>
        <v>22</v>
      </c>
      <c r="BQ25" s="4">
        <f>[1]节奏总纲!BQ25</f>
        <v>30.768889392009427</v>
      </c>
      <c r="BR25" s="4">
        <f>[1]节奏总纲!BR25</f>
        <v>29.682299134892848</v>
      </c>
      <c r="BS25" s="4">
        <f>[1]节奏总纲!BS25</f>
        <v>28.504605619902428</v>
      </c>
      <c r="BT25" s="4">
        <f>[1]节奏总纲!BT25</f>
        <v>27.228985792746204</v>
      </c>
      <c r="BU25" s="4">
        <f>[1]节奏总纲!BU25</f>
        <v>25.905106178844033</v>
      </c>
      <c r="BW25" s="4">
        <f>[1]节奏总纲!BW25</f>
        <v>22</v>
      </c>
      <c r="BX25" s="4">
        <f>[1]节奏总纲!BX25</f>
        <v>17.874992861074709</v>
      </c>
      <c r="BY25" s="4">
        <f>[1]节奏总纲!BY25</f>
        <v>18.322795653110926</v>
      </c>
      <c r="BZ25" s="4">
        <f>[1]节奏总纲!BZ25</f>
        <v>18.856122636792893</v>
      </c>
      <c r="CA25" s="4">
        <f>[1]节奏总纲!CA25</f>
        <v>19.437362382301988</v>
      </c>
      <c r="CB25" s="4">
        <f>[1]节奏总纲!CB25</f>
        <v>20.093055324260185</v>
      </c>
      <c r="CC25" s="4">
        <f>[1]节奏总纲!CC25</f>
        <v>20.093055324260185</v>
      </c>
      <c r="CE25" s="74">
        <f>[1]节奏总纲!CE25</f>
        <v>108</v>
      </c>
      <c r="CF25" s="74">
        <f>[1]节奏总纲!CF25</f>
        <v>60</v>
      </c>
    </row>
    <row r="26" spans="2:84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11">
        <f>[1]节奏总纲!K26</f>
        <v>0.78</v>
      </c>
      <c r="N26" s="50">
        <f>[1]节奏总纲!N26</f>
        <v>33</v>
      </c>
      <c r="O26" s="4">
        <f>[1]节奏总纲!O26</f>
        <v>23</v>
      </c>
      <c r="P26" s="4">
        <f>[1]节奏总纲!P26</f>
        <v>3.9245776533796644</v>
      </c>
      <c r="Q26" s="4">
        <f>[1]节奏总纲!Q26</f>
        <v>3.4081032341949005</v>
      </c>
      <c r="R26" s="4">
        <f>[1]节奏总纲!R26</f>
        <v>2.8064654799317976</v>
      </c>
      <c r="S26" s="4">
        <f>[1]节奏总纲!S26</f>
        <v>2.0796336985258841</v>
      </c>
      <c r="T26" s="4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f>[1]节奏总纲!AC26</f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f>[1]节奏总纲!AZ26</f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  <c r="BI26" s="4">
        <f>[1]节奏总纲!BI26</f>
        <v>23</v>
      </c>
      <c r="BJ26" s="4">
        <f>[1]节奏总纲!BJ26</f>
        <v>1.6000000000000019</v>
      </c>
      <c r="BK26" s="4">
        <f>[1]节奏总纲!BK26</f>
        <v>1.6320000000000019</v>
      </c>
      <c r="BL26" s="4">
        <f>[1]节奏总纲!BL26</f>
        <v>1.6960000000000022</v>
      </c>
      <c r="BM26" s="4">
        <f>[1]节奏总纲!BM26</f>
        <v>1.8240000000000021</v>
      </c>
      <c r="BN26" s="4">
        <f>[1]节奏总纲!BN26</f>
        <v>2.2400000000000024</v>
      </c>
      <c r="BP26" s="4">
        <f>[1]节奏总纲!BP26</f>
        <v>23</v>
      </c>
      <c r="BQ26" s="4">
        <f>[1]节奏总纲!BQ26</f>
        <v>32.979382606869549</v>
      </c>
      <c r="BR26" s="4">
        <f>[1]节奏总纲!BR26</f>
        <v>31.845462834406923</v>
      </c>
      <c r="BS26" s="4">
        <f>[1]节奏总纲!BS26</f>
        <v>30.615521552489891</v>
      </c>
      <c r="BT26" s="4">
        <f>[1]节奏总纲!BT26</f>
        <v>29.279653557700659</v>
      </c>
      <c r="BU26" s="4">
        <f>[1]节奏总纲!BU26</f>
        <v>27.953695907743711</v>
      </c>
      <c r="BW26" s="4">
        <f>[1]节奏总纲!BW26</f>
        <v>23</v>
      </c>
      <c r="BX26" s="4">
        <f>[1]节奏总纲!BX26</f>
        <v>18.349419791058079</v>
      </c>
      <c r="BY26" s="4">
        <f>[1]节奏总纲!BY26</f>
        <v>18.812694466249869</v>
      </c>
      <c r="BZ26" s="4">
        <f>[1]节奏总纲!BZ26</f>
        <v>19.32971877176227</v>
      </c>
      <c r="CA26" s="4">
        <f>[1]节奏总纲!CA26</f>
        <v>19.940393983271228</v>
      </c>
      <c r="CB26" s="4">
        <f>[1]节奏总纲!CB26</f>
        <v>20.55086831448148</v>
      </c>
      <c r="CC26" s="4">
        <f>[1]节奏总纲!CC26</f>
        <v>20.55086831448148</v>
      </c>
      <c r="CE26" s="74">
        <f>[1]节奏总纲!CE26</f>
        <v>113</v>
      </c>
      <c r="CF26" s="74">
        <f>[1]节奏总纲!CF26</f>
        <v>62</v>
      </c>
    </row>
    <row r="27" spans="2:84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11">
        <f>[1]节奏总纲!K27</f>
        <v>0.8</v>
      </c>
      <c r="N27" s="50">
        <f>[1]节奏总纲!N27</f>
        <v>34</v>
      </c>
      <c r="O27" s="4">
        <f>[1]节奏总纲!O27</f>
        <v>24</v>
      </c>
      <c r="P27" s="4">
        <f>[1]节奏总纲!P27</f>
        <v>4.2780316430915768</v>
      </c>
      <c r="Q27" s="4">
        <f>[1]节奏总纲!Q27</f>
        <v>3.7214597263253628</v>
      </c>
      <c r="R27" s="4">
        <f>[1]节奏总纲!R27</f>
        <v>3.0699155070825155</v>
      </c>
      <c r="S27" s="4">
        <f>[1]节奏总纲!S27</f>
        <v>2.2742016214674821</v>
      </c>
      <c r="T27" s="4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f>[1]节奏总纲!AC27</f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f>[1]节奏总纲!AZ27</f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  <c r="BI27" s="4">
        <f>[1]节奏总纲!BI27</f>
        <v>24</v>
      </c>
      <c r="BJ27" s="4">
        <f>[1]节奏总纲!BJ27</f>
        <v>1.6333333333333353</v>
      </c>
      <c r="BK27" s="4">
        <f>[1]节奏总纲!BK27</f>
        <v>1.6660000000000021</v>
      </c>
      <c r="BL27" s="4">
        <f>[1]节奏总纲!BL27</f>
        <v>1.7313333333333356</v>
      </c>
      <c r="BM27" s="4">
        <f>[1]节奏总纲!BM27</f>
        <v>1.8620000000000021</v>
      </c>
      <c r="BN27" s="4">
        <f>[1]节奏总纲!BN27</f>
        <v>2.2866666666666693</v>
      </c>
      <c r="BP27" s="4">
        <f>[1]节奏总纲!BP27</f>
        <v>24</v>
      </c>
      <c r="BQ27" s="4">
        <f>[1]节奏总纲!BQ27</f>
        <v>35.197977552877902</v>
      </c>
      <c r="BR27" s="4">
        <f>[1]节奏总纲!BR27</f>
        <v>34.072116335246974</v>
      </c>
      <c r="BS27" s="4">
        <f>[1]节奏总纲!BS27</f>
        <v>32.816661243819851</v>
      </c>
      <c r="BT27" s="4">
        <f>[1]节奏总纲!BT27</f>
        <v>31.412793977181359</v>
      </c>
      <c r="BU27" s="4">
        <f>[1]节奏总纲!BU27</f>
        <v>29.964600225621755</v>
      </c>
      <c r="BW27" s="4">
        <f>[1]节奏总纲!BW27</f>
        <v>24</v>
      </c>
      <c r="BX27" s="4">
        <f>[1]节奏总纲!BX27</f>
        <v>18.837411459307198</v>
      </c>
      <c r="BY27" s="4">
        <f>[1]节奏总纲!BY27</f>
        <v>19.299728534552713</v>
      </c>
      <c r="BZ27" s="4">
        <f>[1]节奏总纲!BZ27</f>
        <v>19.843744575465458</v>
      </c>
      <c r="CA27" s="4">
        <f>[1]节奏总纲!CA27</f>
        <v>20.432690473143754</v>
      </c>
      <c r="CB27" s="4">
        <f>[1]节奏总纲!CB27</f>
        <v>21.075914438033141</v>
      </c>
      <c r="CC27" s="4">
        <f>[1]节奏总纲!CC27</f>
        <v>21.075914438033141</v>
      </c>
      <c r="CE27" s="74">
        <f>[1]节奏总纲!CE27</f>
        <v>118</v>
      </c>
      <c r="CF27" s="74">
        <f>[1]节奏总纲!CF27</f>
        <v>65</v>
      </c>
    </row>
    <row r="28" spans="2:84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11">
        <f>[1]节奏总纲!K28</f>
        <v>0.82</v>
      </c>
      <c r="N28" s="50">
        <f>[1]节奏总纲!N28</f>
        <v>35</v>
      </c>
      <c r="O28" s="4">
        <f>[1]节奏总纲!O28</f>
        <v>25</v>
      </c>
      <c r="P28" s="4">
        <f>[1]节奏总纲!P28</f>
        <v>4.6568542494923806</v>
      </c>
      <c r="Q28" s="4">
        <f>[1]节奏总纲!Q28</f>
        <v>4.054257309608067</v>
      </c>
      <c r="R28" s="4">
        <f>[1]节奏总纲!R28</f>
        <v>3.3445527219854276</v>
      </c>
      <c r="S28" s="4">
        <f>[1]节奏总纲!S28</f>
        <v>2.478377831579845</v>
      </c>
      <c r="T28" s="4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f>[1]节奏总纲!AC28</f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f>[1]节奏总纲!AZ28</f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  <c r="BI28" s="4">
        <f>[1]节奏总纲!BI28</f>
        <v>25</v>
      </c>
      <c r="BJ28" s="4">
        <f>[1]节奏总纲!BJ28</f>
        <v>1.6666666666666687</v>
      </c>
      <c r="BK28" s="4">
        <f>[1]节奏总纲!BK28</f>
        <v>1.7000000000000022</v>
      </c>
      <c r="BL28" s="4">
        <f>[1]节奏总纲!BL28</f>
        <v>1.766666666666669</v>
      </c>
      <c r="BM28" s="4">
        <f>[1]节奏总纲!BM28</f>
        <v>1.9000000000000021</v>
      </c>
      <c r="BN28" s="4">
        <f>[1]节奏总纲!BN28</f>
        <v>2.3333333333333361</v>
      </c>
      <c r="BP28" s="4">
        <f>[1]节奏总纲!BP28</f>
        <v>25</v>
      </c>
      <c r="BQ28" s="4">
        <f>[1]节奏总纲!BQ28</f>
        <v>37.433077144085807</v>
      </c>
      <c r="BR28" s="4">
        <f>[1]节奏总纲!BR28</f>
        <v>36.256047084538473</v>
      </c>
      <c r="BS28" s="4">
        <f>[1]节奏总纲!BS28</f>
        <v>34.973799799710449</v>
      </c>
      <c r="BT28" s="4">
        <f>[1]节奏总纲!BT28</f>
        <v>33.570278782515963</v>
      </c>
      <c r="BU28" s="4">
        <f>[1]节奏总纲!BU28</f>
        <v>32.075561469230017</v>
      </c>
      <c r="BW28" s="4">
        <f>[1]节奏总纲!BW28</f>
        <v>25</v>
      </c>
      <c r="BX28" s="4">
        <f>[1]节奏总纲!BX28</f>
        <v>19.305616573096692</v>
      </c>
      <c r="BY28" s="4">
        <f>[1]节奏总纲!BY28</f>
        <v>19.786727569248686</v>
      </c>
      <c r="BZ28" s="4">
        <f>[1]节奏总纲!BZ28</f>
        <v>20.32215968530463</v>
      </c>
      <c r="CA28" s="4">
        <f>[1]节奏总纲!CA28</f>
        <v>20.939833289691578</v>
      </c>
      <c r="CB28" s="4">
        <f>[1]节奏总纲!CB28</f>
        <v>21.544273429748305</v>
      </c>
      <c r="CC28" s="4">
        <f>[1]节奏总纲!CC28</f>
        <v>21.544273429748305</v>
      </c>
      <c r="CE28" s="74">
        <f>[1]节奏总纲!CE28</f>
        <v>123</v>
      </c>
      <c r="CF28" s="74">
        <f>[1]节奏总纲!CF28</f>
        <v>67</v>
      </c>
    </row>
    <row r="29" spans="2:84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11">
        <f>[1]节奏总纲!K29</f>
        <v>0.84</v>
      </c>
      <c r="N29" s="50">
        <f>[1]节奏总纲!N29</f>
        <v>36</v>
      </c>
      <c r="O29" s="4">
        <f>[1]节奏总纲!O29</f>
        <v>26</v>
      </c>
      <c r="P29" s="4">
        <f>[1]节奏总纲!P29</f>
        <v>5.062866266041592</v>
      </c>
      <c r="Q29" s="4">
        <f>[1]节奏总纲!Q29</f>
        <v>4.408743944469018</v>
      </c>
      <c r="R29" s="4">
        <f>[1]节奏总纲!R29</f>
        <v>3.63716312552428</v>
      </c>
      <c r="S29" s="4">
        <f>[1]节奏总纲!S29</f>
        <v>2.6914197070277099</v>
      </c>
      <c r="T29" s="4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f>[1]节奏总纲!AC29</f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f>[1]节奏总纲!AZ29</f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  <c r="BI29" s="4">
        <f>[1]节奏总纲!BI29</f>
        <v>26</v>
      </c>
      <c r="BJ29" s="4">
        <f>[1]节奏总纲!BJ29</f>
        <v>1.7000000000000022</v>
      </c>
      <c r="BK29" s="4">
        <f>[1]节奏总纲!BK29</f>
        <v>1.7340000000000022</v>
      </c>
      <c r="BL29" s="4">
        <f>[1]节奏总纲!BL29</f>
        <v>1.8020000000000025</v>
      </c>
      <c r="BM29" s="4">
        <f>[1]节奏总纲!BM29</f>
        <v>1.9380000000000024</v>
      </c>
      <c r="BN29" s="4">
        <f>[1]节奏总纲!BN29</f>
        <v>2.380000000000003</v>
      </c>
      <c r="BP29" s="4">
        <f>[1]节奏总纲!BP29</f>
        <v>26</v>
      </c>
      <c r="BQ29" s="4">
        <f>[1]节奏总纲!BQ29</f>
        <v>39.683540456879165</v>
      </c>
      <c r="BR29" s="4">
        <f>[1]节奏总纲!BR29</f>
        <v>38.510750823022413</v>
      </c>
      <c r="BS29" s="4">
        <f>[1]节奏总纲!BS29</f>
        <v>37.198506294230036</v>
      </c>
      <c r="BT29" s="4">
        <f>[1]节奏总纲!BT29</f>
        <v>35.753927091474367</v>
      </c>
      <c r="BU29" s="4">
        <f>[1]节奏总纲!BU29</f>
        <v>34.222396456091865</v>
      </c>
      <c r="BW29" s="4">
        <f>[1]节奏总纲!BW29</f>
        <v>26</v>
      </c>
      <c r="BX29" s="4">
        <f>[1]节奏总纲!BX29</f>
        <v>19.780926419241737</v>
      </c>
      <c r="BY29" s="4">
        <f>[1]节奏总纲!BY29</f>
        <v>20.259244188823619</v>
      </c>
      <c r="BZ29" s="4">
        <f>[1]节奏总纲!BZ29</f>
        <v>20.806693001307259</v>
      </c>
      <c r="CA29" s="4">
        <f>[1]节奏总纲!CA29</f>
        <v>21.398356957135043</v>
      </c>
      <c r="CB29" s="4">
        <f>[1]节奏总纲!CB29</f>
        <v>22.040613536331495</v>
      </c>
      <c r="CC29" s="4">
        <f>[1]节奏总纲!CC29</f>
        <v>22.040613536331495</v>
      </c>
      <c r="CE29" s="74">
        <f>[1]节奏总纲!CE29</f>
        <v>128</v>
      </c>
      <c r="CF29" s="74">
        <f>[1]节奏总纲!CF29</f>
        <v>69</v>
      </c>
    </row>
    <row r="30" spans="2:84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11">
        <f>[1]节奏总纲!K30</f>
        <v>0.86</v>
      </c>
      <c r="N30" s="50">
        <f>[1]节奏总纲!N30</f>
        <v>37</v>
      </c>
      <c r="O30" s="4">
        <f>[1]节奏总纲!O30</f>
        <v>27</v>
      </c>
      <c r="P30" s="4">
        <f>[1]节奏总纲!P30</f>
        <v>5.4980191708498847</v>
      </c>
      <c r="Q30" s="4">
        <f>[1]节奏总纲!Q30</f>
        <v>4.7882248958931646</v>
      </c>
      <c r="R30" s="4">
        <f>[1]节奏总纲!R30</f>
        <v>3.9492271704214725</v>
      </c>
      <c r="S30" s="4">
        <f>[1]节奏总纲!S30</f>
        <v>2.9205477835554587</v>
      </c>
      <c r="T30" s="4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f>[1]节奏总纲!AC30</f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f>[1]节奏总纲!AZ30</f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  <c r="BI30" s="4">
        <f>[1]节奏总纲!BI30</f>
        <v>27</v>
      </c>
      <c r="BJ30" s="4">
        <f>[1]节奏总纲!BJ30</f>
        <v>1.7333333333333356</v>
      </c>
      <c r="BK30" s="4">
        <f>[1]节奏总纲!BK30</f>
        <v>1.7680000000000025</v>
      </c>
      <c r="BL30" s="4">
        <f>[1]节奏总纲!BL30</f>
        <v>1.8373333333333359</v>
      </c>
      <c r="BM30" s="4">
        <f>[1]节奏总纲!BM30</f>
        <v>1.9760000000000024</v>
      </c>
      <c r="BN30" s="4">
        <f>[1]节奏总纲!BN30</f>
        <v>2.4266666666666699</v>
      </c>
      <c r="BP30" s="4">
        <f>[1]节奏总纲!BP30</f>
        <v>27</v>
      </c>
      <c r="BQ30" s="4">
        <f>[1]节奏总纲!BQ30</f>
        <v>41.947199016886806</v>
      </c>
      <c r="BR30" s="4">
        <f>[1]节奏总纲!BR30</f>
        <v>40.787439392565133</v>
      </c>
      <c r="BS30" s="4">
        <f>[1]节奏总纲!BS30</f>
        <v>39.486304880774611</v>
      </c>
      <c r="BT30" s="4">
        <f>[1]节奏总纲!BT30</f>
        <v>38.056251761612167</v>
      </c>
      <c r="BU30" s="4">
        <f>[1]节奏总纲!BU30</f>
        <v>36.474789469426575</v>
      </c>
      <c r="BW30" s="4">
        <f>[1]节奏总纲!BW30</f>
        <v>27</v>
      </c>
      <c r="BX30" s="4">
        <f>[1]节奏总纲!BX30</f>
        <v>20.246416839245761</v>
      </c>
      <c r="BY30" s="4">
        <f>[1]节奏总纲!BY30</f>
        <v>20.730530825071739</v>
      </c>
      <c r="BZ30" s="4">
        <f>[1]节奏总纲!BZ30</f>
        <v>21.274723266233853</v>
      </c>
      <c r="CA30" s="4">
        <f>[1]节奏总纲!CA30</f>
        <v>21.881755925323187</v>
      </c>
      <c r="CB30" s="4">
        <f>[1]节奏总纲!CB30</f>
        <v>22.50487323022379</v>
      </c>
      <c r="CC30" s="4">
        <f>[1]节奏总纲!CC30</f>
        <v>22.50487323022379</v>
      </c>
      <c r="CE30" s="74">
        <f>[1]节奏总纲!CE30</f>
        <v>133</v>
      </c>
      <c r="CF30" s="74">
        <f>[1]节奏总纲!CF30</f>
        <v>72</v>
      </c>
    </row>
    <row r="31" spans="2:84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11">
        <f>[1]节奏总纲!K31</f>
        <v>0.88</v>
      </c>
      <c r="N31" s="50">
        <f>[1]节奏总纲!N31</f>
        <v>38</v>
      </c>
      <c r="O31" s="4">
        <f>[1]节奏总纲!O31</f>
        <v>28</v>
      </c>
      <c r="P31" s="4">
        <f>[1]节奏总纲!P31</f>
        <v>5.9644045063689921</v>
      </c>
      <c r="Q31" s="4">
        <f>[1]节奏总纲!Q31</f>
        <v>5.1914176823435705</v>
      </c>
      <c r="R31" s="4">
        <f>[1]节奏总纲!R31</f>
        <v>4.2752851501652938</v>
      </c>
      <c r="S31" s="4">
        <f>[1]节奏总纲!S31</f>
        <v>3.1653094715300236</v>
      </c>
      <c r="T31" s="4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f>[1]节奏总纲!AC31</f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f>[1]节奏总纲!AZ31</f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  <c r="BI31" s="4">
        <f>[1]节奏总纲!BI31</f>
        <v>28</v>
      </c>
      <c r="BJ31" s="4">
        <f>[1]节奏总纲!BJ31</f>
        <v>1.766666666666669</v>
      </c>
      <c r="BK31" s="4">
        <f>[1]节奏总纲!BK31</f>
        <v>1.8020000000000025</v>
      </c>
      <c r="BL31" s="4">
        <f>[1]节奏总纲!BL31</f>
        <v>1.8726666666666694</v>
      </c>
      <c r="BM31" s="4">
        <f>[1]节奏总纲!BM31</f>
        <v>2.0140000000000025</v>
      </c>
      <c r="BN31" s="4">
        <f>[1]节奏总纲!BN31</f>
        <v>2.4733333333333367</v>
      </c>
      <c r="BP31" s="4">
        <f>[1]节奏总纲!BP31</f>
        <v>28</v>
      </c>
      <c r="BQ31" s="4">
        <f>[1]节奏总纲!BQ31</f>
        <v>44.207309026381338</v>
      </c>
      <c r="BR31" s="4">
        <f>[1]节奏总纲!BR31</f>
        <v>43.001962251090099</v>
      </c>
      <c r="BS31" s="4">
        <f>[1]节奏总纲!BS31</f>
        <v>41.684581461949612</v>
      </c>
      <c r="BT31" s="4">
        <f>[1]节奏总纲!BT31</f>
        <v>40.269613788949812</v>
      </c>
      <c r="BU31" s="4">
        <f>[1]节奏总纲!BU31</f>
        <v>38.716188571600512</v>
      </c>
      <c r="BW31" s="4">
        <f>[1]节奏总纲!BW31</f>
        <v>28</v>
      </c>
      <c r="BX31" s="4">
        <f>[1]节奏总纲!BX31</f>
        <v>20.709789085251497</v>
      </c>
      <c r="BY31" s="4">
        <f>[1]节奏总纲!BY31</f>
        <v>21.196432625118295</v>
      </c>
      <c r="BZ31" s="4">
        <f>[1]节奏总纲!BZ31</f>
        <v>21.73332002826092</v>
      </c>
      <c r="CA31" s="4">
        <f>[1]节奏总纲!CA31</f>
        <v>22.338424098785335</v>
      </c>
      <c r="CB31" s="4">
        <f>[1]节奏总纲!CB31</f>
        <v>23.020448156730307</v>
      </c>
      <c r="CC31" s="4">
        <f>[1]节奏总纲!CC31</f>
        <v>23.020448156730307</v>
      </c>
      <c r="CE31" s="74">
        <f>[1]节奏总纲!CE31</f>
        <v>138</v>
      </c>
      <c r="CF31" s="74">
        <f>[1]节奏总纲!CF31</f>
        <v>74</v>
      </c>
    </row>
    <row r="32" spans="2:84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11">
        <f>[1]节奏总纲!K32</f>
        <v>0.9</v>
      </c>
      <c r="N32" s="50">
        <f>[1]节奏总纲!N32</f>
        <v>39</v>
      </c>
      <c r="O32" s="4">
        <f>[1]节奏总纲!O32</f>
        <v>29</v>
      </c>
      <c r="P32" s="4">
        <f>[1]节奏总纲!P32</f>
        <v>6.4642639322944575</v>
      </c>
      <c r="Q32" s="4">
        <f>[1]节奏总纲!Q32</f>
        <v>5.6323131642081607</v>
      </c>
      <c r="R32" s="4">
        <f>[1]节奏总纲!R32</f>
        <v>4.6510378992858623</v>
      </c>
      <c r="S32" s="4">
        <f>[1]节奏总纲!S32</f>
        <v>3.4532097926316991</v>
      </c>
      <c r="T32" s="4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f>[1]节奏总纲!AC32</f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f>[1]节奏总纲!AZ32</f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  <c r="BI32" s="4">
        <f>[1]节奏总纲!BI32</f>
        <v>29</v>
      </c>
      <c r="BJ32" s="4">
        <f>[1]节奏总纲!BJ32</f>
        <v>1.8000000000000025</v>
      </c>
      <c r="BK32" s="4">
        <f>[1]节奏总纲!BK32</f>
        <v>1.8360000000000025</v>
      </c>
      <c r="BL32" s="4">
        <f>[1]节奏总纲!BL32</f>
        <v>1.9080000000000028</v>
      </c>
      <c r="BM32" s="4">
        <f>[1]节奏总纲!BM32</f>
        <v>2.0520000000000027</v>
      </c>
      <c r="BN32" s="4">
        <f>[1]节奏总纲!BN32</f>
        <v>2.5200000000000031</v>
      </c>
      <c r="BP32" s="4">
        <f>[1]节奏总纲!BP32</f>
        <v>29</v>
      </c>
      <c r="BQ32" s="4">
        <f>[1]节奏总纲!BQ32</f>
        <v>46.472959498348729</v>
      </c>
      <c r="BR32" s="4">
        <f>[1]节奏总纲!BR32</f>
        <v>45.255017621525596</v>
      </c>
      <c r="BS32" s="4">
        <f>[1]节奏总纲!BS32</f>
        <v>43.924726999026539</v>
      </c>
      <c r="BT32" s="4">
        <f>[1]节奏总纲!BT32</f>
        <v>42.440671676816109</v>
      </c>
      <c r="BU32" s="4">
        <f>[1]节奏总纲!BU32</f>
        <v>40.873232138623273</v>
      </c>
      <c r="BW32" s="4">
        <f>[1]节奏总纲!BW32</f>
        <v>29</v>
      </c>
      <c r="BX32" s="4">
        <f>[1]节奏总纲!BX32</f>
        <v>21.175328404170024</v>
      </c>
      <c r="BY32" s="4">
        <f>[1]节奏总纲!BY32</f>
        <v>21.66151840648989</v>
      </c>
      <c r="BZ32" s="4">
        <f>[1]节奏总纲!BZ32</f>
        <v>22.222544796364009</v>
      </c>
      <c r="CA32" s="4">
        <f>[1]节奏总纲!CA32</f>
        <v>22.854718731192797</v>
      </c>
      <c r="CB32" s="4">
        <f>[1]节奏总纲!CB32</f>
        <v>23.517361184365331</v>
      </c>
      <c r="CC32" s="4">
        <f>[1]节奏总纲!CC32</f>
        <v>23.517361184365331</v>
      </c>
      <c r="CE32" s="74">
        <f>[1]节奏总纲!CE32</f>
        <v>143</v>
      </c>
      <c r="CF32" s="74">
        <f>[1]节奏总纲!CF32</f>
        <v>76</v>
      </c>
    </row>
    <row r="33" spans="2:84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11">
        <f>[1]节奏总纲!K33</f>
        <v>0.92</v>
      </c>
      <c r="N33" s="50">
        <f>[1]节奏总纲!N33</f>
        <v>40</v>
      </c>
      <c r="O33" s="4">
        <f>[1]节奏总纲!O33</f>
        <v>30</v>
      </c>
      <c r="P33" s="4">
        <f>[1]节奏总纲!P33</f>
        <v>7</v>
      </c>
      <c r="Q33" s="4">
        <f>[1]节奏总纲!Q33</f>
        <v>6.1025999999999998</v>
      </c>
      <c r="R33" s="4">
        <f>[1]节奏总纲!R33</f>
        <v>5.0421000000000005</v>
      </c>
      <c r="S33" s="4">
        <f>[1]节奏总纲!S33</f>
        <v>3.7428999999999997</v>
      </c>
      <c r="T33" s="4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f>[1]节奏总纲!AC33</f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f>[1]节奏总纲!AZ33</f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  <c r="BI33" s="4">
        <f>[1]节奏总纲!BI33</f>
        <v>30</v>
      </c>
      <c r="BJ33" s="4">
        <f>[1]节奏总纲!BJ33</f>
        <v>1.8333333333333359</v>
      </c>
      <c r="BK33" s="4">
        <f>[1]节奏总纲!BK33</f>
        <v>1.8700000000000028</v>
      </c>
      <c r="BL33" s="4">
        <f>[1]节奏总纲!BL33</f>
        <v>1.9433333333333362</v>
      </c>
      <c r="BM33" s="4">
        <f>[1]节奏总纲!BM33</f>
        <v>2.090000000000003</v>
      </c>
      <c r="BN33" s="4">
        <f>[1]节奏总纲!BN33</f>
        <v>2.56666666666667</v>
      </c>
      <c r="BP33" s="4">
        <f>[1]节奏总纲!BP33</f>
        <v>30</v>
      </c>
      <c r="BQ33" s="4">
        <f>[1]节奏总纲!BQ33</f>
        <v>48.746400836475651</v>
      </c>
      <c r="BR33" s="4">
        <f>[1]节奏总纲!BR33</f>
        <v>47.534861085979394</v>
      </c>
      <c r="BS33" s="4">
        <f>[1]节奏总纲!BS33</f>
        <v>46.203853617695223</v>
      </c>
      <c r="BT33" s="4">
        <f>[1]节奏总纲!BT33</f>
        <v>44.710696649522191</v>
      </c>
      <c r="BU33" s="4">
        <f>[1]节奏总纲!BU33</f>
        <v>43.073827164214144</v>
      </c>
      <c r="BW33" s="4">
        <f>[1]节奏总纲!BW33</f>
        <v>30</v>
      </c>
      <c r="BX33" s="4">
        <f>[1]节奏总纲!BX33</f>
        <v>21.627432338833255</v>
      </c>
      <c r="BY33" s="4">
        <f>[1]节奏总纲!BY33</f>
        <v>22.133969730796721</v>
      </c>
      <c r="BZ33" s="4">
        <f>[1]节奏总纲!BZ33</f>
        <v>22.690075277664143</v>
      </c>
      <c r="CA33" s="4">
        <f>[1]节奏总纲!CA33</f>
        <v>23.318316384114386</v>
      </c>
      <c r="CB33" s="4">
        <f>[1]节奏总纲!CB33</f>
        <v>24.015075841763835</v>
      </c>
      <c r="CC33" s="4">
        <f>[1]节奏总纲!CC33</f>
        <v>24.015075841763835</v>
      </c>
      <c r="CE33" s="74">
        <f>[1]节奏总纲!CE33</f>
        <v>148</v>
      </c>
      <c r="CF33" s="74">
        <f>[1]节奏总纲!CF33</f>
        <v>79</v>
      </c>
    </row>
    <row r="34" spans="2:84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11">
        <f>[1]节奏总纲!K34</f>
        <v>0.94</v>
      </c>
      <c r="N34" s="50">
        <f>[1]节奏总纲!N34</f>
        <v>41</v>
      </c>
      <c r="O34" s="4">
        <f>[1]节奏总纲!O34</f>
        <v>31</v>
      </c>
      <c r="P34" s="4">
        <f>[1]节奏总纲!P34</f>
        <v>7.5741877002903433</v>
      </c>
      <c r="Q34" s="4">
        <f>[1]节奏总纲!Q34</f>
        <v>6.6115084435834408</v>
      </c>
      <c r="R34" s="4">
        <f>[1]节奏总纲!R34</f>
        <v>5.4632615882194253</v>
      </c>
      <c r="S34" s="4">
        <f>[1]节奏总纲!S34</f>
        <v>4.052190419655334</v>
      </c>
      <c r="T34" s="4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f>[1]节奏总纲!AC34</f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f>[1]节奏总纲!AZ34</f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  <c r="BI34" s="4">
        <f>[1]节奏总纲!BI34</f>
        <v>31</v>
      </c>
      <c r="BJ34" s="4">
        <f>[1]节奏总纲!BJ34</f>
        <v>1.8666666666666694</v>
      </c>
      <c r="BK34" s="4">
        <f>[1]节奏总纲!BK34</f>
        <v>1.9040000000000028</v>
      </c>
      <c r="BL34" s="4">
        <f>[1]节奏总纲!BL34</f>
        <v>1.9786666666666697</v>
      </c>
      <c r="BM34" s="4">
        <f>[1]节奏总纲!BM34</f>
        <v>2.1280000000000028</v>
      </c>
      <c r="BN34" s="4">
        <f>[1]节奏总纲!BN34</f>
        <v>2.6133333333333368</v>
      </c>
      <c r="BP34" s="4">
        <f>[1]节奏总纲!BP34</f>
        <v>31</v>
      </c>
      <c r="BQ34" s="4">
        <f>[1]节奏总纲!BQ34</f>
        <v>51.024751728602688</v>
      </c>
      <c r="BR34" s="4">
        <f>[1]节奏总纲!BR34</f>
        <v>49.81327866937707</v>
      </c>
      <c r="BS34" s="4">
        <f>[1]节奏总纲!BS34</f>
        <v>48.49295716189016</v>
      </c>
      <c r="BT34" s="4">
        <f>[1]节奏总纲!BT34</f>
        <v>47.007818211309306</v>
      </c>
      <c r="BU34" s="4">
        <f>[1]节奏总纲!BU34</f>
        <v>45.378719658137989</v>
      </c>
      <c r="BW34" s="4">
        <f>[1]节奏总纲!BW34</f>
        <v>31</v>
      </c>
      <c r="BX34" s="4">
        <f>[1]节奏总纲!BX34</f>
        <v>22.095189537639744</v>
      </c>
      <c r="BY34" s="4">
        <f>[1]节奏总纲!BY34</f>
        <v>22.590285126353667</v>
      </c>
      <c r="BZ34" s="4">
        <f>[1]节奏总纲!BZ34</f>
        <v>23.164669534623123</v>
      </c>
      <c r="CA34" s="4">
        <f>[1]节奏总纲!CA34</f>
        <v>23.790108012583765</v>
      </c>
      <c r="CB34" s="4">
        <f>[1]节奏总纲!CB34</f>
        <v>24.476288482572343</v>
      </c>
      <c r="CC34" s="4">
        <f>[1]节奏总纲!CC34</f>
        <v>24.476288482572343</v>
      </c>
      <c r="CE34" s="74">
        <f>[1]节奏总纲!CE34</f>
        <v>153</v>
      </c>
      <c r="CF34" s="74">
        <f>[1]节奏总纲!CF34</f>
        <v>80</v>
      </c>
    </row>
    <row r="35" spans="2:84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11">
        <f>[1]节奏总纲!K35</f>
        <v>0.96</v>
      </c>
      <c r="N35" s="50">
        <f>[1]节奏总纲!N35</f>
        <v>42</v>
      </c>
      <c r="O35" s="4">
        <f>[1]节奏总纲!O35</f>
        <v>32</v>
      </c>
      <c r="P35" s="4">
        <f>[1]节奏总纲!P35</f>
        <v>8.189586839976279</v>
      </c>
      <c r="Q35" s="4">
        <f>[1]节奏总纲!Q35</f>
        <v>7.1519661873512845</v>
      </c>
      <c r="R35" s="4">
        <f>[1]节奏总纲!R35</f>
        <v>5.906330028990892</v>
      </c>
      <c r="S35" s="4">
        <f>[1]节奏总纲!S35</f>
        <v>4.3855237528072974</v>
      </c>
      <c r="T35" s="4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f>[1]节奏总纲!AC35</f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f>[1]节奏总纲!AZ35</f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  <c r="BI35" s="4">
        <f>[1]节奏总纲!BI35</f>
        <v>32</v>
      </c>
      <c r="BJ35" s="4">
        <f>[1]节奏总纲!BJ35</f>
        <v>1.9000000000000028</v>
      </c>
      <c r="BK35" s="4">
        <f>[1]节奏总纲!BK35</f>
        <v>1.9380000000000028</v>
      </c>
      <c r="BL35" s="4">
        <f>[1]节奏总纲!BL35</f>
        <v>2.0140000000000029</v>
      </c>
      <c r="BM35" s="4">
        <f>[1]节奏总纲!BM35</f>
        <v>2.166000000000003</v>
      </c>
      <c r="BN35" s="4">
        <f>[1]节奏总纲!BN35</f>
        <v>2.6600000000000037</v>
      </c>
      <c r="BP35" s="4">
        <f>[1]节奏总纲!BP35</f>
        <v>32</v>
      </c>
      <c r="BQ35" s="4">
        <f>[1]节奏总纲!BQ35</f>
        <v>53.291472423922521</v>
      </c>
      <c r="BR35" s="4">
        <f>[1]节奏总纲!BR35</f>
        <v>52.125901161769718</v>
      </c>
      <c r="BS35" s="4">
        <f>[1]节奏总纲!BS35</f>
        <v>50.840747976078326</v>
      </c>
      <c r="BT35" s="4">
        <f>[1]节奏总纲!BT35</f>
        <v>49.375604977850649</v>
      </c>
      <c r="BU35" s="4">
        <f>[1]节奏总纲!BU35</f>
        <v>47.775197036238126</v>
      </c>
      <c r="BW35" s="4">
        <f>[1]节奏总纲!BW35</f>
        <v>32</v>
      </c>
      <c r="BX35" s="4">
        <f>[1]节奏总纲!BX35</f>
        <v>22.536630202092223</v>
      </c>
      <c r="BY35" s="4">
        <f>[1]节奏总纲!BY35</f>
        <v>23.063701323157773</v>
      </c>
      <c r="BZ35" s="4">
        <f>[1]节奏总纲!BZ35</f>
        <v>23.615240622314541</v>
      </c>
      <c r="CA35" s="4">
        <f>[1]节奏总纲!CA35</f>
        <v>24.25413190852499</v>
      </c>
      <c r="CB35" s="4">
        <f>[1]节奏总纲!CB35</f>
        <v>24.96122010782668</v>
      </c>
      <c r="CC35" s="4">
        <f>[1]节奏总纲!CC35</f>
        <v>24.96122010782668</v>
      </c>
      <c r="CE35" s="74">
        <f>[1]节奏总纲!CE35</f>
        <v>158</v>
      </c>
      <c r="CF35" s="74">
        <f>[1]节奏总纲!CF35</f>
        <v>80</v>
      </c>
    </row>
    <row r="36" spans="2:84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11">
        <f>[1]节奏总纲!K36</f>
        <v>0.98</v>
      </c>
      <c r="N36" s="50">
        <f>[1]节奏总纲!N36</f>
        <v>43</v>
      </c>
      <c r="O36" s="4">
        <f>[1]节奏总纲!O36</f>
        <v>33</v>
      </c>
      <c r="P36" s="4">
        <f>[1]节奏总纲!P36</f>
        <v>8.8491553067593287</v>
      </c>
      <c r="Q36" s="4">
        <f>[1]节奏总纲!Q36</f>
        <v>7.7120388498407557</v>
      </c>
      <c r="R36" s="4">
        <f>[1]节奏总纲!R36</f>
        <v>6.3696219898053652</v>
      </c>
      <c r="S36" s="4">
        <f>[1]节奏总纲!S36</f>
        <v>4.736067920177593</v>
      </c>
      <c r="T36" s="4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f>[1]节奏总纲!AC36</f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f>[1]节奏总纲!AZ36</f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  <c r="BI36" s="4">
        <f>[1]节奏总纲!BI36</f>
        <v>33</v>
      </c>
      <c r="BJ36" s="4">
        <f>[1]节奏总纲!BJ36</f>
        <v>1.9333333333333362</v>
      </c>
      <c r="BK36" s="4">
        <f>[1]节奏总纲!BK36</f>
        <v>1.9720000000000031</v>
      </c>
      <c r="BL36" s="4">
        <f>[1]节奏总纲!BL36</f>
        <v>2.0493333333333363</v>
      </c>
      <c r="BM36" s="4">
        <f>[1]节奏总纲!BM36</f>
        <v>2.2040000000000033</v>
      </c>
      <c r="BN36" s="4">
        <f>[1]节奏总纲!BN36</f>
        <v>2.7066666666666706</v>
      </c>
      <c r="BP36" s="4">
        <f>[1]节奏总纲!BP36</f>
        <v>33</v>
      </c>
      <c r="BQ36" s="4">
        <f>[1]节奏总纲!BQ36</f>
        <v>55.562784736889313</v>
      </c>
      <c r="BR36" s="4">
        <f>[1]节奏总纲!BR36</f>
        <v>54.355378546520704</v>
      </c>
      <c r="BS36" s="4">
        <f>[1]节奏总纲!BS36</f>
        <v>53.035165520933894</v>
      </c>
      <c r="BT36" s="4">
        <f>[1]节奏总纲!BT36</f>
        <v>51.629711452863589</v>
      </c>
      <c r="BU36" s="4">
        <f>[1]节奏总纲!BU36</f>
        <v>50.042836137195067</v>
      </c>
      <c r="BW36" s="4">
        <f>[1]节奏总纲!BW36</f>
        <v>33</v>
      </c>
      <c r="BX36" s="4">
        <f>[1]节奏总纲!BX36</f>
        <v>23.008297311415273</v>
      </c>
      <c r="BY36" s="4">
        <f>[1]节奏总纲!BY36</f>
        <v>23.490868763053822</v>
      </c>
      <c r="BZ36" s="4">
        <f>[1]节奏总纲!BZ36</f>
        <v>24.073520379044336</v>
      </c>
      <c r="CA36" s="4">
        <f>[1]节奏总纲!CA36</f>
        <v>24.709259009726921</v>
      </c>
      <c r="CB36" s="4">
        <f>[1]节奏总纲!CB36</f>
        <v>25.404062586103631</v>
      </c>
      <c r="CC36" s="4">
        <f>[1]节奏总纲!CC36</f>
        <v>25.404062586103631</v>
      </c>
    </row>
    <row r="37" spans="2:84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11">
        <f>[1]节奏总纲!K37</f>
        <v>1</v>
      </c>
      <c r="N37" s="50">
        <f>[1]节奏总纲!N37</f>
        <v>44</v>
      </c>
      <c r="O37" s="4">
        <f>[1]节奏总纲!O37</f>
        <v>34</v>
      </c>
      <c r="P37" s="4">
        <f>[1]节奏总纲!P37</f>
        <v>9.5560632861831518</v>
      </c>
      <c r="Q37" s="4">
        <f>[1]节奏总纲!Q37</f>
        <v>8.3309759728944712</v>
      </c>
      <c r="R37" s="4">
        <f>[1]节奏总纲!R37</f>
        <v>6.8918328419952886</v>
      </c>
      <c r="S37" s="4">
        <f>[1]节奏总纲!S37</f>
        <v>5.1287391656944967</v>
      </c>
      <c r="T37" s="4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f>[1]节奏总纲!AC37</f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f>[1]节奏总纲!AZ37</f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  <c r="BI37" s="4">
        <f>[1]节奏总纲!BI37</f>
        <v>34</v>
      </c>
      <c r="BJ37" s="4">
        <f>[1]节奏总纲!BJ37</f>
        <v>1.9666666666666697</v>
      </c>
      <c r="BK37" s="4">
        <f>[1]节奏总纲!BK37</f>
        <v>2.0060000000000029</v>
      </c>
      <c r="BL37" s="4">
        <f>[1]节奏总纲!BL37</f>
        <v>2.0846666666666698</v>
      </c>
      <c r="BM37" s="4">
        <f>[1]节奏总纲!BM37</f>
        <v>2.2420000000000031</v>
      </c>
      <c r="BN37" s="4">
        <f>[1]节奏总纲!BN37</f>
        <v>2.7533333333333374</v>
      </c>
      <c r="BP37" s="4">
        <f>[1]节奏总纲!BP37</f>
        <v>34</v>
      </c>
      <c r="BQ37" s="4">
        <f>[1]节奏总纲!BQ37</f>
        <v>57.838035023028112</v>
      </c>
      <c r="BR37" s="4">
        <f>[1]节奏总纲!BR37</f>
        <v>56.663402979853082</v>
      </c>
      <c r="BS37" s="4">
        <f>[1]节奏总纲!BS37</f>
        <v>55.366968636624627</v>
      </c>
      <c r="BT37" s="4">
        <f>[1]节奏总纲!BT37</f>
        <v>53.918275980301416</v>
      </c>
      <c r="BU37" s="4">
        <f>[1]节奏总纲!BU37</f>
        <v>52.327997946582151</v>
      </c>
      <c r="BW37" s="4">
        <f>[1]节奏总纲!BW37</f>
        <v>34</v>
      </c>
      <c r="BX37" s="4">
        <f>[1]节奏总纲!BX37</f>
        <v>23.439624304552691</v>
      </c>
      <c r="BY37" s="4">
        <f>[1]节奏总纲!BY37</f>
        <v>23.962932129146886</v>
      </c>
      <c r="BZ37" s="4">
        <f>[1]节奏总纲!BZ37</f>
        <v>24.525526780322963</v>
      </c>
      <c r="CA37" s="4">
        <f>[1]节奏总纲!CA37</f>
        <v>25.186582215718527</v>
      </c>
      <c r="CB37" s="4">
        <f>[1]节奏总纲!CB37</f>
        <v>25.887144728338249</v>
      </c>
      <c r="CC37" s="4">
        <f>[1]节奏总纲!CC37</f>
        <v>25.887144728338249</v>
      </c>
    </row>
    <row r="38" spans="2:84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11">
        <f>[1]节奏总纲!K38</f>
        <v>1.01</v>
      </c>
      <c r="N38" s="50">
        <f>[1]节奏总纲!N38</f>
        <v>45</v>
      </c>
      <c r="O38" s="4">
        <f>[1]节奏总纲!O38</f>
        <v>35</v>
      </c>
      <c r="P38" s="4">
        <f>[1]节奏总纲!P38</f>
        <v>10.313708498984759</v>
      </c>
      <c r="Q38" s="4">
        <f>[1]节奏总纲!Q38</f>
        <v>9.0048988904635934</v>
      </c>
      <c r="R38" s="4">
        <f>[1]节奏总纲!R38</f>
        <v>7.4547485030661838</v>
      </c>
      <c r="S38" s="4">
        <f>[1]节奏总纲!S38</f>
        <v>5.5405242056546129</v>
      </c>
      <c r="T38" s="4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f>[1]节奏总纲!AC38</f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f>[1]节奏总纲!AZ38</f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  <c r="BI38" s="4">
        <f>[1]节奏总纲!BI38</f>
        <v>35</v>
      </c>
      <c r="BJ38" s="4">
        <f>[1]节奏总纲!BJ38</f>
        <v>2.0000000000000031</v>
      </c>
      <c r="BK38" s="4">
        <f>[1]节奏总纲!BK38</f>
        <v>2.0400000000000031</v>
      </c>
      <c r="BL38" s="4">
        <f>[1]节奏总纲!BL38</f>
        <v>2.1200000000000032</v>
      </c>
      <c r="BM38" s="4">
        <f>[1]节奏总纲!BM38</f>
        <v>2.2800000000000034</v>
      </c>
      <c r="BN38" s="4">
        <f>[1]节奏总纲!BN38</f>
        <v>2.8000000000000043</v>
      </c>
      <c r="BP38" s="4">
        <f>[1]节奏总纲!BP38</f>
        <v>35</v>
      </c>
      <c r="BQ38" s="4">
        <f>[1]节奏总纲!BQ38</f>
        <v>60.108849423225884</v>
      </c>
      <c r="BR38" s="4">
        <f>[1]节奏总纲!BR38</f>
        <v>58.959670032750353</v>
      </c>
      <c r="BS38" s="4">
        <f>[1]节奏总纲!BS38</f>
        <v>57.686819122040689</v>
      </c>
      <c r="BT38" s="4">
        <f>[1]节奏总纲!BT38</f>
        <v>56.279027610646125</v>
      </c>
      <c r="BU38" s="4">
        <f>[1]节奏总纲!BU38</f>
        <v>54.706384157580409</v>
      </c>
      <c r="BW38" s="4">
        <f>[1]节奏总纲!BW38</f>
        <v>35</v>
      </c>
      <c r="BX38" s="4">
        <f>[1]节奏总纲!BX38</f>
        <v>23.901909129472951</v>
      </c>
      <c r="BY38" s="4">
        <f>[1]节奏总纲!BY38</f>
        <v>24.40594174135834</v>
      </c>
      <c r="BZ38" s="4">
        <f>[1]节奏总纲!BZ38</f>
        <v>25.010872039771339</v>
      </c>
      <c r="CA38" s="4">
        <f>[1]节奏总纲!CA38</f>
        <v>25.641910798382057</v>
      </c>
      <c r="CB38" s="4">
        <f>[1]节奏总纲!CB38</f>
        <v>26.336246235371831</v>
      </c>
      <c r="CC38" s="4">
        <f>[1]节奏总纲!CC38</f>
        <v>26.336246235371831</v>
      </c>
    </row>
    <row r="39" spans="2:84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11">
        <f>[1]节奏总纲!K39</f>
        <v>1.02</v>
      </c>
      <c r="N39" s="50">
        <f>[1]节奏总纲!N39</f>
        <v>46</v>
      </c>
      <c r="O39" s="4">
        <f>[1]节奏总纲!O39</f>
        <v>36</v>
      </c>
      <c r="P39" s="4">
        <f>[1]节奏总纲!P39</f>
        <v>11.125732532083184</v>
      </c>
      <c r="Q39" s="4">
        <f>[1]节奏总纲!Q39</f>
        <v>9.7261153795471191</v>
      </c>
      <c r="R39" s="4">
        <f>[1]节奏总纲!R39</f>
        <v>8.0405669009365166</v>
      </c>
      <c r="S39" s="4">
        <f>[1]节奏总纲!S39</f>
        <v>5.9700680767158358</v>
      </c>
      <c r="T39" s="4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f>[1]节奏总纲!AC39</f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f>[1]节奏总纲!AZ39</f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  <c r="BI39" s="4">
        <f>[1]节奏总纲!BI39</f>
        <v>36</v>
      </c>
      <c r="BJ39" s="4">
        <f>[1]节奏总纲!BJ39</f>
        <v>2.0333333333333363</v>
      </c>
      <c r="BK39" s="4">
        <f>[1]节奏总纲!BK39</f>
        <v>2.074000000000003</v>
      </c>
      <c r="BL39" s="4">
        <f>[1]节奏总纲!BL39</f>
        <v>2.1553333333333367</v>
      </c>
      <c r="BM39" s="4">
        <f>[1]节奏总纲!BM39</f>
        <v>2.3180000000000032</v>
      </c>
      <c r="BN39" s="4">
        <f>[1]节奏总纲!BN39</f>
        <v>2.8466666666666707</v>
      </c>
      <c r="BP39" s="4">
        <f>[1]节奏总纲!BP39</f>
        <v>36</v>
      </c>
      <c r="BQ39" s="4">
        <f>[1]节奏总纲!BQ39</f>
        <v>62.233138599165841</v>
      </c>
      <c r="BR39" s="4">
        <f>[1]节奏总纲!BR39</f>
        <v>61.094363540297287</v>
      </c>
      <c r="BS39" s="4">
        <f>[1]节奏总纲!BS39</f>
        <v>59.843011412474425</v>
      </c>
      <c r="BT39" s="4">
        <f>[1]节奏总纲!BT39</f>
        <v>58.455174432146173</v>
      </c>
      <c r="BU39" s="4">
        <f>[1]节奏总纲!BU39</f>
        <v>56.931905949406854</v>
      </c>
      <c r="BW39" s="4">
        <f>[1]节奏总纲!BW39</f>
        <v>36</v>
      </c>
      <c r="BX39" s="4">
        <f>[1]节奏总纲!BX39</f>
        <v>24.338224722802163</v>
      </c>
      <c r="BY39" s="4">
        <f>[1]节奏总纲!BY39</f>
        <v>24.874135482075868</v>
      </c>
      <c r="BZ39" s="4">
        <f>[1]节奏总纲!BZ39</f>
        <v>25.442715250695745</v>
      </c>
      <c r="CA39" s="4">
        <f>[1]节奏总纲!CA39</f>
        <v>26.0995934757591</v>
      </c>
      <c r="CB39" s="4">
        <f>[1]节奏总纲!CB39</f>
        <v>26.766316250847538</v>
      </c>
      <c r="CC39" s="4">
        <f>[1]节奏总纲!CC39</f>
        <v>26.766316250847538</v>
      </c>
    </row>
    <row r="40" spans="2:84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11">
        <f>[1]节奏总纲!K40</f>
        <v>1.03</v>
      </c>
      <c r="N40" s="50">
        <f>[1]节奏总纲!N40</f>
        <v>47</v>
      </c>
      <c r="O40" s="4">
        <f>[1]节奏总纲!O40</f>
        <v>37</v>
      </c>
      <c r="P40" s="4">
        <f>[1]节奏总纲!P40</f>
        <v>11.996038341699768</v>
      </c>
      <c r="Q40" s="4">
        <f>[1]节奏总纲!Q40</f>
        <v>10.483337906811427</v>
      </c>
      <c r="R40" s="4">
        <f>[1]节奏总纲!R40</f>
        <v>8.6671377018780831</v>
      </c>
      <c r="S40" s="4">
        <f>[1]节奏总纲!S40</f>
        <v>6.4166809089752066</v>
      </c>
      <c r="T40" s="4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f>[1]节奏总纲!AC40</f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f>[1]节奏总纲!AZ40</f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  <c r="BI40" s="4">
        <f>[1]节奏总纲!BI40</f>
        <v>37</v>
      </c>
      <c r="BJ40" s="4">
        <f>[1]节奏总纲!BJ40</f>
        <v>2.0666666666666695</v>
      </c>
      <c r="BK40" s="4">
        <f>[1]节奏总纲!BK40</f>
        <v>2.1080000000000028</v>
      </c>
      <c r="BL40" s="4">
        <f>[1]节奏总纲!BL40</f>
        <v>2.1906666666666696</v>
      </c>
      <c r="BM40" s="4">
        <f>[1]节奏总纲!BM40</f>
        <v>2.356000000000003</v>
      </c>
      <c r="BN40" s="4">
        <f>[1]节奏总纲!BN40</f>
        <v>2.8933333333333371</v>
      </c>
      <c r="BP40" s="4">
        <f>[1]节奏总纲!BP40</f>
        <v>37</v>
      </c>
      <c r="BQ40" s="4">
        <f>[1]节奏总纲!BQ40</f>
        <v>64.359497111737156</v>
      </c>
      <c r="BR40" s="4">
        <f>[1]节奏总纲!BR40</f>
        <v>63.209317326948991</v>
      </c>
      <c r="BS40" s="4">
        <f>[1]节奏总纲!BS40</f>
        <v>61.962579408406434</v>
      </c>
      <c r="BT40" s="4">
        <f>[1]节奏总纲!BT40</f>
        <v>60.595449466932955</v>
      </c>
      <c r="BU40" s="4">
        <f>[1]节奏总纲!BU40</f>
        <v>59.095772172790291</v>
      </c>
      <c r="BW40" s="4">
        <f>[1]节奏总纲!BW40</f>
        <v>37</v>
      </c>
      <c r="BX40" s="4">
        <f>[1]节奏总纲!BX40</f>
        <v>24.790207436719726</v>
      </c>
      <c r="BY40" s="4">
        <f>[1]节奏总纲!BY40</f>
        <v>25.311453581089211</v>
      </c>
      <c r="BZ40" s="4">
        <f>[1]节奏总纲!BZ40</f>
        <v>25.904599594946017</v>
      </c>
      <c r="CA40" s="4">
        <f>[1]节奏总纲!CA40</f>
        <v>26.520408035249631</v>
      </c>
      <c r="CB40" s="4">
        <f>[1]节奏总纲!CB40</f>
        <v>27.220389775920598</v>
      </c>
      <c r="CC40" s="4">
        <f>[1]节奏总纲!CC40</f>
        <v>27.220389775920598</v>
      </c>
    </row>
    <row r="41" spans="2:84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11">
        <f>[1]节奏总纲!K41</f>
        <v>1.04</v>
      </c>
      <c r="N41" s="50">
        <f>[1]节奏总纲!N41</f>
        <v>48</v>
      </c>
      <c r="O41" s="4">
        <f>[1]节奏总纲!O41</f>
        <v>38</v>
      </c>
      <c r="P41" s="4">
        <f>[1]节奏总纲!P41</f>
        <v>12.928809012737984</v>
      </c>
      <c r="Q41" s="4">
        <f>[1]节奏总纲!Q41</f>
        <v>11.292021791725356</v>
      </c>
      <c r="R41" s="4">
        <f>[1]节奏总纲!R41</f>
        <v>9.3190855363815395</v>
      </c>
      <c r="S41" s="4">
        <f>[1]节奏总纲!S41</f>
        <v>6.8962267273944402</v>
      </c>
      <c r="T41" s="4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f>[1]节奏总纲!AC41</f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f>[1]节奏总纲!AZ41</f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  <c r="BI41" s="4">
        <f>[1]节奏总纲!BI41</f>
        <v>38</v>
      </c>
      <c r="BJ41" s="4">
        <f>[1]节奏总纲!BJ41</f>
        <v>2.1000000000000028</v>
      </c>
      <c r="BK41" s="4">
        <f>[1]节奏总纲!BK41</f>
        <v>2.142000000000003</v>
      </c>
      <c r="BL41" s="4">
        <f>[1]节奏总纲!BL41</f>
        <v>2.2260000000000031</v>
      </c>
      <c r="BM41" s="4">
        <f>[1]节奏总纲!BM41</f>
        <v>2.3940000000000028</v>
      </c>
      <c r="BN41" s="4">
        <f>[1]节奏总纲!BN41</f>
        <v>2.9400000000000035</v>
      </c>
      <c r="BP41" s="4">
        <f>[1]节奏总纲!BP41</f>
        <v>38</v>
      </c>
      <c r="BQ41" s="4">
        <f>[1]节奏总纲!BQ41</f>
        <v>66.487641207576758</v>
      </c>
      <c r="BR41" s="4">
        <f>[1]节奏总纲!BR41</f>
        <v>65.328126673719694</v>
      </c>
      <c r="BS41" s="4">
        <f>[1]节奏总纲!BS41</f>
        <v>64.062055525287363</v>
      </c>
      <c r="BT41" s="4">
        <f>[1]节奏总纲!BT41</f>
        <v>62.675920173751969</v>
      </c>
      <c r="BU41" s="4">
        <f>[1]节奏总纲!BU41</f>
        <v>61.182714958690575</v>
      </c>
      <c r="BW41" s="4">
        <f>[1]节奏总纲!BW41</f>
        <v>38</v>
      </c>
      <c r="BX41" s="4">
        <f>[1]节奏总纲!BX41</f>
        <v>25.233890826430223</v>
      </c>
      <c r="BY41" s="4">
        <f>[1]节奏总纲!BY41</f>
        <v>25.758552007948477</v>
      </c>
      <c r="BZ41" s="4">
        <f>[1]节奏总纲!BZ41</f>
        <v>26.328232260907932</v>
      </c>
      <c r="CA41" s="4">
        <f>[1]节奏总纲!CA41</f>
        <v>26.972253230365787</v>
      </c>
      <c r="CB41" s="4">
        <f>[1]节奏总纲!CB41</f>
        <v>27.655588848776532</v>
      </c>
      <c r="CC41" s="4">
        <f>[1]节奏总纲!CC41</f>
        <v>27.655588848776532</v>
      </c>
    </row>
    <row r="42" spans="2:84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11">
        <f>[1]节奏总纲!K42</f>
        <v>1.05</v>
      </c>
      <c r="N42" s="50">
        <f>[1]节奏总纲!N42</f>
        <v>49</v>
      </c>
      <c r="O42" s="4">
        <f>[1]节奏总纲!O42</f>
        <v>39</v>
      </c>
      <c r="P42" s="4">
        <f>[1]节奏总纲!P42</f>
        <v>13.928527864588917</v>
      </c>
      <c r="Q42" s="4">
        <f>[1]节奏总纲!Q42</f>
        <v>12.147069150707994</v>
      </c>
      <c r="R42" s="4">
        <f>[1]节奏总纲!R42</f>
        <v>10.016004387425889</v>
      </c>
      <c r="S42" s="4">
        <f>[1]节奏总纲!S42</f>
        <v>7.4197267934665154</v>
      </c>
      <c r="T42" s="4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f>[1]节奏总纲!AC42</f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f>[1]节奏总纲!AZ42</f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  <c r="BI42" s="4">
        <f>[1]节奏总纲!BI42</f>
        <v>39</v>
      </c>
      <c r="BJ42" s="4">
        <f>[1]节奏总纲!BJ42</f>
        <v>2.133333333333336</v>
      </c>
      <c r="BK42" s="4">
        <f>[1]节奏总纲!BK42</f>
        <v>2.1760000000000028</v>
      </c>
      <c r="BL42" s="4">
        <f>[1]节奏总纲!BL42</f>
        <v>2.2613333333333361</v>
      </c>
      <c r="BM42" s="4">
        <f>[1]节奏总纲!BM42</f>
        <v>2.4320000000000026</v>
      </c>
      <c r="BN42" s="4">
        <f>[1]节奏总纲!BN42</f>
        <v>2.9866666666666704</v>
      </c>
      <c r="BP42" s="4">
        <f>[1]节奏总纲!BP42</f>
        <v>39</v>
      </c>
      <c r="BQ42" s="4">
        <f>[1]节奏总纲!BQ42</f>
        <v>68.617325920549462</v>
      </c>
      <c r="BR42" s="4">
        <f>[1]节奏总纲!BR42</f>
        <v>67.444013295864096</v>
      </c>
      <c r="BS42" s="4">
        <f>[1]节奏总纲!BS42</f>
        <v>66.152018816255293</v>
      </c>
      <c r="BT42" s="4">
        <f>[1]节奏总纲!BT42</f>
        <v>64.756218484668864</v>
      </c>
      <c r="BU42" s="4">
        <f>[1]节奏总纲!BU42</f>
        <v>63.227467500622204</v>
      </c>
      <c r="BW42" s="4">
        <f>[1]节奏总纲!BW42</f>
        <v>39</v>
      </c>
      <c r="BX42" s="4">
        <f>[1]节奏总纲!BX42</f>
        <v>25.676063828071452</v>
      </c>
      <c r="BY42" s="4">
        <f>[1]节奏总纲!BY42</f>
        <v>26.19708330565534</v>
      </c>
      <c r="BZ42" s="4">
        <f>[1]节奏总纲!BZ42</f>
        <v>26.766006813599326</v>
      </c>
      <c r="CA42" s="4">
        <f>[1]节奏总纲!CA42</f>
        <v>27.396883495694844</v>
      </c>
      <c r="CB42" s="4">
        <f>[1]节奏总纲!CB42</f>
        <v>28.116418470149469</v>
      </c>
      <c r="CC42" s="4">
        <f>[1]节奏总纲!CC42</f>
        <v>28.116418470149469</v>
      </c>
    </row>
    <row r="43" spans="2:84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11">
        <f>[1]节奏总纲!K43</f>
        <v>1.06</v>
      </c>
      <c r="N43" s="50">
        <f>[1]节奏总纲!N43</f>
        <v>50</v>
      </c>
      <c r="O43" s="4">
        <f>[1]节奏总纲!O43</f>
        <v>40</v>
      </c>
      <c r="P43" s="4">
        <f>[1]节奏总纲!P43</f>
        <v>15</v>
      </c>
      <c r="Q43" s="4">
        <f>[1]节奏总纲!Q43</f>
        <v>13.059000000000001</v>
      </c>
      <c r="R43" s="4">
        <f>[1]节奏总纲!R43</f>
        <v>10.782</v>
      </c>
      <c r="S43" s="4">
        <f>[1]节奏总纲!S43</f>
        <v>8.0009999999999994</v>
      </c>
      <c r="T43" s="4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f>[1]节奏总纲!AC43</f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f>[1]节奏总纲!AZ43</f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  <c r="BI43" s="4">
        <f>[1]节奏总纲!BI43</f>
        <v>40</v>
      </c>
      <c r="BJ43" s="4">
        <f>[1]节奏总纲!BJ43</f>
        <v>2.1666666666666692</v>
      </c>
      <c r="BK43" s="4">
        <f>[1]节奏总纲!BK43</f>
        <v>2.2100000000000026</v>
      </c>
      <c r="BL43" s="4">
        <f>[1]节奏总纲!BL43</f>
        <v>2.2966666666666695</v>
      </c>
      <c r="BM43" s="4">
        <f>[1]节奏总纲!BM43</f>
        <v>2.4700000000000029</v>
      </c>
      <c r="BN43" s="4">
        <f>[1]节奏总纲!BN43</f>
        <v>3.0333333333333368</v>
      </c>
      <c r="BP43" s="4">
        <f>[1]节奏总纲!BP43</f>
        <v>40</v>
      </c>
      <c r="BQ43" s="4">
        <f>[1]节奏总纲!BQ43</f>
        <v>70.748339784677938</v>
      </c>
      <c r="BR43" s="4">
        <f>[1]节奏总纲!BR43</f>
        <v>69.615263433680354</v>
      </c>
      <c r="BS43" s="4">
        <f>[1]节奏总纲!BS43</f>
        <v>68.367495331711169</v>
      </c>
      <c r="BT43" s="4">
        <f>[1]节奏总纲!BT43</f>
        <v>66.978083215330415</v>
      </c>
      <c r="BU43" s="4">
        <f>[1]节奏总纲!BU43</f>
        <v>65.42062527862636</v>
      </c>
      <c r="BW43" s="4">
        <f>[1]节奏总纲!BW43</f>
        <v>40</v>
      </c>
      <c r="BX43" s="4">
        <f>[1]节奏总纲!BX43</f>
        <v>26.127796402772656</v>
      </c>
      <c r="BY43" s="4">
        <f>[1]节奏总纲!BY43</f>
        <v>26.626710211681832</v>
      </c>
      <c r="BZ43" s="4">
        <f>[1]节奏总纲!BZ43</f>
        <v>27.210732057225155</v>
      </c>
      <c r="CA43" s="4">
        <f>[1]节奏总纲!CA43</f>
        <v>27.863833570485102</v>
      </c>
      <c r="CB43" s="4">
        <f>[1]节奏总纲!CB43</f>
        <v>28.568390277483555</v>
      </c>
      <c r="CC43" s="4">
        <f>[1]节奏总纲!CC43</f>
        <v>28.568390277483555</v>
      </c>
    </row>
    <row r="44" spans="2:84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11">
        <f>[1]节奏总纲!K44</f>
        <v>1.07</v>
      </c>
      <c r="N44" s="50">
        <f>[1]节奏总纲!N44</f>
        <v>51</v>
      </c>
      <c r="O44" s="4">
        <f>[1]节奏总纲!O44</f>
        <v>41</v>
      </c>
      <c r="P44" s="4">
        <f>[1]节奏总纲!P44</f>
        <v>16.148375400580683</v>
      </c>
      <c r="Q44" s="4">
        <f>[1]节奏总纲!Q44</f>
        <v>14.065234973905774</v>
      </c>
      <c r="R44" s="4">
        <f>[1]节奏总纲!R44</f>
        <v>11.621985775797917</v>
      </c>
      <c r="S44" s="4">
        <f>[1]节奏总纲!S44</f>
        <v>8.6296918140703163</v>
      </c>
      <c r="T44" s="4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f>[1]节奏总纲!AC44</f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f>[1]节奏总纲!AZ44</f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  <c r="BI44" s="4">
        <f>[1]节奏总纲!BI44</f>
        <v>41</v>
      </c>
      <c r="BJ44" s="4">
        <f>[1]节奏总纲!BJ44</f>
        <v>2.2000000000000024</v>
      </c>
      <c r="BK44" s="4">
        <f>[1]节奏总纲!BK44</f>
        <v>2.2440000000000024</v>
      </c>
      <c r="BL44" s="4">
        <f>[1]节奏总纲!BL44</f>
        <v>2.3320000000000025</v>
      </c>
      <c r="BM44" s="4">
        <f>[1]节奏总纲!BM44</f>
        <v>2.5080000000000027</v>
      </c>
      <c r="BN44" s="4">
        <f>[1]节奏总纲!BN44</f>
        <v>3.0800000000000032</v>
      </c>
      <c r="BP44" s="4">
        <f>[1]节奏总纲!BP44</f>
        <v>41</v>
      </c>
      <c r="BQ44" s="4">
        <f>[1]节奏总纲!BQ44</f>
        <v>72.880500265925534</v>
      </c>
      <c r="BR44" s="4">
        <f>[1]节奏总纲!BR44</f>
        <v>71.728439272842749</v>
      </c>
      <c r="BS44" s="4">
        <f>[1]节奏总纲!BS44</f>
        <v>70.476853761910021</v>
      </c>
      <c r="BT44" s="4">
        <f>[1]节奏总纲!BT44</f>
        <v>69.13548950479607</v>
      </c>
      <c r="BU44" s="4">
        <f>[1]节奏总纲!BU44</f>
        <v>67.614538970700607</v>
      </c>
      <c r="BW44" s="4">
        <f>[1]节奏总纲!BW44</f>
        <v>41</v>
      </c>
      <c r="BX44" s="4">
        <f>[1]节奏总纲!BX44</f>
        <v>26.560612527540403</v>
      </c>
      <c r="BY44" s="4">
        <f>[1]节奏总纲!BY44</f>
        <v>27.085909727083454</v>
      </c>
      <c r="BZ44" s="4">
        <f>[1]节奏总纲!BZ44</f>
        <v>27.660585260415356</v>
      </c>
      <c r="CA44" s="4">
        <f>[1]节奏总纲!CA44</f>
        <v>28.314646355865854</v>
      </c>
      <c r="CB44" s="4">
        <f>[1]节奏总纲!CB44</f>
        <v>29.053470241147885</v>
      </c>
      <c r="CC44" s="4">
        <f>[1]节奏总纲!CC44</f>
        <v>29.053470241147885</v>
      </c>
    </row>
    <row r="45" spans="2:84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11">
        <f>[1]节奏总纲!K45</f>
        <v>1.08</v>
      </c>
      <c r="N45" s="50">
        <f>[1]节奏总纲!N45</f>
        <v>52</v>
      </c>
      <c r="O45" s="4">
        <f>[1]节奏总纲!O45</f>
        <v>42</v>
      </c>
      <c r="P45" s="4">
        <f>[1]节奏总纲!P45</f>
        <v>17.379173679952558</v>
      </c>
      <c r="Q45" s="4">
        <f>[1]节奏总纲!Q45</f>
        <v>15.182446126806555</v>
      </c>
      <c r="R45" s="4">
        <f>[1]节奏总纲!R45</f>
        <v>12.547763396925747</v>
      </c>
      <c r="S45" s="4">
        <f>[1]节奏总纲!S45</f>
        <v>9.3221887619265527</v>
      </c>
      <c r="T45" s="4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f>[1]节奏总纲!AC45</f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f>[1]节奏总纲!AZ45</f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  <c r="BI45" s="4">
        <f>[1]节奏总纲!BI45</f>
        <v>42</v>
      </c>
      <c r="BJ45" s="4">
        <f>[1]节奏总纲!BJ45</f>
        <v>2.2333333333333356</v>
      </c>
      <c r="BK45" s="4">
        <f>[1]节奏总纲!BK45</f>
        <v>2.2780000000000022</v>
      </c>
      <c r="BL45" s="4">
        <f>[1]节奏总纲!BL45</f>
        <v>2.367333333333336</v>
      </c>
      <c r="BM45" s="4">
        <f>[1]节奏总纲!BM45</f>
        <v>2.5460000000000025</v>
      </c>
      <c r="BN45" s="4">
        <f>[1]节奏总纲!BN45</f>
        <v>3.1266666666666696</v>
      </c>
      <c r="BP45" s="4">
        <f>[1]节奏总纲!BP45</f>
        <v>42</v>
      </c>
      <c r="BQ45" s="4">
        <f>[1]节奏总纲!BQ45</f>
        <v>75.012735728019962</v>
      </c>
      <c r="BR45" s="4">
        <f>[1]节奏总纲!BR45</f>
        <v>73.895779769437553</v>
      </c>
      <c r="BS45" s="4">
        <f>[1]节奏总纲!BS45</f>
        <v>72.65984060067882</v>
      </c>
      <c r="BT45" s="4">
        <f>[1]节奏总纲!BT45</f>
        <v>71.293724037797247</v>
      </c>
      <c r="BU45" s="4">
        <f>[1]节奏总纲!BU45</f>
        <v>69.810299559768239</v>
      </c>
      <c r="BW45" s="4">
        <f>[1]节奏总纲!BW45</f>
        <v>42</v>
      </c>
      <c r="BX45" s="4">
        <f>[1]节奏总纲!BX45</f>
        <v>27.020882333389096</v>
      </c>
      <c r="BY45" s="4">
        <f>[1]节奏总纲!BY45</f>
        <v>27.534650375663031</v>
      </c>
      <c r="BZ45" s="4">
        <f>[1]节奏总纲!BZ45</f>
        <v>28.133393592464987</v>
      </c>
      <c r="CA45" s="4">
        <f>[1]节奏总纲!CA45</f>
        <v>28.789161632421735</v>
      </c>
      <c r="CB45" s="4">
        <f>[1]节奏总纲!CB45</f>
        <v>29.507063914299049</v>
      </c>
      <c r="CC45" s="4">
        <f>[1]节奏总纲!CC45</f>
        <v>29.507063914299049</v>
      </c>
    </row>
    <row r="46" spans="2:84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11">
        <f>[1]节奏总纲!K46</f>
        <v>1.0900000000000001</v>
      </c>
      <c r="N46" s="50">
        <f>[1]节奏总纲!N46</f>
        <v>53</v>
      </c>
      <c r="O46" s="4">
        <f>[1]节奏总纲!O46</f>
        <v>43</v>
      </c>
      <c r="P46" s="4">
        <f>[1]节奏总纲!P46</f>
        <v>18.698310613518661</v>
      </c>
      <c r="Q46" s="4">
        <f>[1]节奏总纲!Q46</f>
        <v>16.338583814092605</v>
      </c>
      <c r="R46" s="4">
        <f>[1]节奏总纲!R46</f>
        <v>13.509529418267233</v>
      </c>
      <c r="S46" s="4">
        <f>[1]节奏总纲!S46</f>
        <v>10.020424657784652</v>
      </c>
      <c r="T46" s="4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f>[1]节奏总纲!AC46</f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f>[1]节奏总纲!AZ46</f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  <c r="BI46" s="4">
        <f>[1]节奏总纲!BI46</f>
        <v>43</v>
      </c>
      <c r="BJ46" s="4">
        <f>[1]节奏总纲!BJ46</f>
        <v>2.2666666666666688</v>
      </c>
      <c r="BK46" s="4">
        <f>[1]节奏总纲!BK46</f>
        <v>2.3120000000000021</v>
      </c>
      <c r="BL46" s="4">
        <f>[1]节奏总纲!BL46</f>
        <v>2.4026666666666689</v>
      </c>
      <c r="BM46" s="4">
        <f>[1]节奏总纲!BM46</f>
        <v>2.5840000000000023</v>
      </c>
      <c r="BN46" s="4">
        <f>[1]节奏总纲!BN46</f>
        <v>3.173333333333336</v>
      </c>
      <c r="BP46" s="4">
        <f>[1]节奏总纲!BP46</f>
        <v>43</v>
      </c>
      <c r="BQ46" s="4">
        <f>[1]节奏总纲!BQ46</f>
        <v>77.137764615612369</v>
      </c>
      <c r="BR46" s="4">
        <f>[1]节奏总纲!BR46</f>
        <v>76.018081402346411</v>
      </c>
      <c r="BS46" s="4">
        <f>[1]节奏总纲!BS46</f>
        <v>74.771148405180824</v>
      </c>
      <c r="BT46" s="4">
        <f>[1]节奏总纲!BT46</f>
        <v>73.446658299619131</v>
      </c>
      <c r="BU46" s="4">
        <f>[1]节奏总纲!BU46</f>
        <v>71.964465094771541</v>
      </c>
      <c r="BW46" s="4">
        <f>[1]节奏总纲!BW46</f>
        <v>43</v>
      </c>
      <c r="BX46" s="4">
        <f>[1]节奏总纲!BX46</f>
        <v>27.444759493295177</v>
      </c>
      <c r="BY46" s="4">
        <f>[1]节奏总纲!BY46</f>
        <v>27.999026312380973</v>
      </c>
      <c r="BZ46" s="4">
        <f>[1]节奏总纲!BZ46</f>
        <v>28.572743465906495</v>
      </c>
      <c r="CA46" s="4">
        <f>[1]节奏总纲!CA46</f>
        <v>29.228371965502063</v>
      </c>
      <c r="CB46" s="4">
        <f>[1]节奏总纲!CB46</f>
        <v>29.964225263024609</v>
      </c>
      <c r="CC46" s="4">
        <f>[1]节奏总纲!CC46</f>
        <v>29.964225263024609</v>
      </c>
    </row>
    <row r="47" spans="2:84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11">
        <f>[1]节奏总纲!K47</f>
        <v>1.1000000000000001</v>
      </c>
      <c r="N47" s="50">
        <f>[1]节奏总纲!N47</f>
        <v>54</v>
      </c>
      <c r="O47" s="4">
        <f>[1]节奏总纲!O47</f>
        <v>44</v>
      </c>
      <c r="P47" s="4">
        <f>[1]节奏总纲!P47</f>
        <v>20.112126572366307</v>
      </c>
      <c r="Q47" s="4">
        <f>[1]节奏总纲!Q47</f>
        <v>17.573976198933678</v>
      </c>
      <c r="R47" s="4">
        <f>[1]节奏总纲!R47</f>
        <v>14.520955385248474</v>
      </c>
      <c r="S47" s="4">
        <f>[1]节奏总纲!S47</f>
        <v>10.768032566844921</v>
      </c>
      <c r="T47" s="4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f>[1]节奏总纲!AC47</f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f>[1]节奏总纲!AZ47</f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  <c r="BI47" s="4">
        <f>[1]节奏总纲!BI47</f>
        <v>44</v>
      </c>
      <c r="BJ47" s="4">
        <f>[1]节奏总纲!BJ47</f>
        <v>2.300000000000002</v>
      </c>
      <c r="BK47" s="4">
        <f>[1]节奏总纲!BK47</f>
        <v>2.3460000000000023</v>
      </c>
      <c r="BL47" s="4">
        <f>[1]节奏总纲!BL47</f>
        <v>2.4380000000000024</v>
      </c>
      <c r="BM47" s="4">
        <f>[1]节奏总纲!BM47</f>
        <v>2.6220000000000021</v>
      </c>
      <c r="BN47" s="4">
        <f>[1]节奏总纲!BN47</f>
        <v>3.2200000000000029</v>
      </c>
      <c r="BP47" s="4">
        <f>[1]节奏总纲!BP47</f>
        <v>44</v>
      </c>
      <c r="BQ47" s="4">
        <f>[1]节奏总纲!BQ47</f>
        <v>79.263479982320931</v>
      </c>
      <c r="BR47" s="4">
        <f>[1]节奏总纲!BR47</f>
        <v>78.132225077256265</v>
      </c>
      <c r="BS47" s="4">
        <f>[1]节奏总纲!BS47</f>
        <v>76.889385936298638</v>
      </c>
      <c r="BT47" s="4">
        <f>[1]节奏总纲!BT47</f>
        <v>75.547388626818275</v>
      </c>
      <c r="BU47" s="4">
        <f>[1]节奏总纲!BU47</f>
        <v>74.085064391446963</v>
      </c>
      <c r="BW47" s="4">
        <f>[1]节奏总纲!BW47</f>
        <v>44</v>
      </c>
      <c r="BX47" s="4">
        <f>[1]节奏总纲!BX47</f>
        <v>27.899059784657766</v>
      </c>
      <c r="BY47" s="4">
        <f>[1]节奏总纲!BY47</f>
        <v>28.42242948848067</v>
      </c>
      <c r="BZ47" s="4">
        <f>[1]节奏总纲!BZ47</f>
        <v>29.029679451959648</v>
      </c>
      <c r="CA47" s="4">
        <f>[1]节奏总纲!CA47</f>
        <v>29.665539289707144</v>
      </c>
      <c r="CB47" s="4">
        <f>[1]节奏总纲!CB47</f>
        <v>30.383161594939057</v>
      </c>
      <c r="CC47" s="4">
        <f>[1]节奏总纲!CC47</f>
        <v>30.383161594939057</v>
      </c>
    </row>
    <row r="48" spans="2:84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11">
        <f>[1]节奏总纲!K48</f>
        <v>1.1100000000000001</v>
      </c>
      <c r="N48" s="50">
        <f>[1]节奏总纲!N48</f>
        <v>55</v>
      </c>
      <c r="O48" s="4">
        <f>[1]节奏总纲!O48</f>
        <v>45</v>
      </c>
      <c r="P48" s="4">
        <f>[1]节奏总纲!P48</f>
        <v>21.627416997969519</v>
      </c>
      <c r="Q48" s="4">
        <f>[1]节奏总纲!Q48</f>
        <v>18.900199714525563</v>
      </c>
      <c r="R48" s="4">
        <f>[1]节奏总纲!R48</f>
        <v>15.604181364035009</v>
      </c>
      <c r="S48" s="4">
        <f>[1]节奏总纲!S48</f>
        <v>11.572830835613489</v>
      </c>
      <c r="T48" s="4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f>[1]节奏总纲!AC48</f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f>[1]节奏总纲!AZ48</f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  <c r="BI48" s="4">
        <f>[1]节奏总纲!BI48</f>
        <v>45</v>
      </c>
      <c r="BJ48" s="4">
        <f>[1]节奏总纲!BJ48</f>
        <v>2.3333333333333353</v>
      </c>
      <c r="BK48" s="4">
        <f>[1]节奏总纲!BK48</f>
        <v>2.3800000000000021</v>
      </c>
      <c r="BL48" s="4">
        <f>[1]节奏总纲!BL48</f>
        <v>2.4733333333333354</v>
      </c>
      <c r="BM48" s="4">
        <f>[1]节奏总纲!BM48</f>
        <v>2.6600000000000019</v>
      </c>
      <c r="BN48" s="4">
        <f>[1]节奏总纲!BN48</f>
        <v>3.2666666666666693</v>
      </c>
      <c r="BP48" s="4">
        <f>[1]节奏总纲!BP48</f>
        <v>45</v>
      </c>
      <c r="BQ48" s="4">
        <f>[1]节奏总纲!BQ48</f>
        <v>81.389787349771211</v>
      </c>
      <c r="BR48" s="4">
        <f>[1]节奏总纲!BR48</f>
        <v>80.245839937472738</v>
      </c>
      <c r="BS48" s="4">
        <f>[1]节奏总纲!BS48</f>
        <v>78.990840028799411</v>
      </c>
      <c r="BT48" s="4">
        <f>[1]节奏总纲!BT48</f>
        <v>77.645290038760592</v>
      </c>
      <c r="BU48" s="4">
        <f>[1]节奏总纲!BU48</f>
        <v>76.140895902703022</v>
      </c>
      <c r="BW48" s="4">
        <f>[1]节奏总纲!BW48</f>
        <v>45</v>
      </c>
      <c r="BX48" s="4">
        <f>[1]节奏总纲!BX48</f>
        <v>28.329224478524736</v>
      </c>
      <c r="BY48" s="4">
        <f>[1]节奏总纲!BY48</f>
        <v>28.87680933825774</v>
      </c>
      <c r="BZ48" s="4">
        <f>[1]节奏总纲!BZ48</f>
        <v>29.451960522840583</v>
      </c>
      <c r="CA48" s="4">
        <f>[1]节奏总纲!CA48</f>
        <v>30.116236887917406</v>
      </c>
      <c r="CB48" s="4">
        <f>[1]节奏总纲!CB48</f>
        <v>30.827767428124027</v>
      </c>
      <c r="CC48" s="4">
        <f>[1]节奏总纲!CC48</f>
        <v>30.827767428124027</v>
      </c>
    </row>
    <row r="49" spans="6:81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11">
        <f>[1]节奏总纲!K49</f>
        <v>1.1200000000000001</v>
      </c>
      <c r="N49" s="50">
        <f>[1]节奏总纲!N49</f>
        <v>56</v>
      </c>
      <c r="O49" s="4">
        <f>[1]节奏总纲!O49</f>
        <v>46</v>
      </c>
      <c r="P49" s="4">
        <f>[1]节奏总纲!P49</f>
        <v>23.251465064166357</v>
      </c>
      <c r="Q49" s="4">
        <f>[1]节奏总纲!Q49</f>
        <v>20.310154733549314</v>
      </c>
      <c r="R49" s="4">
        <f>[1]节奏总纲!R49</f>
        <v>16.757330871744692</v>
      </c>
      <c r="S49" s="4">
        <f>[1]节奏总纲!S49</f>
        <v>12.425582930290501</v>
      </c>
      <c r="T49" s="4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f>[1]节奏总纲!AC49</f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f>[1]节奏总纲!AZ49</f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  <c r="BI49" s="4">
        <f>[1]节奏总纲!BI49</f>
        <v>46</v>
      </c>
      <c r="BJ49" s="4">
        <f>[1]节奏总纲!BJ49</f>
        <v>2.3666666666666685</v>
      </c>
      <c r="BK49" s="4">
        <f>[1]节奏总纲!BK49</f>
        <v>2.4140000000000019</v>
      </c>
      <c r="BL49" s="4">
        <f>[1]节奏总纲!BL49</f>
        <v>2.5086666666666688</v>
      </c>
      <c r="BM49" s="4">
        <f>[1]节奏总纲!BM49</f>
        <v>2.6980000000000017</v>
      </c>
      <c r="BN49" s="4">
        <f>[1]节奏总纲!BN49</f>
        <v>3.3133333333333357</v>
      </c>
      <c r="BP49" s="4">
        <f>[1]节奏总纲!BP49</f>
        <v>46</v>
      </c>
      <c r="BQ49" s="4">
        <f>[1]节奏总纲!BQ49</f>
        <v>83.516605196495291</v>
      </c>
      <c r="BR49" s="4">
        <f>[1]节奏总纲!BR49</f>
        <v>82.409830559291493</v>
      </c>
      <c r="BS49" s="4">
        <f>[1]节奏总纲!BS49</f>
        <v>81.207352055772077</v>
      </c>
      <c r="BT49" s="4">
        <f>[1]节奏总纲!BT49</f>
        <v>79.853954326796469</v>
      </c>
      <c r="BU49" s="4">
        <f>[1]节奏总纲!BU49</f>
        <v>78.340013067243973</v>
      </c>
      <c r="BW49" s="4">
        <f>[1]节奏总纲!BW49</f>
        <v>46</v>
      </c>
      <c r="BX49" s="4">
        <f>[1]节奏总纲!BX49</f>
        <v>28.77435892693326</v>
      </c>
      <c r="BY49" s="4">
        <f>[1]节奏总纲!BY49</f>
        <v>29.307110785373723</v>
      </c>
      <c r="BZ49" s="4">
        <f>[1]节奏总纲!BZ49</f>
        <v>29.901500340512762</v>
      </c>
      <c r="CA49" s="4">
        <f>[1]节奏总纲!CA49</f>
        <v>30.541959062513101</v>
      </c>
      <c r="CB49" s="4">
        <f>[1]节奏总纲!CB49</f>
        <v>31.241319778905254</v>
      </c>
      <c r="CC49" s="4">
        <f>[1]节奏总纲!CC49</f>
        <v>31.241319778905254</v>
      </c>
    </row>
    <row r="50" spans="6:81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11">
        <f>[1]节奏总纲!K50</f>
        <v>1.1299999999999999</v>
      </c>
      <c r="N50" s="50">
        <f>[1]节奏总纲!N50</f>
        <v>57</v>
      </c>
      <c r="O50" s="4">
        <f>[1]节奏总纲!O50</f>
        <v>47</v>
      </c>
      <c r="P50" s="4">
        <f>[1]节奏总纲!P50</f>
        <v>24.992076683399535</v>
      </c>
      <c r="Q50" s="4">
        <f>[1]节奏总纲!Q50</f>
        <v>21.823081359944474</v>
      </c>
      <c r="R50" s="4">
        <f>[1]节奏总纲!R50</f>
        <v>17.996794419716004</v>
      </c>
      <c r="S50" s="4">
        <f>[1]节奏总纲!S50</f>
        <v>13.335772118261991</v>
      </c>
      <c r="T50" s="4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f>[1]节奏总纲!AC50</f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f>[1]节奏总纲!AZ50</f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  <c r="BI50" s="4">
        <f>[1]节奏总纲!BI50</f>
        <v>47</v>
      </c>
      <c r="BJ50" s="4">
        <f>[1]节奏总纲!BJ50</f>
        <v>2.4000000000000017</v>
      </c>
      <c r="BK50" s="4">
        <f>[1]节奏总纲!BK50</f>
        <v>2.4480000000000017</v>
      </c>
      <c r="BL50" s="4">
        <f>[1]节奏总纲!BL50</f>
        <v>2.5440000000000018</v>
      </c>
      <c r="BM50" s="4">
        <f>[1]节奏总纲!BM50</f>
        <v>2.7360000000000015</v>
      </c>
      <c r="BN50" s="4">
        <f>[1]节奏总纲!BN50</f>
        <v>3.3600000000000021</v>
      </c>
      <c r="BP50" s="4">
        <f>[1]节奏总纲!BP50</f>
        <v>47</v>
      </c>
      <c r="BQ50" s="4">
        <f>[1]节奏总纲!BQ50</f>
        <v>85.643863186592412</v>
      </c>
      <c r="BR50" s="4">
        <f>[1]节奏总纲!BR50</f>
        <v>84.53544812855209</v>
      </c>
      <c r="BS50" s="4">
        <f>[1]节奏总纲!BS50</f>
        <v>83.32493049129468</v>
      </c>
      <c r="BT50" s="4">
        <f>[1]节奏总纲!BT50</f>
        <v>82.027450452783569</v>
      </c>
      <c r="BU50" s="4">
        <f>[1]节奏总纲!BU50</f>
        <v>80.54663523468885</v>
      </c>
      <c r="BW50" s="4">
        <f>[1]节奏总纲!BW50</f>
        <v>47</v>
      </c>
      <c r="BX50" s="4">
        <f>[1]节奏总纲!BX50</f>
        <v>29.214575269515649</v>
      </c>
      <c r="BY50" s="4">
        <f>[1]节奏总纲!BY50</f>
        <v>29.749456349782722</v>
      </c>
      <c r="BZ50" s="4">
        <f>[1]节奏总纲!BZ50</f>
        <v>30.328427037480733</v>
      </c>
      <c r="CA50" s="4">
        <f>[1]节奏总纲!CA50</f>
        <v>30.996355742175876</v>
      </c>
      <c r="CB50" s="4">
        <f>[1]节奏总纲!CB50</f>
        <v>31.657589077576048</v>
      </c>
      <c r="CC50" s="4">
        <f>[1]节奏总纲!CC50</f>
        <v>31.657589077576048</v>
      </c>
    </row>
    <row r="51" spans="6:81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11">
        <f>[1]节奏总纲!K51</f>
        <v>1.1399999999999999</v>
      </c>
      <c r="N51" s="50">
        <f>[1]节奏总纲!N51</f>
        <v>58</v>
      </c>
      <c r="O51" s="4">
        <f>[1]节奏总纲!O51</f>
        <v>48</v>
      </c>
      <c r="P51" s="4">
        <f>[1]节奏总纲!P51</f>
        <v>26.857618025475972</v>
      </c>
      <c r="Q51" s="4">
        <f>[1]节奏总纲!Q51</f>
        <v>23.425214441820142</v>
      </c>
      <c r="R51" s="4">
        <f>[1]节奏总纲!R51</f>
        <v>19.329427692935056</v>
      </c>
      <c r="S51" s="4">
        <f>[1]节奏总纲!S51</f>
        <v>14.269452456935383</v>
      </c>
      <c r="T51" s="4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f>[1]节奏总纲!AC51</f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f>[1]节奏总纲!AZ51</f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  <c r="BI51" s="4">
        <f>[1]节奏总纲!BI51</f>
        <v>48</v>
      </c>
      <c r="BJ51" s="4">
        <f>[1]节奏总纲!BJ51</f>
        <v>2.4333333333333349</v>
      </c>
      <c r="BK51" s="4">
        <f>[1]节奏总纲!BK51</f>
        <v>2.4820000000000015</v>
      </c>
      <c r="BL51" s="4">
        <f>[1]节奏总纲!BL51</f>
        <v>2.5793333333333353</v>
      </c>
      <c r="BM51" s="4">
        <f>[1]节奏总纲!BM51</f>
        <v>2.7740000000000014</v>
      </c>
      <c r="BN51" s="4">
        <f>[1]节奏总纲!BN51</f>
        <v>3.4066666666666685</v>
      </c>
      <c r="BP51" s="4">
        <f>[1]节奏总纲!BP51</f>
        <v>48</v>
      </c>
      <c r="BQ51" s="4">
        <f>[1]节奏总纲!BQ51</f>
        <v>87.771500639866005</v>
      </c>
      <c r="BR51" s="4">
        <f>[1]节奏总纲!BR51</f>
        <v>86.672065508292405</v>
      </c>
      <c r="BS51" s="4">
        <f>[1]节奏总纲!BS51</f>
        <v>85.481735065071589</v>
      </c>
      <c r="BT51" s="4">
        <f>[1]节奏总纲!BT51</f>
        <v>84.173317183629351</v>
      </c>
      <c r="BU51" s="4">
        <f>[1]节奏总纲!BU51</f>
        <v>82.729418319864251</v>
      </c>
      <c r="BW51" s="4">
        <f>[1]节奏总纲!BW51</f>
        <v>48</v>
      </c>
      <c r="BX51" s="4">
        <f>[1]节奏总纲!BX51</f>
        <v>29.65092898211061</v>
      </c>
      <c r="BY51" s="4">
        <f>[1]节奏总纲!BY51</f>
        <v>30.186017902912305</v>
      </c>
      <c r="BZ51" s="4">
        <f>[1]节奏总纲!BZ51</f>
        <v>30.771956904722533</v>
      </c>
      <c r="CA51" s="4">
        <f>[1]节奏总纲!CA51</f>
        <v>31.395003378607552</v>
      </c>
      <c r="CB51" s="4">
        <f>[1]节奏总纲!CB51</f>
        <v>32.084842711724434</v>
      </c>
      <c r="CC51" s="4">
        <f>[1]节奏总纲!CC51</f>
        <v>32.084842711724434</v>
      </c>
    </row>
    <row r="52" spans="6:81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11">
        <f>[1]节奏总纲!K52</f>
        <v>1.1499999999999999</v>
      </c>
      <c r="N52" s="50">
        <f>[1]节奏总纲!N52</f>
        <v>59</v>
      </c>
      <c r="O52" s="4">
        <f>[1]节奏总纲!O52</f>
        <v>49</v>
      </c>
      <c r="P52" s="4">
        <f>[1]节奏总纲!P52</f>
        <v>28.857055729177837</v>
      </c>
      <c r="Q52" s="4">
        <f>[1]节奏总纲!Q52</f>
        <v>25.166238301415991</v>
      </c>
      <c r="R52" s="4">
        <f>[1]节奏总纲!R52</f>
        <v>20.719366013549685</v>
      </c>
      <c r="S52" s="4">
        <f>[1]节奏总纲!S52</f>
        <v>15.268268186307994</v>
      </c>
      <c r="T52" s="4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f>[1]节奏总纲!AC52</f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f>[1]节奏总纲!AZ52</f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  <c r="BI52" s="4">
        <f>[1]节奏总纲!BI52</f>
        <v>49</v>
      </c>
      <c r="BJ52" s="4">
        <f>[1]节奏总纲!BJ52</f>
        <v>2.4666666666666681</v>
      </c>
      <c r="BK52" s="4">
        <f>[1]节奏总纲!BK52</f>
        <v>2.5160000000000013</v>
      </c>
      <c r="BL52" s="4">
        <f>[1]节奏总纲!BL52</f>
        <v>2.6146666666666682</v>
      </c>
      <c r="BM52" s="4">
        <f>[1]节奏总纲!BM52</f>
        <v>2.8120000000000016</v>
      </c>
      <c r="BN52" s="4">
        <f>[1]节奏总纲!BN52</f>
        <v>3.4533333333333354</v>
      </c>
      <c r="BP52" s="4">
        <f>[1]节奏总纲!BP52</f>
        <v>49</v>
      </c>
      <c r="BQ52" s="4">
        <f>[1]节奏总纲!BQ52</f>
        <v>89.899465210602642</v>
      </c>
      <c r="BR52" s="4">
        <f>[1]节奏总纲!BR52</f>
        <v>88.787413007435532</v>
      </c>
      <c r="BS52" s="4">
        <f>[1]节奏总纲!BS52</f>
        <v>87.591558541772201</v>
      </c>
      <c r="BT52" s="4">
        <f>[1]节奏总纲!BT52</f>
        <v>86.275030259152317</v>
      </c>
      <c r="BU52" s="4">
        <f>[1]节奏总纲!BU52</f>
        <v>84.851224267970963</v>
      </c>
      <c r="BW52" s="4">
        <f>[1]节奏总纲!BW52</f>
        <v>49</v>
      </c>
      <c r="BX52" s="4">
        <f>[1]节奏总纲!BX52</f>
        <v>30.101255625879666</v>
      </c>
      <c r="BY52" s="4">
        <f>[1]节奏总纲!BY52</f>
        <v>30.620606377192669</v>
      </c>
      <c r="BZ52" s="4">
        <f>[1]节奏总纲!BZ52</f>
        <v>31.200336585588083</v>
      </c>
      <c r="CA52" s="4">
        <f>[1]节奏总纲!CA52</f>
        <v>31.820892668144523</v>
      </c>
      <c r="CB52" s="4">
        <f>[1]节奏总纲!CB52</f>
        <v>32.512459036550872</v>
      </c>
      <c r="CC52" s="4">
        <f>[1]节奏总纲!CC52</f>
        <v>32.512459036550872</v>
      </c>
    </row>
    <row r="53" spans="6:81" x14ac:dyDescent="0.15">
      <c r="F53" s="4">
        <f>[1]节奏总纲!F53</f>
        <v>51</v>
      </c>
      <c r="G53" s="4">
        <f>[1]节奏总纲!G53</f>
        <v>33.296750801161366</v>
      </c>
      <c r="I53" s="74">
        <f>[1]节奏总纲!I53</f>
        <v>51</v>
      </c>
      <c r="J53" s="74">
        <f>[1]节奏总纲!J53</f>
        <v>681.65492699983838</v>
      </c>
      <c r="K53" s="11">
        <f>[1]节奏总纲!K53</f>
        <v>1.1599999999999999</v>
      </c>
      <c r="N53" s="50">
        <f>[1]节奏总纲!N53</f>
        <v>60</v>
      </c>
      <c r="O53" s="4">
        <f>[1]节奏总纲!O53</f>
        <v>50</v>
      </c>
      <c r="P53" s="4">
        <f>[1]节奏总纲!P53</f>
        <v>31</v>
      </c>
      <c r="Q53" s="4">
        <f>[1]节奏总纲!Q53</f>
        <v>27.0351</v>
      </c>
      <c r="R53" s="4">
        <f>[1]节奏总纲!R53</f>
        <v>22.205300000000001</v>
      </c>
      <c r="S53" s="4">
        <f>[1]节奏总纲!S53</f>
        <v>16.386599999999998</v>
      </c>
      <c r="T53" s="4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f>[1]节奏总纲!AC53</f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f>[1]节奏总纲!AZ53</f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  <c r="BI53" s="4">
        <f>[1]节奏总纲!BI53</f>
        <v>50</v>
      </c>
      <c r="BJ53" s="4">
        <f>[1]节奏总纲!BJ53</f>
        <v>2.5000000000000013</v>
      </c>
      <c r="BK53" s="4">
        <f>[1]节奏总纲!BK53</f>
        <v>2.5500000000000016</v>
      </c>
      <c r="BL53" s="4">
        <f>[1]节奏总纲!BL53</f>
        <v>2.6500000000000017</v>
      </c>
      <c r="BM53" s="4">
        <f>[1]节奏总纲!BM53</f>
        <v>2.8500000000000014</v>
      </c>
      <c r="BN53" s="4">
        <f>[1]节奏总纲!BN53</f>
        <v>3.5000000000000018</v>
      </c>
      <c r="BP53" s="4">
        <f>[1]节奏总纲!BP53</f>
        <v>50</v>
      </c>
      <c r="BQ53" s="4">
        <f>[1]节奏总纲!BQ53</f>
        <v>92.02585597384136</v>
      </c>
      <c r="BR53" s="4">
        <f>[1]节奏总纲!BR53</f>
        <v>91.028813161489012</v>
      </c>
      <c r="BS53" s="4">
        <f>[1]节奏总纲!BS53</f>
        <v>89.944796604838743</v>
      </c>
      <c r="BT53" s="4">
        <f>[1]节奏总纲!BT53</f>
        <v>88.648964439402022</v>
      </c>
      <c r="BU53" s="4">
        <f>[1]节奏总纲!BU53</f>
        <v>87.254811090446921</v>
      </c>
      <c r="BW53" s="4">
        <f>[1]节奏总纲!BW53</f>
        <v>50</v>
      </c>
      <c r="BX53" s="4">
        <f>[1]节奏总纲!BX53</f>
        <v>30.529187213831889</v>
      </c>
      <c r="BY53" s="4">
        <f>[1]节奏总纲!BY53</f>
        <v>31.07439649010124</v>
      </c>
      <c r="BZ53" s="4">
        <f>[1]节奏总纲!BZ53</f>
        <v>31.622732396398735</v>
      </c>
      <c r="CA53" s="4">
        <f>[1]节奏总纲!CA53</f>
        <v>32.254400792232055</v>
      </c>
      <c r="CB53" s="4">
        <f>[1]节奏总纲!CB53</f>
        <v>32.979479362275733</v>
      </c>
      <c r="CC53" s="4">
        <f>[1]节奏总纲!CC53</f>
        <v>32.979479362275733</v>
      </c>
    </row>
    <row r="54" spans="6:81" x14ac:dyDescent="0.15">
      <c r="F54" s="4">
        <f>[1]节奏总纲!F54</f>
        <v>52</v>
      </c>
      <c r="G54" s="4">
        <f>[1]节奏总纲!G54</f>
        <v>35.758347359905123</v>
      </c>
      <c r="I54" s="74">
        <f>[1]节奏总纲!I54</f>
        <v>52</v>
      </c>
      <c r="J54" s="74">
        <f>[1]节奏总纲!J54</f>
        <v>789.85301886939453</v>
      </c>
      <c r="K54" s="11">
        <f>[1]节奏总纲!K54</f>
        <v>1.17</v>
      </c>
      <c r="N54" s="50">
        <f>[1]节奏总纲!N54</f>
        <v>61</v>
      </c>
      <c r="O54" s="4">
        <f>[1]节奏总纲!O54</f>
        <v>51</v>
      </c>
      <c r="P54" s="4">
        <f>[1]节奏总纲!P54</f>
        <v>33.296750801161366</v>
      </c>
      <c r="Q54" s="4">
        <f>[1]节奏总纲!Q54</f>
        <v>28.928217096048996</v>
      </c>
      <c r="R54" s="4">
        <f>[1]节奏总纲!R54</f>
        <v>23.783869097269566</v>
      </c>
      <c r="S54" s="4">
        <f>[1]节奏总纲!S54</f>
        <v>17.587343773173433</v>
      </c>
      <c r="T54" s="4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f>[1]节奏总纲!AC54</f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74">
        <f>[1]节奏总纲!AL54</f>
        <v>51</v>
      </c>
      <c r="AM54" s="74">
        <f>[1]节奏总纲!AM54</f>
        <v>681.65492699983838</v>
      </c>
      <c r="AN54" s="74">
        <f>[1]节奏总纲!AN54</f>
        <v>545.32394159987075</v>
      </c>
      <c r="AO54" s="74">
        <f>[1]节奏总纲!AO54</f>
        <v>408.99295619990301</v>
      </c>
      <c r="AP54" s="74">
        <f>[1]节奏总纲!AP54</f>
        <v>272.66197079993537</v>
      </c>
      <c r="AQ54" s="74">
        <f>[1]节奏总纲!AQ54</f>
        <v>136.33098539996769</v>
      </c>
      <c r="AS54" s="74">
        <f>[1]节奏总纲!AS54</f>
        <v>51</v>
      </c>
      <c r="AT54" s="74">
        <f>[1]节奏总纲!AT54</f>
        <v>93.429926999838472</v>
      </c>
      <c r="AU54" s="74">
        <f>[1]节奏总纲!AU54</f>
        <v>74.743941599870823</v>
      </c>
      <c r="AV54" s="74">
        <f>[1]节奏总纲!AV54</f>
        <v>56.05795619990306</v>
      </c>
      <c r="AW54" s="74">
        <f>[1]节奏总纲!AW54</f>
        <v>37.371970799935411</v>
      </c>
      <c r="AX54" s="74">
        <f>[1]节奏总纲!AX54</f>
        <v>18.685985399967706</v>
      </c>
      <c r="AZ54" s="4">
        <f>[1]节奏总纲!AZ54</f>
        <v>51</v>
      </c>
      <c r="BA54" s="4">
        <f>[1]节奏总纲!BA54</f>
        <v>33.612495584603778</v>
      </c>
      <c r="BB54" s="4">
        <f>[1]节奏总纲!BB54</f>
        <v>35.024397713965918</v>
      </c>
      <c r="BC54" s="4">
        <f>[1]节奏总纲!BC54</f>
        <v>36.947184852926306</v>
      </c>
      <c r="BD54" s="4">
        <f>[1]节奏总纲!BD54</f>
        <v>39.655541494705105</v>
      </c>
      <c r="BE54" s="4">
        <f>[1]节奏总纲!BE54</f>
        <v>44.326465623783335</v>
      </c>
      <c r="BI54" s="4">
        <f>[1]节奏总纲!BI54</f>
        <v>51</v>
      </c>
      <c r="BJ54" s="4">
        <f>[1]节奏总纲!BJ54</f>
        <v>2.5333333333333345</v>
      </c>
      <c r="BK54" s="4">
        <f>[1]节奏总纲!BK54</f>
        <v>2.5840000000000014</v>
      </c>
      <c r="BL54" s="4">
        <f>[1]节奏总纲!BL54</f>
        <v>2.6853333333333347</v>
      </c>
      <c r="BM54" s="4">
        <f>[1]节奏总纲!BM54</f>
        <v>2.8880000000000012</v>
      </c>
      <c r="BN54" s="4">
        <f>[1]节奏总纲!BN54</f>
        <v>3.5466666666666682</v>
      </c>
      <c r="BP54" s="74">
        <f>[1]节奏总纲!BP54</f>
        <v>51</v>
      </c>
      <c r="BQ54" s="74">
        <f>[1]节奏总纲!BQ54</f>
        <v>94.145740969946885</v>
      </c>
      <c r="BR54" s="74">
        <f>[1]节奏总纲!BR54</f>
        <v>93.183924727109627</v>
      </c>
      <c r="BS54" s="74">
        <f>[1]节奏总纲!BS54</f>
        <v>92.135531632926771</v>
      </c>
      <c r="BT54" s="74">
        <f>[1]节奏总纲!BT54</f>
        <v>91.002520783186228</v>
      </c>
      <c r="BU54" s="74">
        <f>[1]节奏总纲!BU54</f>
        <v>89.726519272163628</v>
      </c>
      <c r="BW54" s="4">
        <f>[1]节奏总纲!BW54</f>
        <v>51</v>
      </c>
      <c r="BX54" s="4">
        <f>[1]节奏总纲!BX54</f>
        <v>30.987832933580094</v>
      </c>
      <c r="BY54" s="4">
        <f>[1]节奏总纲!BY54</f>
        <v>31.478003617690753</v>
      </c>
      <c r="BZ54" s="4">
        <f>[1]节奏总纲!BZ54</f>
        <v>32.061058431778378</v>
      </c>
      <c r="CA54" s="4">
        <f>[1]节奏总纲!CA54</f>
        <v>32.691861136941853</v>
      </c>
      <c r="CB54" s="4">
        <f>[1]节奏总纲!CB54</f>
        <v>33.39192659810282</v>
      </c>
      <c r="CC54" s="4">
        <f>[1]节奏总纲!CC54</f>
        <v>33.39192659810282</v>
      </c>
    </row>
    <row r="55" spans="6:81" x14ac:dyDescent="0.15">
      <c r="F55" s="4">
        <f>[1]节奏总纲!F55</f>
        <v>53</v>
      </c>
      <c r="G55" s="4">
        <f>[1]节奏总纲!G55</f>
        <v>38.396621227037308</v>
      </c>
      <c r="I55" s="74">
        <f>[1]节奏总纲!I55</f>
        <v>53</v>
      </c>
      <c r="J55" s="74">
        <f>[1]节奏总纲!J55</f>
        <v>915.14532082292135</v>
      </c>
      <c r="K55" s="11">
        <f>[1]节奏总纲!K55</f>
        <v>1.18</v>
      </c>
      <c r="N55" s="50">
        <f>[1]节奏总纲!N55</f>
        <v>62</v>
      </c>
      <c r="O55" s="4">
        <f>[1]节奏总纲!O55</f>
        <v>52</v>
      </c>
      <c r="P55" s="4">
        <f>[1]节奏总纲!P55</f>
        <v>35.758347359905123</v>
      </c>
      <c r="Q55" s="4">
        <f>[1]节奏总纲!Q55</f>
        <v>31.081155525229534</v>
      </c>
      <c r="R55" s="4">
        <f>[1]节奏总纲!R55</f>
        <v>25.606552544428059</v>
      </c>
      <c r="S55" s="4">
        <f>[1]节奏总纲!S55</f>
        <v>18.930469092333773</v>
      </c>
      <c r="T55" s="4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f>[1]节奏总纲!AC55</f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74">
        <f>[1]节奏总纲!AL55</f>
        <v>52</v>
      </c>
      <c r="AM55" s="74">
        <f>[1]节奏总纲!AM55</f>
        <v>789.85301886939453</v>
      </c>
      <c r="AN55" s="74">
        <f>[1]节奏总纲!AN55</f>
        <v>631.88241509551563</v>
      </c>
      <c r="AO55" s="74">
        <f>[1]节奏总纲!AO55</f>
        <v>473.91181132163672</v>
      </c>
      <c r="AP55" s="74">
        <f>[1]节奏总纲!AP55</f>
        <v>315.94120754775781</v>
      </c>
      <c r="AQ55" s="74">
        <f>[1]节奏总纲!AQ55</f>
        <v>157.97060377387891</v>
      </c>
      <c r="AS55" s="74">
        <f>[1]节奏总纲!AS55</f>
        <v>52</v>
      </c>
      <c r="AT55" s="74">
        <f>[1]节奏总纲!AT55</f>
        <v>108.19809186955615</v>
      </c>
      <c r="AU55" s="74">
        <f>[1]节奏总纲!AU55</f>
        <v>86.558473495644876</v>
      </c>
      <c r="AV55" s="74">
        <f>[1]节奏总纲!AV55</f>
        <v>64.918855121733714</v>
      </c>
      <c r="AW55" s="74">
        <f>[1]节奏总纲!AW55</f>
        <v>43.279236747822438</v>
      </c>
      <c r="AX55" s="74">
        <f>[1]节奏总纲!AX55</f>
        <v>21.639618373911219</v>
      </c>
      <c r="AZ55" s="4">
        <f>[1]节奏总纲!AZ55</f>
        <v>52</v>
      </c>
      <c r="BA55" s="4">
        <f>[1]节奏总纲!BA55</f>
        <v>33.737057773318043</v>
      </c>
      <c r="BB55" s="4">
        <f>[1]节奏总纲!BB55</f>
        <v>35.146386283795508</v>
      </c>
      <c r="BC55" s="4">
        <f>[1]节奏总纲!BC55</f>
        <v>37.075448197698059</v>
      </c>
      <c r="BD55" s="4">
        <f>[1]节奏总纲!BD55</f>
        <v>39.790623261487418</v>
      </c>
      <c r="BE55" s="4">
        <f>[1]节奏总纲!BE55</f>
        <v>44.455742855302844</v>
      </c>
      <c r="BI55" s="4">
        <f>[1]节奏总纲!BI55</f>
        <v>52</v>
      </c>
      <c r="BJ55" s="4">
        <f>[1]节奏总纲!BJ55</f>
        <v>2.5666666666666678</v>
      </c>
      <c r="BK55" s="4">
        <f>[1]节奏总纲!BK55</f>
        <v>2.6180000000000012</v>
      </c>
      <c r="BL55" s="4">
        <f>[1]节奏总纲!BL55</f>
        <v>2.7206666666666681</v>
      </c>
      <c r="BM55" s="4">
        <f>[1]节奏总纲!BM55</f>
        <v>2.926000000000001</v>
      </c>
      <c r="BN55" s="4">
        <f>[1]节奏总纲!BN55</f>
        <v>3.5933333333333346</v>
      </c>
      <c r="BP55" s="74">
        <f>[1]节奏总纲!BP55</f>
        <v>52</v>
      </c>
      <c r="BQ55" s="74">
        <f>[1]节奏总纲!BQ55</f>
        <v>96.265821375882837</v>
      </c>
      <c r="BR55" s="74">
        <f>[1]节奏总纲!BR55</f>
        <v>95.320056465518832</v>
      </c>
      <c r="BS55" s="74">
        <f>[1]节奏总纲!BS55</f>
        <v>94.309081972684396</v>
      </c>
      <c r="BT55" s="74">
        <f>[1]节奏总纲!BT55</f>
        <v>93.208444061349098</v>
      </c>
      <c r="BU55" s="74">
        <f>[1]节奏总纲!BU55</f>
        <v>92.03038330510195</v>
      </c>
      <c r="BW55" s="4">
        <f>[1]节奏总纲!BW55</f>
        <v>52</v>
      </c>
      <c r="BX55" s="4">
        <f>[1]节奏总纲!BX55</f>
        <v>31.409452382022582</v>
      </c>
      <c r="BY55" s="4">
        <f>[1]节奏总纲!BY55</f>
        <v>31.937003907261929</v>
      </c>
      <c r="BZ55" s="4">
        <f>[1]节奏总纲!BZ55</f>
        <v>32.503757225034654</v>
      </c>
      <c r="CA55" s="4">
        <f>[1]节奏总纲!CA55</f>
        <v>33.154875618998368</v>
      </c>
      <c r="CB55" s="4">
        <f>[1]节奏总纲!CB55</f>
        <v>33.843039941845369</v>
      </c>
      <c r="CC55" s="4">
        <f>[1]节奏总纲!CC55</f>
        <v>33.843039941845369</v>
      </c>
    </row>
    <row r="56" spans="6:81" x14ac:dyDescent="0.15">
      <c r="F56" s="4">
        <f>[1]节奏总纲!F56</f>
        <v>54</v>
      </c>
      <c r="G56" s="4">
        <f>[1]节奏总纲!G56</f>
        <v>41.224253144732614</v>
      </c>
      <c r="I56" s="74">
        <f>[1]节奏总纲!I56</f>
        <v>54</v>
      </c>
      <c r="J56" s="74">
        <f>[1]节奏总纲!J56</f>
        <v>1060.2230944101252</v>
      </c>
      <c r="K56" s="11">
        <f>[1]节奏总纲!K56</f>
        <v>1.19</v>
      </c>
      <c r="N56" s="50">
        <f>[1]节奏总纲!N56</f>
        <v>63</v>
      </c>
      <c r="O56" s="4">
        <f>[1]节奏总纲!O56</f>
        <v>53</v>
      </c>
      <c r="P56" s="4">
        <f>[1]节奏总纲!P56</f>
        <v>38.396621227037308</v>
      </c>
      <c r="Q56" s="4">
        <f>[1]节奏总纲!Q56</f>
        <v>33.42809844025868</v>
      </c>
      <c r="R56" s="4">
        <f>[1]节奏总纲!R56</f>
        <v>27.5802930273809</v>
      </c>
      <c r="S56" s="4">
        <f>[1]节奏总纲!S56</f>
        <v>20.319491953348145</v>
      </c>
      <c r="T56" s="4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f>[1]节奏总纲!AC56</f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74">
        <f>[1]节奏总纲!AL56</f>
        <v>53</v>
      </c>
      <c r="AM56" s="74">
        <f>[1]节奏总纲!AM56</f>
        <v>915.14532082292135</v>
      </c>
      <c r="AN56" s="74">
        <f>[1]节奏总纲!AN56</f>
        <v>732.11625665833708</v>
      </c>
      <c r="AO56" s="74">
        <f>[1]节奏总纲!AO56</f>
        <v>549.08719249375281</v>
      </c>
      <c r="AP56" s="74">
        <f>[1]节奏总纲!AP56</f>
        <v>366.05812832916854</v>
      </c>
      <c r="AQ56" s="74">
        <f>[1]节奏总纲!AQ56</f>
        <v>183.02906416458427</v>
      </c>
      <c r="AS56" s="74">
        <f>[1]节奏总纲!AS56</f>
        <v>53</v>
      </c>
      <c r="AT56" s="74">
        <f>[1]节奏总纲!AT56</f>
        <v>125.29230195352682</v>
      </c>
      <c r="AU56" s="74">
        <f>[1]节奏总纲!AU56</f>
        <v>100.23384156282145</v>
      </c>
      <c r="AV56" s="74">
        <f>[1]节奏总纲!AV56</f>
        <v>75.17538117211609</v>
      </c>
      <c r="AW56" s="74">
        <f>[1]节奏总纲!AW56</f>
        <v>50.116920781410727</v>
      </c>
      <c r="AX56" s="74">
        <f>[1]节奏总纲!AX56</f>
        <v>25.058460390705363</v>
      </c>
      <c r="AZ56" s="4">
        <f>[1]节奏总纲!AZ56</f>
        <v>53</v>
      </c>
      <c r="BA56" s="4">
        <f>[1]节奏总纲!BA56</f>
        <v>33.861619962032307</v>
      </c>
      <c r="BB56" s="4">
        <f>[1]节奏总纲!BB56</f>
        <v>35.268374853625097</v>
      </c>
      <c r="BC56" s="4">
        <f>[1]节奏总纲!BC56</f>
        <v>37.196452985793947</v>
      </c>
      <c r="BD56" s="4">
        <f>[1]节奏总纲!BD56</f>
        <v>39.925705028269732</v>
      </c>
      <c r="BE56" s="4">
        <f>[1]节奏总纲!BE56</f>
        <v>44.585020086822361</v>
      </c>
      <c r="BI56" s="4">
        <f>[1]节奏总纲!BI56</f>
        <v>53</v>
      </c>
      <c r="BJ56" s="4">
        <f>[1]节奏总纲!BJ56</f>
        <v>2.600000000000001</v>
      </c>
      <c r="BK56" s="4">
        <f>[1]节奏总纲!BK56</f>
        <v>2.652000000000001</v>
      </c>
      <c r="BL56" s="4">
        <f>[1]节奏总纲!BL56</f>
        <v>2.7560000000000011</v>
      </c>
      <c r="BM56" s="4">
        <f>[1]节奏总纲!BM56</f>
        <v>2.9640000000000009</v>
      </c>
      <c r="BN56" s="4">
        <f>[1]节奏总纲!BN56</f>
        <v>3.640000000000001</v>
      </c>
      <c r="BP56" s="74">
        <f>[1]节奏总纲!BP56</f>
        <v>53</v>
      </c>
      <c r="BQ56" s="74">
        <f>[1]节奏总纲!BQ56</f>
        <v>98.386070168033314</v>
      </c>
      <c r="BR56" s="74">
        <f>[1]节奏总纲!BR56</f>
        <v>97.463615621461287</v>
      </c>
      <c r="BS56" s="74">
        <f>[1]节奏总纲!BS56</f>
        <v>96.485848981556117</v>
      </c>
      <c r="BT56" s="74">
        <f>[1]节奏总纲!BT56</f>
        <v>95.421390644954613</v>
      </c>
      <c r="BU56" s="74">
        <f>[1]节奏总纲!BU56</f>
        <v>94.2564978309629</v>
      </c>
      <c r="BW56" s="4">
        <f>[1]节奏总纲!BW56</f>
        <v>53</v>
      </c>
      <c r="BX56" s="4">
        <f>[1]节奏总纲!BX56</f>
        <v>31.859430310817384</v>
      </c>
      <c r="BY56" s="4">
        <f>[1]节奏总纲!BY56</f>
        <v>32.373698557428163</v>
      </c>
      <c r="BZ56" s="4">
        <f>[1]节奏总纲!BZ56</f>
        <v>32.983145201793022</v>
      </c>
      <c r="CA56" s="4">
        <f>[1]节奏总纲!CA56</f>
        <v>33.587424938353614</v>
      </c>
      <c r="CB56" s="4">
        <f>[1]节奏总纲!CB56</f>
        <v>34.274966559784382</v>
      </c>
      <c r="CC56" s="4">
        <f>[1]节奏总纲!CC56</f>
        <v>34.274966559784382</v>
      </c>
    </row>
    <row r="57" spans="6:81" x14ac:dyDescent="0.15">
      <c r="F57" s="4">
        <f>[1]节奏总纲!F57</f>
        <v>55</v>
      </c>
      <c r="G57" s="4">
        <f>[1]节奏总纲!G57</f>
        <v>44.254833995939045</v>
      </c>
      <c r="I57" s="74">
        <f>[1]节奏总纲!I57</f>
        <v>55</v>
      </c>
      <c r="J57" s="74">
        <f>[1]节奏总纲!J57</f>
        <v>1228.2</v>
      </c>
      <c r="K57" s="11">
        <f>[1]节奏总纲!K57</f>
        <v>1.2</v>
      </c>
      <c r="N57" s="50">
        <f>[1]节奏总纲!N57</f>
        <v>64</v>
      </c>
      <c r="O57" s="4">
        <f>[1]节奏总纲!O57</f>
        <v>54</v>
      </c>
      <c r="P57" s="4">
        <f>[1]节奏总纲!P57</f>
        <v>41.224253144732614</v>
      </c>
      <c r="Q57" s="4">
        <f>[1]节奏总纲!Q57</f>
        <v>35.947548742206841</v>
      </c>
      <c r="R57" s="4">
        <f>[1]节奏总纲!R57</f>
        <v>29.553667079458812</v>
      </c>
      <c r="S57" s="4">
        <f>[1]节奏总纲!S57</f>
        <v>21.762283235104348</v>
      </c>
      <c r="T57" s="4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f>[1]节奏总纲!AC57</f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74">
        <f>[1]节奏总纲!AL57</f>
        <v>54</v>
      </c>
      <c r="AM57" s="74">
        <f>[1]节奏总纲!AM57</f>
        <v>1060.2230944101252</v>
      </c>
      <c r="AN57" s="74">
        <f>[1]节奏总纲!AN57</f>
        <v>848.17847552810019</v>
      </c>
      <c r="AO57" s="74">
        <f>[1]节奏总纲!AO57</f>
        <v>636.13385664607506</v>
      </c>
      <c r="AP57" s="74">
        <f>[1]节奏总纲!AP57</f>
        <v>424.0892377640501</v>
      </c>
      <c r="AQ57" s="74">
        <f>[1]节奏总纲!AQ57</f>
        <v>212.04461888202505</v>
      </c>
      <c r="AS57" s="74">
        <f>[1]节奏总纲!AS57</f>
        <v>54</v>
      </c>
      <c r="AT57" s="74">
        <f>[1]节奏总纲!AT57</f>
        <v>145.07777358720386</v>
      </c>
      <c r="AU57" s="74">
        <f>[1]节奏总纲!AU57</f>
        <v>116.06221886976311</v>
      </c>
      <c r="AV57" s="74">
        <f>[1]节奏总纲!AV57</f>
        <v>87.046664152322251</v>
      </c>
      <c r="AW57" s="74">
        <f>[1]节奏总纲!AW57</f>
        <v>58.031109434881557</v>
      </c>
      <c r="AX57" s="74">
        <f>[1]节奏总纲!AX57</f>
        <v>29.015554717440779</v>
      </c>
      <c r="AZ57" s="4">
        <f>[1]节奏总纲!AZ57</f>
        <v>54</v>
      </c>
      <c r="BA57" s="4">
        <f>[1]节奏总纲!BA57</f>
        <v>33.986182150746572</v>
      </c>
      <c r="BB57" s="4">
        <f>[1]节奏总纲!BB57</f>
        <v>35.390363423454687</v>
      </c>
      <c r="BC57" s="4">
        <f>[1]节奏总纲!BC57</f>
        <v>37.317457773889828</v>
      </c>
      <c r="BD57" s="4">
        <f>[1]节奏总纲!BD57</f>
        <v>40.052446592012309</v>
      </c>
      <c r="BE57" s="4">
        <f>[1]节奏总纲!BE57</f>
        <v>44.71429731834187</v>
      </c>
      <c r="BI57" s="4">
        <f>[1]节奏总纲!BI57</f>
        <v>54</v>
      </c>
      <c r="BJ57" s="4">
        <f>[1]节奏总纲!BJ57</f>
        <v>2.6333333333333342</v>
      </c>
      <c r="BK57" s="4">
        <f>[1]节奏总纲!BK57</f>
        <v>2.6860000000000008</v>
      </c>
      <c r="BL57" s="4">
        <f>[1]节奏总纲!BL57</f>
        <v>2.7913333333333346</v>
      </c>
      <c r="BM57" s="4">
        <f>[1]节奏总纲!BM57</f>
        <v>3.0020000000000007</v>
      </c>
      <c r="BN57" s="4">
        <f>[1]节奏总纲!BN57</f>
        <v>3.6866666666666674</v>
      </c>
      <c r="BP57" s="74">
        <f>[1]节奏总纲!BP57</f>
        <v>54</v>
      </c>
      <c r="BQ57" s="74">
        <f>[1]节奏总纲!BQ57</f>
        <v>100.5064640446531</v>
      </c>
      <c r="BR57" s="74">
        <f>[1]节奏总纲!BR57</f>
        <v>99.5379191894814</v>
      </c>
      <c r="BS57" s="74">
        <f>[1]节奏总纲!BS57</f>
        <v>98.506974116675693</v>
      </c>
      <c r="BT57" s="74">
        <f>[1]节奏总纲!BT57</f>
        <v>97.444645169634811</v>
      </c>
      <c r="BU57" s="74">
        <f>[1]节奏总纲!BU57</f>
        <v>96.315276464549527</v>
      </c>
      <c r="BW57" s="4">
        <f>[1]节奏总纲!BW57</f>
        <v>54</v>
      </c>
      <c r="BX57" s="4">
        <f>[1]节奏总纲!BX57</f>
        <v>32.291963103880526</v>
      </c>
      <c r="BY57" s="4">
        <f>[1]节奏总纲!BY57</f>
        <v>32.832647261636957</v>
      </c>
      <c r="BZ57" s="4">
        <f>[1]节奏总纲!BZ57</f>
        <v>33.39527305342645</v>
      </c>
      <c r="CA57" s="4">
        <f>[1]节奏总纲!CA57</f>
        <v>34.031395739895665</v>
      </c>
      <c r="CB57" s="4">
        <f>[1]节奏总纲!CB57</f>
        <v>34.686702458597871</v>
      </c>
      <c r="CC57" s="4">
        <f>[1]节奏总纲!CC57</f>
        <v>34.686702458597871</v>
      </c>
    </row>
    <row r="58" spans="6:81" x14ac:dyDescent="0.15">
      <c r="F58" s="4">
        <f>[1]节奏总纲!F58</f>
        <v>56</v>
      </c>
      <c r="G58" s="4">
        <f>[1]节奏总纲!G58</f>
        <v>47.502930128332721</v>
      </c>
      <c r="I58" s="74">
        <f>[1]节奏总纲!I58</f>
        <v>56</v>
      </c>
      <c r="J58" s="74">
        <f>[1]节奏总纲!J58</f>
        <v>1422.6782097755249</v>
      </c>
      <c r="K58" s="11">
        <f>[1]节奏总纲!K58</f>
        <v>1.21</v>
      </c>
      <c r="N58" s="50">
        <f>[1]节奏总纲!N58</f>
        <v>65</v>
      </c>
      <c r="O58" s="4">
        <f>[1]节奏总纲!O58</f>
        <v>55</v>
      </c>
      <c r="P58" s="4">
        <f>[1]节奏总纲!P58</f>
        <v>44.254833995939045</v>
      </c>
      <c r="Q58" s="4">
        <f>[1]节奏总纲!Q58</f>
        <v>38.53268396026413</v>
      </c>
      <c r="R58" s="4">
        <f>[1]节奏总纲!R58</f>
        <v>31.642206307096416</v>
      </c>
      <c r="S58" s="4">
        <f>[1]节奏总纲!S58</f>
        <v>23.282468165263531</v>
      </c>
      <c r="T58" s="4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f>[1]节奏总纲!AC58</f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74">
        <f>[1]节奏总纲!AL58</f>
        <v>55</v>
      </c>
      <c r="AM58" s="74">
        <f>[1]节奏总纲!AM58</f>
        <v>1228.2</v>
      </c>
      <c r="AN58" s="74">
        <f>[1]节奏总纲!AN58</f>
        <v>982.56000000000006</v>
      </c>
      <c r="AO58" s="74">
        <f>[1]节奏总纲!AO58</f>
        <v>736.92</v>
      </c>
      <c r="AP58" s="74">
        <f>[1]节奏总纲!AP58</f>
        <v>491.28000000000003</v>
      </c>
      <c r="AQ58" s="74">
        <f>[1]节奏总纲!AQ58</f>
        <v>245.64000000000001</v>
      </c>
      <c r="AS58" s="74">
        <f>[1]节奏总纲!AS58</f>
        <v>55</v>
      </c>
      <c r="AT58" s="74">
        <f>[1]节奏总纲!AT58</f>
        <v>167.97690558987483</v>
      </c>
      <c r="AU58" s="74">
        <f>[1]节奏总纲!AU58</f>
        <v>134.38152447189987</v>
      </c>
      <c r="AV58" s="74">
        <f>[1]节奏总纲!AV58</f>
        <v>100.7861433539249</v>
      </c>
      <c r="AW58" s="74">
        <f>[1]节奏总纲!AW58</f>
        <v>67.190762235949933</v>
      </c>
      <c r="AX58" s="74">
        <f>[1]节奏总纲!AX58</f>
        <v>33.595381117974966</v>
      </c>
      <c r="AZ58" s="4">
        <f>[1]节奏总纲!AZ58</f>
        <v>55</v>
      </c>
      <c r="BA58" s="4">
        <f>[1]节奏总纲!BA58</f>
        <v>34.09469189131628</v>
      </c>
      <c r="BB58" s="4">
        <f>[1]节奏总纲!BB58</f>
        <v>35.512351993284277</v>
      </c>
      <c r="BC58" s="4">
        <f>[1]节奏总纲!BC58</f>
        <v>37.438462561985709</v>
      </c>
      <c r="BD58" s="4">
        <f>[1]节奏总纲!BD58</f>
        <v>40.168994574261895</v>
      </c>
      <c r="BE58" s="4">
        <f>[1]节奏总纲!BE58</f>
        <v>44.843574549861387</v>
      </c>
      <c r="BI58" s="4">
        <f>[1]节奏总纲!BI58</f>
        <v>55</v>
      </c>
      <c r="BJ58" s="4">
        <f>[1]节奏总纲!BJ58</f>
        <v>2.6666666666666674</v>
      </c>
      <c r="BK58" s="4">
        <f>[1]节奏总纲!BK58</f>
        <v>2.7200000000000006</v>
      </c>
      <c r="BL58" s="4">
        <f>[1]节奏总纲!BL58</f>
        <v>2.8266666666666675</v>
      </c>
      <c r="BM58" s="4">
        <f>[1]节奏总纲!BM58</f>
        <v>3.0400000000000005</v>
      </c>
      <c r="BN58" s="4">
        <f>[1]节奏总纲!BN58</f>
        <v>3.7333333333333343</v>
      </c>
      <c r="BP58" s="74">
        <f>[1]节奏总纲!BP58</f>
        <v>55</v>
      </c>
      <c r="BQ58" s="74">
        <f>[1]节奏总纲!BQ58</f>
        <v>102.62698291511826</v>
      </c>
      <c r="BR58" s="74">
        <f>[1]节奏总纲!BR58</f>
        <v>101.66666489356477</v>
      </c>
      <c r="BS58" s="74">
        <f>[1]节奏总纲!BS58</f>
        <v>100.60993958592766</v>
      </c>
      <c r="BT58" s="74">
        <f>[1]节奏总纲!BT58</f>
        <v>99.483765111599226</v>
      </c>
      <c r="BU58" s="74">
        <f>[1]节奏总纲!BU58</f>
        <v>98.289119177560053</v>
      </c>
      <c r="BW58" s="4">
        <f>[1]节奏总纲!BW58</f>
        <v>55</v>
      </c>
      <c r="BX58" s="4">
        <f>[1]节奏总纲!BX58</f>
        <v>32.733609014843147</v>
      </c>
      <c r="BY58" s="4">
        <f>[1]节奏总纲!BY58</f>
        <v>33.259468274083204</v>
      </c>
      <c r="BZ58" s="4">
        <f>[1]节奏总纲!BZ58</f>
        <v>33.828861415776679</v>
      </c>
      <c r="CA58" s="4">
        <f>[1]节奏总纲!CA58</f>
        <v>34.436170958710932</v>
      </c>
      <c r="CB58" s="4">
        <f>[1]节奏总纲!CB58</f>
        <v>35.119323824093144</v>
      </c>
      <c r="CC58" s="4">
        <f>[1]节奏总纲!CC58</f>
        <v>35.119323824093144</v>
      </c>
    </row>
    <row r="59" spans="6:81" x14ac:dyDescent="0.15">
      <c r="F59" s="4">
        <f>[1]节奏总纲!F59</f>
        <v>57</v>
      </c>
      <c r="G59" s="4">
        <f>[1]节奏总纲!G59</f>
        <v>50.984153366799077</v>
      </c>
      <c r="I59" s="74">
        <f>[1]节奏总纲!I59</f>
        <v>57</v>
      </c>
      <c r="J59" s="74">
        <f>[1]节奏总纲!J59</f>
        <v>1647.8248427703616</v>
      </c>
      <c r="K59" s="11">
        <f>[1]节奏总纲!K59</f>
        <v>1.22</v>
      </c>
      <c r="N59" s="50">
        <f>[1]节奏总纲!N59</f>
        <v>66</v>
      </c>
      <c r="O59" s="4">
        <f>[1]节奏总纲!O59</f>
        <v>56</v>
      </c>
      <c r="P59" s="4">
        <f>[1]节奏总纲!P59</f>
        <v>47.502930128332721</v>
      </c>
      <c r="Q59" s="4">
        <f>[1]节奏总纲!Q59</f>
        <v>41.275295988508304</v>
      </c>
      <c r="R59" s="4">
        <f>[1]节奏总纲!R59</f>
        <v>33.888590353552566</v>
      </c>
      <c r="S59" s="4">
        <f>[1]节奏总纲!S59</f>
        <v>24.910536559297679</v>
      </c>
      <c r="T59" s="4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f>[1]节奏总纲!AC59</f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74">
        <f>[1]节奏总纲!AL59</f>
        <v>56</v>
      </c>
      <c r="AM59" s="74">
        <f>[1]节奏总纲!AM59</f>
        <v>1422.6782097755249</v>
      </c>
      <c r="AN59" s="74">
        <f>[1]节奏总纲!AN59</f>
        <v>1138.14256782042</v>
      </c>
      <c r="AO59" s="74">
        <f>[1]节奏总纲!AO59</f>
        <v>853.60692586531491</v>
      </c>
      <c r="AP59" s="74">
        <f>[1]节奏总纲!AP59</f>
        <v>569.07128391021001</v>
      </c>
      <c r="AQ59" s="74">
        <f>[1]节奏总纲!AQ59</f>
        <v>284.53564195510501</v>
      </c>
      <c r="AS59" s="74">
        <f>[1]节奏总纲!AS59</f>
        <v>56</v>
      </c>
      <c r="AT59" s="74">
        <f>[1]节奏总纲!AT59</f>
        <v>194.47820977552487</v>
      </c>
      <c r="AU59" s="74">
        <f>[1]节奏总纲!AU59</f>
        <v>155.58256782041997</v>
      </c>
      <c r="AV59" s="74">
        <f>[1]节奏总纲!AV59</f>
        <v>116.68692586531495</v>
      </c>
      <c r="AW59" s="74">
        <f>[1]节奏总纲!AW59</f>
        <v>77.791283910209984</v>
      </c>
      <c r="AX59" s="74">
        <f>[1]节奏总纲!AX59</f>
        <v>38.895641955104992</v>
      </c>
      <c r="AZ59" s="4">
        <f>[1]节奏总纲!AZ59</f>
        <v>56</v>
      </c>
      <c r="BA59" s="4">
        <f>[1]节奏总纲!BA59</f>
        <v>34.201198727632011</v>
      </c>
      <c r="BB59" s="4">
        <f>[1]节奏总纲!BB59</f>
        <v>35.634340563113874</v>
      </c>
      <c r="BC59" s="4">
        <f>[1]节奏总纲!BC59</f>
        <v>37.55946735008159</v>
      </c>
      <c r="BD59" s="4">
        <f>[1]节奏总纲!BD59</f>
        <v>40.28554255651148</v>
      </c>
      <c r="BE59" s="4">
        <f>[1]节奏总纲!BE59</f>
        <v>44.972851781380903</v>
      </c>
      <c r="BI59" s="4">
        <f>[1]节奏总纲!BI59</f>
        <v>56</v>
      </c>
      <c r="BJ59" s="4">
        <f>[1]节奏总纲!BJ59</f>
        <v>2.7000000000000006</v>
      </c>
      <c r="BK59" s="4">
        <f>[1]节奏总纲!BK59</f>
        <v>2.7540000000000009</v>
      </c>
      <c r="BL59" s="4">
        <f>[1]节奏总纲!BL59</f>
        <v>2.862000000000001</v>
      </c>
      <c r="BM59" s="4">
        <f>[1]节奏总纲!BM59</f>
        <v>3.0780000000000003</v>
      </c>
      <c r="BN59" s="4">
        <f>[1]节奏总纲!BN59</f>
        <v>3.7800000000000007</v>
      </c>
      <c r="BP59" s="74">
        <f>[1]节奏总纲!BP59</f>
        <v>56</v>
      </c>
      <c r="BQ59" s="74">
        <f>[1]节奏总纲!BQ59</f>
        <v>104.74760945904168</v>
      </c>
      <c r="BR59" s="74">
        <f>[1]节奏总纲!BR59</f>
        <v>103.83698778121276</v>
      </c>
      <c r="BS59" s="74">
        <f>[1]节奏总纲!BS59</f>
        <v>102.85713143900996</v>
      </c>
      <c r="BT59" s="74">
        <f>[1]节奏总纲!BT59</f>
        <v>101.75206987035675</v>
      </c>
      <c r="BU59" s="74">
        <f>[1]节奏总纲!BU59</f>
        <v>100.52336200343598</v>
      </c>
      <c r="BW59" s="4">
        <f>[1]节奏总纲!BW59</f>
        <v>56</v>
      </c>
      <c r="BX59" s="4">
        <f>[1]节奏总纲!BX59</f>
        <v>33.176892907302189</v>
      </c>
      <c r="BY59" s="4">
        <f>[1]节奏总纲!BY59</f>
        <v>33.68650047037341</v>
      </c>
      <c r="BZ59" s="4">
        <f>[1]节奏总纲!BZ59</f>
        <v>34.252426803545553</v>
      </c>
      <c r="CA59" s="4">
        <f>[1]节奏总纲!CA59</f>
        <v>34.869671993596455</v>
      </c>
      <c r="CB59" s="4">
        <f>[1]节奏总纲!CB59</f>
        <v>35.555098518625485</v>
      </c>
      <c r="CC59" s="4">
        <f>[1]节奏总纲!CC59</f>
        <v>35.555098518625485</v>
      </c>
    </row>
    <row r="60" spans="6:81" x14ac:dyDescent="0.15">
      <c r="F60" s="4">
        <f>[1]节奏总纲!F60</f>
        <v>58</v>
      </c>
      <c r="G60" s="4">
        <f>[1]节奏总纲!G60</f>
        <v>54.715236050951923</v>
      </c>
      <c r="I60" s="74">
        <f>[1]节奏总纲!I60</f>
        <v>58</v>
      </c>
      <c r="J60" s="74">
        <f>[1]节奏总纲!J60</f>
        <v>1908.4603298511749</v>
      </c>
      <c r="K60" s="11">
        <f>[1]节奏总纲!K60</f>
        <v>1.23</v>
      </c>
      <c r="N60" s="50">
        <f>[1]节奏总纲!N60</f>
        <v>67</v>
      </c>
      <c r="O60" s="4">
        <f>[1]节奏总纲!O60</f>
        <v>57</v>
      </c>
      <c r="P60" s="4">
        <f>[1]节奏总纲!P60</f>
        <v>50.984153366799077</v>
      </c>
      <c r="Q60" s="4">
        <f>[1]节奏总纲!Q60</f>
        <v>44.310327691085078</v>
      </c>
      <c r="R60" s="4">
        <f>[1]节奏总纲!R60</f>
        <v>36.316012443170983</v>
      </c>
      <c r="S60" s="4">
        <f>[1]节奏总纲!S60</f>
        <v>26.664712210835919</v>
      </c>
      <c r="T60" s="4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f>[1]节奏总纲!AC60</f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74">
        <f>[1]节奏总纲!AL60</f>
        <v>57</v>
      </c>
      <c r="AM60" s="74">
        <f>[1]节奏总纲!AM60</f>
        <v>1647.8248427703616</v>
      </c>
      <c r="AN60" s="74">
        <f>[1]节奏总纲!AN60</f>
        <v>1318.2598742162893</v>
      </c>
      <c r="AO60" s="74">
        <f>[1]节奏总纲!AO60</f>
        <v>988.69490566221691</v>
      </c>
      <c r="AP60" s="74">
        <f>[1]节奏总纲!AP60</f>
        <v>659.12993710814465</v>
      </c>
      <c r="AQ60" s="74">
        <f>[1]节奏总纲!AQ60</f>
        <v>329.56496855407232</v>
      </c>
      <c r="AS60" s="74">
        <f>[1]节奏总纲!AS60</f>
        <v>57</v>
      </c>
      <c r="AT60" s="74">
        <f>[1]节奏总纲!AT60</f>
        <v>225.14663299483664</v>
      </c>
      <c r="AU60" s="74">
        <f>[1]节奏总纲!AU60</f>
        <v>180.11730639586926</v>
      </c>
      <c r="AV60" s="74">
        <f>[1]节奏总纲!AV60</f>
        <v>135.087979796902</v>
      </c>
      <c r="AW60" s="74">
        <f>[1]节奏总纲!AW60</f>
        <v>90.058653197934632</v>
      </c>
      <c r="AX60" s="74">
        <f>[1]节奏总纲!AX60</f>
        <v>45.029326598967316</v>
      </c>
      <c r="AZ60" s="4">
        <f>[1]节奏总纲!AZ60</f>
        <v>57</v>
      </c>
      <c r="BA60" s="4">
        <f>[1]节奏总纲!BA60</f>
        <v>34.307705563947749</v>
      </c>
      <c r="BB60" s="4">
        <f>[1]节奏总纲!BB60</f>
        <v>35.756329132943463</v>
      </c>
      <c r="BC60" s="4">
        <f>[1]节奏总纲!BC60</f>
        <v>37.680472138177478</v>
      </c>
      <c r="BD60" s="4">
        <f>[1]节奏总纲!BD60</f>
        <v>40.402090538761065</v>
      </c>
      <c r="BE60" s="4">
        <f>[1]节奏总纲!BE60</f>
        <v>45.088151688727308</v>
      </c>
      <c r="BI60" s="4">
        <f>[1]节奏总纲!BI60</f>
        <v>57</v>
      </c>
      <c r="BJ60" s="4">
        <f>[1]节奏总纲!BJ60</f>
        <v>2.7333333333333338</v>
      </c>
      <c r="BK60" s="4">
        <f>[1]节奏总纲!BK60</f>
        <v>2.7880000000000007</v>
      </c>
      <c r="BL60" s="4">
        <f>[1]节奏总纲!BL60</f>
        <v>2.897333333333334</v>
      </c>
      <c r="BM60" s="4">
        <f>[1]节奏总纲!BM60</f>
        <v>3.1160000000000001</v>
      </c>
      <c r="BN60" s="4">
        <f>[1]节奏总纲!BN60</f>
        <v>3.8266666666666671</v>
      </c>
      <c r="BP60" s="74">
        <f>[1]节奏总纲!BP60</f>
        <v>57</v>
      </c>
      <c r="BQ60" s="74">
        <f>[1]节奏总纲!BQ60</f>
        <v>106.86832874572353</v>
      </c>
      <c r="BR60" s="74">
        <f>[1]节奏总纲!BR60</f>
        <v>105.93060744042049</v>
      </c>
      <c r="BS60" s="74">
        <f>[1]节奏总纲!BS60</f>
        <v>104.93378702762401</v>
      </c>
      <c r="BT60" s="74">
        <f>[1]节奏总纲!BT60</f>
        <v>103.87052361677672</v>
      </c>
      <c r="BU60" s="74">
        <f>[1]节奏总纲!BU60</f>
        <v>102.71853803916484</v>
      </c>
      <c r="BW60" s="4">
        <f>[1]节奏总纲!BW60</f>
        <v>57</v>
      </c>
      <c r="BX60" s="4">
        <f>[1]节奏总纲!BX60</f>
        <v>33.610521693288518</v>
      </c>
      <c r="BY60" s="4">
        <f>[1]节奏总纲!BY60</f>
        <v>34.136006917064577</v>
      </c>
      <c r="BZ60" s="4">
        <f>[1]节奏总纲!BZ60</f>
        <v>34.683321882159184</v>
      </c>
      <c r="CA60" s="4">
        <f>[1]节奏总纲!CA60</f>
        <v>35.308560867691789</v>
      </c>
      <c r="CB60" s="4">
        <f>[1]节奏总纲!CB60</f>
        <v>36.028038378653754</v>
      </c>
      <c r="CC60" s="4">
        <f>[1]节奏总纲!CC60</f>
        <v>36.028038378653754</v>
      </c>
    </row>
    <row r="61" spans="6:81" x14ac:dyDescent="0.15">
      <c r="F61" s="4">
        <f>[1]节奏总纲!F61</f>
        <v>59</v>
      </c>
      <c r="G61" s="4">
        <f>[1]节奏总纲!G61</f>
        <v>58.714111458355703</v>
      </c>
      <c r="I61" s="74">
        <f>[1]节奏总纲!I61</f>
        <v>59</v>
      </c>
      <c r="J61" s="74">
        <f>[1]节奏总纲!J61</f>
        <v>2210.1605665017755</v>
      </c>
      <c r="K61" s="11">
        <f>[1]节奏总纲!K61</f>
        <v>1.24</v>
      </c>
      <c r="N61" s="50">
        <f>[1]节奏总纲!N61</f>
        <v>68</v>
      </c>
      <c r="O61" s="4">
        <f>[1]节奏总纲!O61</f>
        <v>58</v>
      </c>
      <c r="P61" s="4">
        <f>[1]节奏总纲!P61</f>
        <v>54.715236050951923</v>
      </c>
      <c r="Q61" s="4">
        <f>[1]节奏总纲!Q61</f>
        <v>47.459995750595695</v>
      </c>
      <c r="R61" s="4">
        <f>[1]节奏总纲!R61</f>
        <v>38.913475879437009</v>
      </c>
      <c r="S61" s="4">
        <f>[1]节奏总纲!S61</f>
        <v>28.572296265807093</v>
      </c>
      <c r="T61" s="4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f>[1]节奏总纲!AC61</f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74">
        <f>[1]节奏总纲!AL61</f>
        <v>58</v>
      </c>
      <c r="AM61" s="74">
        <f>[1]节奏总纲!AM61</f>
        <v>1908.4603298511749</v>
      </c>
      <c r="AN61" s="74">
        <f>[1]节奏总纲!AN61</f>
        <v>1526.7682638809401</v>
      </c>
      <c r="AO61" s="74">
        <f>[1]节奏总纲!AO61</f>
        <v>1145.0761979107049</v>
      </c>
      <c r="AP61" s="74">
        <f>[1]节奏总纲!AP61</f>
        <v>763.38413194047007</v>
      </c>
      <c r="AQ61" s="74">
        <f>[1]节奏总纲!AQ61</f>
        <v>381.69206597023503</v>
      </c>
      <c r="AS61" s="74">
        <f>[1]节奏总纲!AS61</f>
        <v>58</v>
      </c>
      <c r="AT61" s="74">
        <f>[1]节奏总纲!AT61</f>
        <v>260.63548708081339</v>
      </c>
      <c r="AU61" s="74">
        <f>[1]节奏总纲!AU61</f>
        <v>208.50838966465085</v>
      </c>
      <c r="AV61" s="74">
        <f>[1]节奏总纲!AV61</f>
        <v>156.38129224848797</v>
      </c>
      <c r="AW61" s="74">
        <f>[1]节奏总纲!AW61</f>
        <v>104.25419483232542</v>
      </c>
      <c r="AX61" s="74">
        <f>[1]节奏总纲!AX61</f>
        <v>52.127097416162712</v>
      </c>
      <c r="AZ61" s="4">
        <f>[1]节奏总纲!AZ61</f>
        <v>58</v>
      </c>
      <c r="BA61" s="4">
        <f>[1]节奏总纲!BA61</f>
        <v>34.41421240026348</v>
      </c>
      <c r="BB61" s="4">
        <f>[1]节奏总纲!BB61</f>
        <v>35.878317702773053</v>
      </c>
      <c r="BC61" s="4">
        <f>[1]节奏总纲!BC61</f>
        <v>37.801476926273359</v>
      </c>
      <c r="BD61" s="4">
        <f>[1]节奏总纲!BD61</f>
        <v>40.518638521010644</v>
      </c>
      <c r="BE61" s="4">
        <f>[1]节奏总纲!BE61</f>
        <v>45.199736104837825</v>
      </c>
      <c r="BI61" s="4">
        <f>[1]节奏总纲!BI61</f>
        <v>58</v>
      </c>
      <c r="BJ61" s="4">
        <f>[1]节奏总纲!BJ61</f>
        <v>2.7666666666666671</v>
      </c>
      <c r="BK61" s="4">
        <f>[1]节奏总纲!BK61</f>
        <v>2.8220000000000005</v>
      </c>
      <c r="BL61" s="4">
        <f>[1]节奏总纲!BL61</f>
        <v>2.9326666666666674</v>
      </c>
      <c r="BM61" s="4">
        <f>[1]节奏总纲!BM61</f>
        <v>3.1540000000000004</v>
      </c>
      <c r="BN61" s="4">
        <f>[1]节奏总纲!BN61</f>
        <v>3.8733333333333335</v>
      </c>
      <c r="BP61" s="74">
        <f>[1]节奏总纲!BP61</f>
        <v>58</v>
      </c>
      <c r="BQ61" s="74">
        <f>[1]节奏总纲!BQ61</f>
        <v>108.98912790570419</v>
      </c>
      <c r="BR61" s="74">
        <f>[1]节奏总纲!BR61</f>
        <v>108.05706415648734</v>
      </c>
      <c r="BS61" s="74">
        <f>[1]节奏总纲!BS61</f>
        <v>107.0450185423547</v>
      </c>
      <c r="BT61" s="74">
        <f>[1]节奏总纲!BT61</f>
        <v>105.98041084497018</v>
      </c>
      <c r="BU61" s="74">
        <f>[1]节奏总纲!BU61</f>
        <v>104.81855388022134</v>
      </c>
      <c r="BW61" s="4">
        <f>[1]节奏总纲!BW61</f>
        <v>58</v>
      </c>
      <c r="BX61" s="4">
        <f>[1]节奏总纲!BX61</f>
        <v>34.064362584006396</v>
      </c>
      <c r="BY61" s="4">
        <f>[1]节奏总纲!BY61</f>
        <v>34.555333392643561</v>
      </c>
      <c r="BZ61" s="4">
        <f>[1]节奏总纲!BZ61</f>
        <v>35.132313012164516</v>
      </c>
      <c r="CA61" s="4">
        <f>[1]节奏总纲!CA61</f>
        <v>35.773967769083114</v>
      </c>
      <c r="CB61" s="4">
        <f>[1]节奏总纲!CB61</f>
        <v>36.465928362136154</v>
      </c>
      <c r="CC61" s="4">
        <f>[1]节奏总纲!CC61</f>
        <v>36.465928362136154</v>
      </c>
    </row>
    <row r="62" spans="6:81" x14ac:dyDescent="0.15">
      <c r="F62" s="4">
        <f>[1]节奏总纲!F62</f>
        <v>60</v>
      </c>
      <c r="G62" s="4">
        <f>[1]节奏总纲!G62</f>
        <v>63</v>
      </c>
      <c r="I62" s="74">
        <f>[1]节奏总纲!I62</f>
        <v>60</v>
      </c>
      <c r="J62" s="74">
        <f>[1]节奏总纲!J62</f>
        <v>2559.375</v>
      </c>
      <c r="K62" s="11">
        <f>[1]节奏总纲!K62</f>
        <v>1.25</v>
      </c>
      <c r="N62" s="50">
        <f>[1]节奏总纲!N62</f>
        <v>69</v>
      </c>
      <c r="O62" s="4">
        <f>[1]节奏总纲!O62</f>
        <v>59</v>
      </c>
      <c r="P62" s="4">
        <f>[1]节奏总纲!P62</f>
        <v>58.714111458355703</v>
      </c>
      <c r="Q62" s="4">
        <f>[1]节奏总纲!Q62</f>
        <v>50.940363101269412</v>
      </c>
      <c r="R62" s="4">
        <f>[1]节奏总纲!R62</f>
        <v>41.728119013453394</v>
      </c>
      <c r="S62" s="4">
        <f>[1]节奏总纲!S62</f>
        <v>30.607666303240826</v>
      </c>
      <c r="T62" s="4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f>[1]节奏总纲!AC62</f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74">
        <f>[1]节奏总纲!AL62</f>
        <v>59</v>
      </c>
      <c r="AM62" s="74">
        <f>[1]节奏总纲!AM62</f>
        <v>2210.1605665017755</v>
      </c>
      <c r="AN62" s="74">
        <f>[1]节奏总纲!AN62</f>
        <v>1768.1284532014206</v>
      </c>
      <c r="AO62" s="74">
        <f>[1]节奏总纲!AO62</f>
        <v>1326.0963399010652</v>
      </c>
      <c r="AP62" s="74">
        <f>[1]节奏总纲!AP62</f>
        <v>884.0642266007103</v>
      </c>
      <c r="AQ62" s="74">
        <f>[1]节奏总纲!AQ62</f>
        <v>442.03211330035515</v>
      </c>
      <c r="AS62" s="74">
        <f>[1]节奏总纲!AS62</f>
        <v>59</v>
      </c>
      <c r="AT62" s="74">
        <f>[1]节奏总纲!AT62</f>
        <v>301.70023665060057</v>
      </c>
      <c r="AU62" s="74">
        <f>[1]节奏总纲!AU62</f>
        <v>241.36018932048046</v>
      </c>
      <c r="AV62" s="74">
        <f>[1]节奏总纲!AV62</f>
        <v>181.02014199036034</v>
      </c>
      <c r="AW62" s="74">
        <f>[1]节奏总纲!AW62</f>
        <v>120.68009466024023</v>
      </c>
      <c r="AX62" s="74">
        <f>[1]节奏总纲!AX62</f>
        <v>60.340047330120115</v>
      </c>
      <c r="AZ62" s="4">
        <f>[1]节奏总纲!AZ62</f>
        <v>59</v>
      </c>
      <c r="BA62" s="4">
        <f>[1]节奏总纲!BA62</f>
        <v>34.520719236579211</v>
      </c>
      <c r="BB62" s="4">
        <f>[1]节奏总纲!BB62</f>
        <v>36.000264155774609</v>
      </c>
      <c r="BC62" s="4">
        <f>[1]节奏总纲!BC62</f>
        <v>37.922481714369241</v>
      </c>
      <c r="BD62" s="4">
        <f>[1]节奏总纲!BD62</f>
        <v>40.635186503260229</v>
      </c>
      <c r="BE62" s="4">
        <f>[1]节奏总纲!BE62</f>
        <v>45.31132052094835</v>
      </c>
      <c r="BI62" s="4">
        <f>[1]节奏总纲!BI62</f>
        <v>59</v>
      </c>
      <c r="BJ62" s="4">
        <f>[1]节奏总纲!BJ62</f>
        <v>2.8000000000000003</v>
      </c>
      <c r="BK62" s="4">
        <f>[1]节奏总纲!BK62</f>
        <v>2.8560000000000003</v>
      </c>
      <c r="BL62" s="4">
        <f>[1]节奏总纲!BL62</f>
        <v>2.9680000000000004</v>
      </c>
      <c r="BM62" s="4">
        <f>[1]节奏总纲!BM62</f>
        <v>3.1920000000000002</v>
      </c>
      <c r="BN62" s="4">
        <f>[1]节奏总纲!BN62</f>
        <v>3.92</v>
      </c>
      <c r="BP62" s="74">
        <f>[1]节奏总纲!BP62</f>
        <v>59</v>
      </c>
      <c r="BQ62" s="74">
        <f>[1]节奏总纲!BQ62</f>
        <v>111.10262975447033</v>
      </c>
      <c r="BR62" s="74">
        <f>[1]节奏总纲!BR62</f>
        <v>110.20947507564244</v>
      </c>
      <c r="BS62" s="74">
        <f>[1]节奏总纲!BS62</f>
        <v>109.25629876969376</v>
      </c>
      <c r="BT62" s="74">
        <f>[1]节奏总纲!BT62</f>
        <v>108.20567887066987</v>
      </c>
      <c r="BU62" s="74">
        <f>[1]节奏总纲!BU62</f>
        <v>107.05837602863994</v>
      </c>
      <c r="BW62" s="4">
        <f>[1]节奏总纲!BW62</f>
        <v>59</v>
      </c>
      <c r="BX62" s="4">
        <f>[1]节奏总纲!BX62</f>
        <v>34.490270152469755</v>
      </c>
      <c r="BY62" s="4">
        <f>[1]节奏总纲!BY62</f>
        <v>35.017122693980703</v>
      </c>
      <c r="BZ62" s="4">
        <f>[1]节奏总纲!BZ62</f>
        <v>35.590118732830298</v>
      </c>
      <c r="CA62" s="4">
        <f>[1]节奏总纲!CA62</f>
        <v>36.233346855347108</v>
      </c>
      <c r="CB62" s="4">
        <f>[1]节奏总纲!CB62</f>
        <v>36.948702736645387</v>
      </c>
      <c r="CC62" s="4">
        <f>[1]节奏总纲!CC62</f>
        <v>36.948702736645387</v>
      </c>
    </row>
    <row r="63" spans="6:81" x14ac:dyDescent="0.15">
      <c r="F63" s="4">
        <f>[1]节奏总纲!F63</f>
        <v>61</v>
      </c>
      <c r="G63" s="4">
        <f>[1]节奏总纲!G63</f>
        <v>67.593501602322732</v>
      </c>
      <c r="I63" s="74">
        <f>[1]节奏总纲!I63</f>
        <v>61</v>
      </c>
      <c r="J63" s="74">
        <f>[1]节奏总纲!J63</f>
        <v>2963.5631311027469</v>
      </c>
      <c r="K63" s="11">
        <f>[1]节奏总纲!K63</f>
        <v>1.26</v>
      </c>
      <c r="N63" s="50">
        <f>[1]节奏总纲!N63</f>
        <v>70</v>
      </c>
      <c r="O63" s="4">
        <f>[1]节奏总纲!O63</f>
        <v>60</v>
      </c>
      <c r="P63" s="4">
        <f>[1]节奏总纲!P63</f>
        <v>63</v>
      </c>
      <c r="Q63" s="4">
        <f>[1]节奏总纲!Q63</f>
        <v>54.589500000000001</v>
      </c>
      <c r="R63" s="4">
        <f>[1]节奏总纲!R63</f>
        <v>44.717399999999998</v>
      </c>
      <c r="S63" s="4">
        <f>[1]节奏总纲!S63</f>
        <v>32.810400000000001</v>
      </c>
      <c r="T63" s="4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f>[1]节奏总纲!AC63</f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74">
        <f>[1]节奏总纲!AL63</f>
        <v>60</v>
      </c>
      <c r="AM63" s="74">
        <f>[1]节奏总纲!AM63</f>
        <v>2559.375</v>
      </c>
      <c r="AN63" s="74">
        <f>[1]节奏总纲!AN63</f>
        <v>2047.5</v>
      </c>
      <c r="AO63" s="74">
        <f>[1]节奏总纲!AO63</f>
        <v>1535.625</v>
      </c>
      <c r="AP63" s="74">
        <f>[1]节奏总纲!AP63</f>
        <v>1023.75</v>
      </c>
      <c r="AQ63" s="74">
        <f>[1]节奏总纲!AQ63</f>
        <v>511.875</v>
      </c>
      <c r="AS63" s="74">
        <f>[1]节奏总纲!AS63</f>
        <v>60</v>
      </c>
      <c r="AT63" s="74">
        <f>[1]节奏总纲!AT63</f>
        <v>349.21443349822448</v>
      </c>
      <c r="AU63" s="74">
        <f>[1]节奏总纲!AU63</f>
        <v>279.3715467985794</v>
      </c>
      <c r="AV63" s="74">
        <f>[1]节奏总纲!AV63</f>
        <v>209.52866009893478</v>
      </c>
      <c r="AW63" s="74">
        <f>[1]节奏总纲!AW63</f>
        <v>139.6857733992897</v>
      </c>
      <c r="AX63" s="74">
        <f>[1]节奏总纲!AX63</f>
        <v>69.842886699644851</v>
      </c>
      <c r="AZ63" s="4">
        <f>[1]节奏总纲!AZ63</f>
        <v>60</v>
      </c>
      <c r="BA63" s="4">
        <f>[1]节奏总纲!BA63</f>
        <v>34.627226072894942</v>
      </c>
      <c r="BB63" s="4">
        <f>[1]节奏总纲!BB63</f>
        <v>36.105477566569242</v>
      </c>
      <c r="BC63" s="4">
        <f>[1]节奏总纲!BC63</f>
        <v>38.037513426486328</v>
      </c>
      <c r="BD63" s="4">
        <f>[1]节奏总纲!BD63</f>
        <v>40.751734485509814</v>
      </c>
      <c r="BE63" s="4">
        <f>[1]节奏总纲!BE63</f>
        <v>45.422904937058867</v>
      </c>
      <c r="BI63" s="4">
        <f>[1]节奏总纲!BI63</f>
        <v>60</v>
      </c>
      <c r="BJ63" s="4">
        <f>[1]节奏总纲!BJ63</f>
        <v>2.8333333333333335</v>
      </c>
      <c r="BK63" s="4">
        <f>[1]节奏总纲!BK63</f>
        <v>2.89</v>
      </c>
      <c r="BL63" s="4">
        <f>[1]节奏总纲!BL63</f>
        <v>3.0033333333333339</v>
      </c>
      <c r="BM63" s="4">
        <f>[1]节奏总纲!BM63</f>
        <v>3.23</v>
      </c>
      <c r="BN63" s="4">
        <f>[1]节奏总纲!BN63</f>
        <v>3.9666666666666668</v>
      </c>
      <c r="BP63" s="74">
        <f>[1]节奏总纲!BP63</f>
        <v>60</v>
      </c>
      <c r="BQ63" s="74">
        <f>[1]节奏总纲!BQ63</f>
        <v>113.21545878873063</v>
      </c>
      <c r="BR63" s="74">
        <f>[1]节奏总纲!BR63</f>
        <v>112.29538714242203</v>
      </c>
      <c r="BS63" s="74">
        <f>[1]节奏总纲!BS63</f>
        <v>111.32275250484524</v>
      </c>
      <c r="BT63" s="74">
        <f>[1]节奏总纲!BT63</f>
        <v>110.29731048917512</v>
      </c>
      <c r="BU63" s="74">
        <f>[1]节奏总纲!BU63</f>
        <v>109.19465210702913</v>
      </c>
      <c r="BW63" s="4">
        <f>[1]节奏总纲!BW63</f>
        <v>60</v>
      </c>
      <c r="BX63" s="4">
        <f>[1]节奏总纲!BX63</f>
        <v>34.946746581842135</v>
      </c>
      <c r="BY63" s="4">
        <f>[1]节奏总纲!BY63</f>
        <v>35.462275685369235</v>
      </c>
      <c r="BZ63" s="4">
        <f>[1]节奏总纲!BZ63</f>
        <v>36.065833153381824</v>
      </c>
      <c r="CA63" s="4">
        <f>[1]节奏总纲!CA63</f>
        <v>36.696861105963713</v>
      </c>
      <c r="CB63" s="4">
        <f>[1]节奏总纲!CB63</f>
        <v>37.417758642742506</v>
      </c>
      <c r="CC63" s="4">
        <f>[1]节奏总纲!CC63</f>
        <v>37.417758642742506</v>
      </c>
    </row>
    <row r="64" spans="6:81" x14ac:dyDescent="0.15">
      <c r="F64" s="4">
        <f>[1]节奏总纲!F64</f>
        <v>62</v>
      </c>
      <c r="G64" s="4">
        <f>[1]节奏总纲!G64</f>
        <v>72.516694719810218</v>
      </c>
      <c r="I64" s="74">
        <f>[1]节奏总纲!I64</f>
        <v>62</v>
      </c>
      <c r="J64" s="74">
        <f>[1]节奏总纲!J64</f>
        <v>3431.3522956038646</v>
      </c>
      <c r="K64" s="11">
        <f>[1]节奏总纲!K64</f>
        <v>1.27</v>
      </c>
      <c r="N64" s="50">
        <f>[1]节奏总纲!N64</f>
        <v>71</v>
      </c>
      <c r="O64" s="4">
        <f>[1]节奏总纲!O64</f>
        <v>61</v>
      </c>
      <c r="P64" s="4">
        <f>[1]节奏总纲!P64</f>
        <v>67.593501602322732</v>
      </c>
      <c r="Q64" s="4">
        <f>[1]节奏总纲!Q64</f>
        <v>58.596806539053574</v>
      </c>
      <c r="R64" s="4">
        <f>[1]节奏总纲!R64</f>
        <v>47.977867437328676</v>
      </c>
      <c r="S64" s="4">
        <f>[1]节奏总纲!S64</f>
        <v>35.229733035130607</v>
      </c>
      <c r="T64" s="4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f>[1]节奏总纲!AC64</f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74">
        <f>[1]节奏总纲!AL64</f>
        <v>61</v>
      </c>
      <c r="AM64" s="74">
        <f>[1]节奏总纲!AM64</f>
        <v>2963.5631311027469</v>
      </c>
      <c r="AN64" s="74">
        <f>[1]节奏总纲!AN64</f>
        <v>2370.8505048821976</v>
      </c>
      <c r="AO64" s="74">
        <f>[1]节奏总纲!AO64</f>
        <v>1778.1378786616481</v>
      </c>
      <c r="AP64" s="74">
        <f>[1]节奏总纲!AP64</f>
        <v>1185.4252524410988</v>
      </c>
      <c r="AQ64" s="74">
        <f>[1]节奏总纲!AQ64</f>
        <v>592.7126262205494</v>
      </c>
      <c r="AS64" s="74">
        <f>[1]节奏总纲!AS64</f>
        <v>61</v>
      </c>
      <c r="AT64" s="74">
        <f>[1]节奏总纲!AT64</f>
        <v>404.18813110274687</v>
      </c>
      <c r="AU64" s="74">
        <f>[1]节奏总纲!AU64</f>
        <v>323.35050488219758</v>
      </c>
      <c r="AV64" s="74">
        <f>[1]节奏总纲!AV64</f>
        <v>242.51287866164807</v>
      </c>
      <c r="AW64" s="74">
        <f>[1]节奏总纲!AW64</f>
        <v>161.67525244109879</v>
      </c>
      <c r="AX64" s="74">
        <f>[1]节奏总纲!AX64</f>
        <v>80.837626220549396</v>
      </c>
      <c r="AZ64" s="4">
        <f>[1]节奏总纲!AZ64</f>
        <v>61</v>
      </c>
      <c r="BA64" s="4">
        <f>[1]节奏总纲!BA64</f>
        <v>34.733732909210673</v>
      </c>
      <c r="BB64" s="4">
        <f>[1]节奏总纲!BB64</f>
        <v>36.210690977363875</v>
      </c>
      <c r="BC64" s="4">
        <f>[1]节奏总纲!BC64</f>
        <v>38.14189763688286</v>
      </c>
      <c r="BD64" s="4">
        <f>[1]节奏总纲!BD64</f>
        <v>40.8682824677594</v>
      </c>
      <c r="BE64" s="4">
        <f>[1]节奏总纲!BE64</f>
        <v>45.534489353169384</v>
      </c>
      <c r="BI64" s="4">
        <f>[1]节奏总纲!BI64</f>
        <v>61</v>
      </c>
      <c r="BJ64" s="4">
        <f>[1]节奏总纲!BJ64</f>
        <v>2.8666666666666667</v>
      </c>
      <c r="BK64" s="4">
        <f>[1]节奏总纲!BK64</f>
        <v>2.9239999999999999</v>
      </c>
      <c r="BL64" s="4">
        <f>[1]节奏总纲!BL64</f>
        <v>3.0386666666666668</v>
      </c>
      <c r="BM64" s="4">
        <f>[1]节奏总纲!BM64</f>
        <v>3.2679999999999998</v>
      </c>
      <c r="BN64" s="4">
        <f>[1]节奏总纲!BN64</f>
        <v>4.0133333333333328</v>
      </c>
      <c r="BP64" s="74">
        <f>[1]节奏总纲!BP64</f>
        <v>61</v>
      </c>
      <c r="BQ64" s="74">
        <f>[1]节奏总纲!BQ64</f>
        <v>115.32833539528137</v>
      </c>
      <c r="BR64" s="74">
        <f>[1]节奏总纲!BR64</f>
        <v>114.41842394774007</v>
      </c>
      <c r="BS64" s="74">
        <f>[1]节奏总纲!BS64</f>
        <v>113.42974477170841</v>
      </c>
      <c r="BT64" s="74">
        <f>[1]节奏总纲!BT64</f>
        <v>112.37441833838224</v>
      </c>
      <c r="BU64" s="74">
        <f>[1]节奏总纲!BU64</f>
        <v>111.23877737165789</v>
      </c>
      <c r="BW64" s="4">
        <f>[1]节奏总纲!BW64</f>
        <v>61</v>
      </c>
      <c r="BX64" s="4">
        <f>[1]节奏总纲!BX64</f>
        <v>35.39948832484999</v>
      </c>
      <c r="BY64" s="4">
        <f>[1]节奏总纲!BY64</f>
        <v>35.951121278937144</v>
      </c>
      <c r="BZ64" s="4">
        <f>[1]节奏总纲!BZ64</f>
        <v>36.523226353203405</v>
      </c>
      <c r="CA64" s="4">
        <f>[1]节奏总纲!CA64</f>
        <v>37.177648787597903</v>
      </c>
      <c r="CB64" s="4">
        <f>[1]节奏总纲!CB64</f>
        <v>37.899048700813722</v>
      </c>
      <c r="CC64" s="4">
        <f>[1]节奏总纲!CC64</f>
        <v>37.899048700813722</v>
      </c>
    </row>
    <row r="65" spans="6:81" x14ac:dyDescent="0.15">
      <c r="F65" s="4">
        <f>[1]节奏总纲!F65</f>
        <v>63</v>
      </c>
      <c r="G65" s="4">
        <f>[1]节奏总纲!G65</f>
        <v>77.793242454074615</v>
      </c>
      <c r="I65" s="74">
        <f>[1]节奏总纲!I65</f>
        <v>63</v>
      </c>
      <c r="J65" s="74">
        <f>[1]节奏总纲!J65</f>
        <v>3972.7200361130153</v>
      </c>
      <c r="K65" s="11">
        <f>[1]节奏总纲!K65</f>
        <v>1.28</v>
      </c>
      <c r="N65" s="50">
        <f>[1]节奏总纲!N65</f>
        <v>72</v>
      </c>
      <c r="O65" s="4">
        <f>[1]节奏总纲!O65</f>
        <v>62</v>
      </c>
      <c r="P65" s="4">
        <f>[1]节奏总纲!P65</f>
        <v>72.516694719810218</v>
      </c>
      <c r="Q65" s="4">
        <f>[1]节奏总纲!Q65</f>
        <v>62.842967644187539</v>
      </c>
      <c r="R65" s="4">
        <f>[1]节奏总纲!R65</f>
        <v>51.5086082594812</v>
      </c>
      <c r="S65" s="4">
        <f>[1]节奏总纲!S65</f>
        <v>37.846462974268952</v>
      </c>
      <c r="T65" s="4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f>[1]节奏总纲!AC65</f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74">
        <f>[1]节奏总纲!AL65</f>
        <v>62</v>
      </c>
      <c r="AM65" s="74">
        <f>[1]节奏总纲!AM65</f>
        <v>3431.3522956038646</v>
      </c>
      <c r="AN65" s="74">
        <f>[1]节奏总纲!AN65</f>
        <v>2745.081836483092</v>
      </c>
      <c r="AO65" s="74">
        <f>[1]节奏总纲!AO65</f>
        <v>2058.8113773623186</v>
      </c>
      <c r="AP65" s="74">
        <f>[1]节奏总纲!AP65</f>
        <v>1372.540918241546</v>
      </c>
      <c r="AQ65" s="74">
        <f>[1]节奏总纲!AQ65</f>
        <v>686.27045912077301</v>
      </c>
      <c r="AS65" s="74">
        <f>[1]节奏总纲!AS65</f>
        <v>62</v>
      </c>
      <c r="AT65" s="74">
        <f>[1]节奏总纲!AT65</f>
        <v>467.78916450111774</v>
      </c>
      <c r="AU65" s="74">
        <f>[1]节奏总纲!AU65</f>
        <v>374.23133160089446</v>
      </c>
      <c r="AV65" s="74">
        <f>[1]节奏总纲!AV65</f>
        <v>280.67349870067051</v>
      </c>
      <c r="AW65" s="74">
        <f>[1]节奏总纲!AW65</f>
        <v>187.11566580044723</v>
      </c>
      <c r="AX65" s="74">
        <f>[1]节奏总纲!AX65</f>
        <v>93.557832900223616</v>
      </c>
      <c r="AZ65" s="4">
        <f>[1]节奏总纲!AZ65</f>
        <v>62</v>
      </c>
      <c r="BA65" s="4">
        <f>[1]节奏总纲!BA65</f>
        <v>34.840239745526404</v>
      </c>
      <c r="BB65" s="4">
        <f>[1]节奏总纲!BB65</f>
        <v>36.315904388158508</v>
      </c>
      <c r="BC65" s="4">
        <f>[1]节奏总纲!BC65</f>
        <v>38.246281847279398</v>
      </c>
      <c r="BD65" s="4">
        <f>[1]节奏总纲!BD65</f>
        <v>40.984830450008978</v>
      </c>
      <c r="BE65" s="4">
        <f>[1]节奏总纲!BE65</f>
        <v>45.646073769279901</v>
      </c>
      <c r="BI65" s="4">
        <f>[1]节奏总纲!BI65</f>
        <v>62</v>
      </c>
      <c r="BJ65" s="4">
        <f>[1]节奏总纲!BJ65</f>
        <v>2.9</v>
      </c>
      <c r="BK65" s="4">
        <f>[1]节奏总纲!BK65</f>
        <v>2.9579999999999997</v>
      </c>
      <c r="BL65" s="4">
        <f>[1]节奏总纲!BL65</f>
        <v>3.0739999999999998</v>
      </c>
      <c r="BM65" s="4">
        <f>[1]节奏总纲!BM65</f>
        <v>3.3059999999999996</v>
      </c>
      <c r="BN65" s="4">
        <f>[1]节奏总纲!BN65</f>
        <v>4.0599999999999996</v>
      </c>
      <c r="BP65" s="74">
        <f>[1]节奏总纲!BP65</f>
        <v>62</v>
      </c>
      <c r="BQ65" s="74">
        <f>[1]节奏总纲!BQ65</f>
        <v>117.44125295293078</v>
      </c>
      <c r="BR65" s="74">
        <f>[1]节奏总纲!BR65</f>
        <v>116.57008716694446</v>
      </c>
      <c r="BS65" s="74">
        <f>[1]节奏总纲!BS65</f>
        <v>115.63935175516689</v>
      </c>
      <c r="BT65" s="74">
        <f>[1]节奏总纲!BT65</f>
        <v>114.60606674176169</v>
      </c>
      <c r="BU65" s="74">
        <f>[1]节奏总纲!BU65</f>
        <v>113.4549371467006</v>
      </c>
      <c r="BW65" s="4">
        <f>[1]节奏总纲!BW65</f>
        <v>62</v>
      </c>
      <c r="BX65" s="4">
        <f>[1]节奏总纲!BX65</f>
        <v>35.879946954767739</v>
      </c>
      <c r="BY65" s="4">
        <f>[1]节奏总纲!BY65</f>
        <v>36.404595889192997</v>
      </c>
      <c r="BZ65" s="4">
        <f>[1]节奏总纲!BZ65</f>
        <v>37.015987444264518</v>
      </c>
      <c r="CA65" s="4">
        <f>[1]节奏总纲!CA65</f>
        <v>37.65260406528229</v>
      </c>
      <c r="CB65" s="4">
        <f>[1]节奏总纲!CB65</f>
        <v>38.389532424015663</v>
      </c>
      <c r="CC65" s="4">
        <f>[1]节奏总纲!CC65</f>
        <v>38.389532424015663</v>
      </c>
    </row>
    <row r="66" spans="6:81" x14ac:dyDescent="0.15">
      <c r="F66" s="4">
        <f>[1]节奏总纲!F66</f>
        <v>64</v>
      </c>
      <c r="G66" s="4">
        <f>[1]节奏总纲!G66</f>
        <v>83.4485062894652</v>
      </c>
      <c r="I66" s="74">
        <f>[1]节奏总纲!I66</f>
        <v>64</v>
      </c>
      <c r="J66" s="74">
        <f>[1]节奏总纲!J66</f>
        <v>4599.2048883665893</v>
      </c>
      <c r="K66" s="11">
        <f>[1]节奏总纲!K66</f>
        <v>1.29</v>
      </c>
      <c r="N66" s="50">
        <f>[1]节奏总纲!N66</f>
        <v>73</v>
      </c>
      <c r="O66" s="4">
        <f>[1]节奏总纲!O66</f>
        <v>63</v>
      </c>
      <c r="P66" s="4">
        <f>[1]节奏总纲!P66</f>
        <v>77.793242454074615</v>
      </c>
      <c r="Q66" s="4">
        <f>[1]节奏总纲!Q66</f>
        <v>67.470079180418907</v>
      </c>
      <c r="R66" s="4">
        <f>[1]节奏总纲!R66</f>
        <v>55.27987808786542</v>
      </c>
      <c r="S66" s="4">
        <f>[1]节奏总纲!S66</f>
        <v>40.678086479235617</v>
      </c>
      <c r="T66" s="4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f>[1]节奏总纲!AC66</f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74">
        <f>[1]节奏总纲!AL66</f>
        <v>63</v>
      </c>
      <c r="AM66" s="74">
        <f>[1]节奏总纲!AM66</f>
        <v>3972.7200361130153</v>
      </c>
      <c r="AN66" s="74">
        <f>[1]节奏总纲!AN66</f>
        <v>3178.1760288904125</v>
      </c>
      <c r="AO66" s="74">
        <f>[1]节奏总纲!AO66</f>
        <v>2383.6320216678091</v>
      </c>
      <c r="AP66" s="74">
        <f>[1]节奏总纲!AP66</f>
        <v>1589.0880144452062</v>
      </c>
      <c r="AQ66" s="74">
        <f>[1]节奏总纲!AQ66</f>
        <v>794.54400722260311</v>
      </c>
      <c r="AS66" s="74">
        <f>[1]节奏总纲!AS66</f>
        <v>63</v>
      </c>
      <c r="AT66" s="74">
        <f>[1]节奏总纲!AT66</f>
        <v>541.36774050915074</v>
      </c>
      <c r="AU66" s="74">
        <f>[1]节奏总纲!AU66</f>
        <v>433.09419240732041</v>
      </c>
      <c r="AV66" s="74">
        <f>[1]节奏总纲!AV66</f>
        <v>324.82064430549053</v>
      </c>
      <c r="AW66" s="74">
        <f>[1]节奏总纲!AW66</f>
        <v>216.5470962036602</v>
      </c>
      <c r="AX66" s="74">
        <f>[1]节奏总纲!AX66</f>
        <v>108.2735481018301</v>
      </c>
      <c r="AZ66" s="4">
        <f>[1]节奏总纲!AZ66</f>
        <v>63</v>
      </c>
      <c r="BA66" s="4">
        <f>[1]节奏总纲!BA66</f>
        <v>34.946746581842135</v>
      </c>
      <c r="BB66" s="4">
        <f>[1]节奏总纲!BB66</f>
        <v>36.421117798953141</v>
      </c>
      <c r="BC66" s="4">
        <f>[1]节奏总纲!BC66</f>
        <v>38.35066605767593</v>
      </c>
      <c r="BD66" s="4">
        <f>[1]节奏总纲!BD66</f>
        <v>41.087476216725996</v>
      </c>
      <c r="BE66" s="4">
        <f>[1]节奏总纲!BE66</f>
        <v>45.757658185390426</v>
      </c>
      <c r="BI66" s="4">
        <f>[1]节奏总纲!BI66</f>
        <v>63</v>
      </c>
      <c r="BJ66" s="4">
        <f>[1]节奏总纲!BJ66</f>
        <v>2.9333333333333331</v>
      </c>
      <c r="BK66" s="4">
        <f>[1]节奏总纲!BK66</f>
        <v>2.992</v>
      </c>
      <c r="BL66" s="4">
        <f>[1]节奏总纲!BL66</f>
        <v>3.1093333333333333</v>
      </c>
      <c r="BM66" s="4">
        <f>[1]节奏总纲!BM66</f>
        <v>3.3439999999999994</v>
      </c>
      <c r="BN66" s="4">
        <f>[1]节奏总纲!BN66</f>
        <v>4.1066666666666665</v>
      </c>
      <c r="BP66" s="74">
        <f>[1]节奏总纲!BP66</f>
        <v>63</v>
      </c>
      <c r="BQ66" s="74">
        <f>[1]节奏总纲!BQ66</f>
        <v>119.55420575752977</v>
      </c>
      <c r="BR66" s="74">
        <f>[1]节奏总纲!BR66</f>
        <v>118.67207694028556</v>
      </c>
      <c r="BS66" s="74">
        <f>[1]节奏总纲!BS66</f>
        <v>117.73975971101574</v>
      </c>
      <c r="BT66" s="74">
        <f>[1]节奏总纲!BT66</f>
        <v>116.73393678080937</v>
      </c>
      <c r="BU66" s="74">
        <f>[1]节奏总纲!BU66</f>
        <v>115.65492353979617</v>
      </c>
      <c r="BW66" s="4">
        <f>[1]节奏总纲!BW66</f>
        <v>63</v>
      </c>
      <c r="BX66" s="4">
        <f>[1]节奏总纲!BX66</f>
        <v>36.340586819184892</v>
      </c>
      <c r="BY66" s="4">
        <f>[1]节奏总纲!BY66</f>
        <v>36.891430076047094</v>
      </c>
      <c r="BZ66" s="4">
        <f>[1]节奏总纲!BZ66</f>
        <v>37.472329150700546</v>
      </c>
      <c r="CA66" s="4">
        <f>[1]节奏总纲!CA66</f>
        <v>38.143685709059689</v>
      </c>
      <c r="CB66" s="4">
        <f>[1]节奏总纲!CB66</f>
        <v>38.883046871454752</v>
      </c>
      <c r="CC66" s="4">
        <f>[1]节奏总纲!CC66</f>
        <v>38.883046871454752</v>
      </c>
    </row>
    <row r="67" spans="6:81" x14ac:dyDescent="0.15">
      <c r="F67" s="4">
        <f>[1]节奏总纲!F67</f>
        <v>65</v>
      </c>
      <c r="G67" s="4">
        <f>[1]节奏总纲!G67</f>
        <v>89.509667991878061</v>
      </c>
      <c r="I67" s="74">
        <f>[1]节奏总纲!I67</f>
        <v>65</v>
      </c>
      <c r="J67" s="74">
        <f>[1]节奏总纲!J67</f>
        <v>5324.1500000000005</v>
      </c>
      <c r="K67" s="11">
        <f>[1]节奏总纲!K67</f>
        <v>1.3</v>
      </c>
      <c r="N67" s="50">
        <f>[1]节奏总纲!N67</f>
        <v>74</v>
      </c>
      <c r="O67" s="4">
        <f>[1]节奏总纲!O67</f>
        <v>64</v>
      </c>
      <c r="P67" s="4">
        <f>[1]节奏总纲!P67</f>
        <v>83.4485062894652</v>
      </c>
      <c r="Q67" s="4">
        <f>[1]节奏总纲!Q67</f>
        <v>72.399924056740005</v>
      </c>
      <c r="R67" s="4">
        <f>[1]节奏总纲!R67</f>
        <v>59.365267374325548</v>
      </c>
      <c r="S67" s="4">
        <f>[1]节奏总纲!S67</f>
        <v>43.718672445050821</v>
      </c>
      <c r="T67" s="4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f>[1]节奏总纲!AC67</f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74">
        <f>[1]节奏总纲!AL67</f>
        <v>64</v>
      </c>
      <c r="AM67" s="74">
        <f>[1]节奏总纲!AM67</f>
        <v>4599.2048883665893</v>
      </c>
      <c r="AN67" s="74">
        <f>[1]节奏总纲!AN67</f>
        <v>3679.3639106932715</v>
      </c>
      <c r="AO67" s="74">
        <f>[1]节奏总纲!AO67</f>
        <v>2759.5229330199536</v>
      </c>
      <c r="AP67" s="74">
        <f>[1]节奏总纲!AP67</f>
        <v>1839.6819553466357</v>
      </c>
      <c r="AQ67" s="74">
        <f>[1]节奏总纲!AQ67</f>
        <v>919.84097767331787</v>
      </c>
      <c r="AS67" s="74">
        <f>[1]节奏总纲!AS67</f>
        <v>64</v>
      </c>
      <c r="AT67" s="74">
        <f>[1]节奏总纲!AT67</f>
        <v>626.48485225357399</v>
      </c>
      <c r="AU67" s="74">
        <f>[1]节奏总纲!AU67</f>
        <v>501.18788180285901</v>
      </c>
      <c r="AV67" s="74">
        <f>[1]节奏总纲!AV67</f>
        <v>375.89091135214449</v>
      </c>
      <c r="AW67" s="74">
        <f>[1]节奏总纲!AW67</f>
        <v>250.59394090142951</v>
      </c>
      <c r="AX67" s="74">
        <f>[1]节奏总纲!AX67</f>
        <v>125.29697045071475</v>
      </c>
      <c r="AZ67" s="4">
        <f>[1]节奏总纲!AZ67</f>
        <v>64</v>
      </c>
      <c r="BA67" s="4">
        <f>[1]节奏总纲!BA67</f>
        <v>35.048795427931836</v>
      </c>
      <c r="BB67" s="4">
        <f>[1]节奏总纲!BB67</f>
        <v>36.526331209747774</v>
      </c>
      <c r="BC67" s="4">
        <f>[1]节奏总纲!BC67</f>
        <v>38.455050268072462</v>
      </c>
      <c r="BD67" s="4">
        <f>[1]节奏总纲!BD67</f>
        <v>41.188041754455355</v>
      </c>
      <c r="BE67" s="4">
        <f>[1]节奏总纲!BE67</f>
        <v>45.869242601500943</v>
      </c>
      <c r="BI67" s="4">
        <f>[1]节奏总纲!BI67</f>
        <v>64</v>
      </c>
      <c r="BJ67" s="4">
        <f>[1]节奏总纲!BJ67</f>
        <v>2.9666666666666663</v>
      </c>
      <c r="BK67" s="4">
        <f>[1]节奏总纲!BK67</f>
        <v>3.0259999999999998</v>
      </c>
      <c r="BL67" s="4">
        <f>[1]节奏总纲!BL67</f>
        <v>3.1446666666666663</v>
      </c>
      <c r="BM67" s="4">
        <f>[1]节奏总纲!BM67</f>
        <v>3.3819999999999992</v>
      </c>
      <c r="BN67" s="4">
        <f>[1]节奏总纲!BN67</f>
        <v>4.1533333333333324</v>
      </c>
      <c r="BP67" s="74">
        <f>[1]节奏总纲!BP67</f>
        <v>64</v>
      </c>
      <c r="BQ67" s="74">
        <f>[1]节奏总纲!BQ67</f>
        <v>121.66718889550316</v>
      </c>
      <c r="BR67" s="74">
        <f>[1]节奏总纲!BR67</f>
        <v>120.7875236036714</v>
      </c>
      <c r="BS67" s="74">
        <f>[1]节奏总纲!BS67</f>
        <v>119.82684914766305</v>
      </c>
      <c r="BT67" s="74">
        <f>[1]节奏总纲!BT67</f>
        <v>118.81193261353252</v>
      </c>
      <c r="BU67" s="74">
        <f>[1]节奏总纲!BU67</f>
        <v>117.74192085001619</v>
      </c>
      <c r="BW67" s="4">
        <f>[1]节奏总纲!BW67</f>
        <v>64</v>
      </c>
      <c r="BX67" s="4">
        <f>[1]节奏总纲!BX67</f>
        <v>36.816594496836878</v>
      </c>
      <c r="BY67" s="4">
        <f>[1]节奏总纲!BY67</f>
        <v>37.353752318195028</v>
      </c>
      <c r="BZ67" s="4">
        <f>[1]节奏总纲!BZ67</f>
        <v>37.96668081559784</v>
      </c>
      <c r="CA67" s="4">
        <f>[1]节奏总纲!CA67</f>
        <v>38.619769456836295</v>
      </c>
      <c r="CB67" s="4">
        <f>[1]节奏总纲!CB67</f>
        <v>39.342673018124934</v>
      </c>
      <c r="CC67" s="4">
        <f>[1]节奏总纲!CC67</f>
        <v>39.342673018124934</v>
      </c>
    </row>
    <row r="68" spans="6:81" x14ac:dyDescent="0.15">
      <c r="F68" s="4">
        <f>[1]节奏总纲!F68</f>
        <v>66</v>
      </c>
      <c r="G68" s="4">
        <f>[1]节奏总纲!G68</f>
        <v>96.005860256665443</v>
      </c>
      <c r="I68" s="74">
        <f>[1]节奏总纲!I68</f>
        <v>66</v>
      </c>
      <c r="J68" s="74">
        <f>[1]节奏总纲!J68</f>
        <v>6162.9846853088866</v>
      </c>
      <c r="K68" s="11">
        <f>[1]节奏总纲!K68</f>
        <v>1.31</v>
      </c>
      <c r="N68" s="50">
        <f>[1]节奏总纲!N68</f>
        <v>75</v>
      </c>
      <c r="O68" s="4">
        <f>[1]节奏总纲!O68</f>
        <v>65</v>
      </c>
      <c r="P68" s="4">
        <f>[1]节奏总纲!P68</f>
        <v>89.509667991878061</v>
      </c>
      <c r="Q68" s="4">
        <f>[1]节奏总纲!Q68</f>
        <v>77.64963698295422</v>
      </c>
      <c r="R68" s="4">
        <f>[1]节奏总纲!R68</f>
        <v>63.802491344610679</v>
      </c>
      <c r="S68" s="4">
        <f>[1]节奏总纲!S68</f>
        <v>46.929918928141667</v>
      </c>
      <c r="T68" s="4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f>[1]节奏总纲!AC68</f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74">
        <f>[1]节奏总纲!AL68</f>
        <v>65</v>
      </c>
      <c r="AM68" s="74">
        <f>[1]节奏总纲!AM68</f>
        <v>5324.1500000000005</v>
      </c>
      <c r="AN68" s="74">
        <f>[1]节奏总纲!AN68</f>
        <v>4259.3200000000006</v>
      </c>
      <c r="AO68" s="74">
        <f>[1]节奏总纲!AO68</f>
        <v>3194.4900000000002</v>
      </c>
      <c r="AP68" s="74">
        <f>[1]节奏总纲!AP68</f>
        <v>2129.6600000000003</v>
      </c>
      <c r="AQ68" s="74">
        <f>[1]节奏总纲!AQ68</f>
        <v>1064.8300000000002</v>
      </c>
      <c r="AS68" s="74">
        <f>[1]节奏总纲!AS68</f>
        <v>65</v>
      </c>
      <c r="AT68" s="74">
        <f>[1]节奏总纲!AT68</f>
        <v>724.94511163341122</v>
      </c>
      <c r="AU68" s="74">
        <f>[1]节奏总纲!AU68</f>
        <v>579.95608930672915</v>
      </c>
      <c r="AV68" s="74">
        <f>[1]节奏总纲!AV68</f>
        <v>434.96706698004664</v>
      </c>
      <c r="AW68" s="74">
        <f>[1]节奏总纲!AW68</f>
        <v>289.97804465336458</v>
      </c>
      <c r="AX68" s="74">
        <f>[1]节奏总纲!AX68</f>
        <v>144.98902232668229</v>
      </c>
      <c r="AZ68" s="4">
        <f>[1]节奏总纲!AZ68</f>
        <v>65</v>
      </c>
      <c r="BA68" s="4">
        <f>[1]节奏总纲!BA68</f>
        <v>35.146386283795508</v>
      </c>
      <c r="BB68" s="4">
        <f>[1]节奏总纲!BB68</f>
        <v>36.631544620542407</v>
      </c>
      <c r="BC68" s="4">
        <f>[1]节奏总纲!BC68</f>
        <v>38.559434478468994</v>
      </c>
      <c r="BD68" s="4">
        <f>[1]节奏总纲!BD68</f>
        <v>41.288607292184714</v>
      </c>
      <c r="BE68" s="4">
        <f>[1]节奏总纲!BE68</f>
        <v>45.98082701761146</v>
      </c>
      <c r="BI68" s="4">
        <f>[1]节奏总纲!BI68</f>
        <v>65</v>
      </c>
      <c r="BJ68" s="4">
        <f>[1]节奏总纲!BJ68</f>
        <v>2.9999999999999996</v>
      </c>
      <c r="BK68" s="4">
        <f>[1]节奏总纲!BK68</f>
        <v>3.0599999999999996</v>
      </c>
      <c r="BL68" s="4">
        <f>[1]节奏总纲!BL68</f>
        <v>3.1799999999999997</v>
      </c>
      <c r="BM68" s="4">
        <f>[1]节奏总纲!BM68</f>
        <v>3.419999999999999</v>
      </c>
      <c r="BN68" s="4">
        <f>[1]节奏总纲!BN68</f>
        <v>4.1999999999999993</v>
      </c>
      <c r="BP68" s="74">
        <f>[1]节奏总纲!BP68</f>
        <v>65</v>
      </c>
      <c r="BQ68" s="74">
        <f>[1]节奏总纲!BQ68</f>
        <v>123.78019813475611</v>
      </c>
      <c r="BR68" s="74">
        <f>[1]节奏总纲!BR68</f>
        <v>122.94202904218383</v>
      </c>
      <c r="BS68" s="74">
        <f>[1]节奏总纲!BS68</f>
        <v>122.04564028811234</v>
      </c>
      <c r="BT68" s="74">
        <f>[1]节奏总纲!BT68</f>
        <v>121.05089677308304</v>
      </c>
      <c r="BU68" s="74">
        <f>[1]节奏总纲!BU68</f>
        <v>119.95354120546152</v>
      </c>
      <c r="BW68" s="4">
        <f>[1]节奏总纲!BW68</f>
        <v>65</v>
      </c>
      <c r="BX68" s="4">
        <f>[1]节奏总纲!BX68</f>
        <v>37.281858261446175</v>
      </c>
      <c r="BY68" s="4">
        <f>[1]节奏总纲!BY68</f>
        <v>37.830182618345603</v>
      </c>
      <c r="BZ68" s="4">
        <f>[1]节奏总纲!BZ68</f>
        <v>38.434433483033168</v>
      </c>
      <c r="CA68" s="4">
        <f>[1]节奏总纲!CA68</f>
        <v>39.10574775257124</v>
      </c>
      <c r="CB68" s="4">
        <f>[1]节奏总纲!CB68</f>
        <v>39.788896264020153</v>
      </c>
      <c r="CC68" s="4">
        <f>[1]节奏总纲!CC68</f>
        <v>39.788896264020153</v>
      </c>
    </row>
    <row r="69" spans="6:81" x14ac:dyDescent="0.15">
      <c r="F69" s="4">
        <f>[1]节奏总纲!F69</f>
        <v>67</v>
      </c>
      <c r="G69" s="4">
        <f>[1]节奏总纲!G69</f>
        <v>102.96830673359811</v>
      </c>
      <c r="I69" s="74">
        <f>[1]节奏总纲!I69</f>
        <v>67</v>
      </c>
      <c r="J69" s="74">
        <f>[1]节奏总纲!J69</f>
        <v>7133.5498113340191</v>
      </c>
      <c r="K69" s="11">
        <f>[1]节奏总纲!K69</f>
        <v>1.32</v>
      </c>
      <c r="N69" s="50">
        <f>[1]节奏总纲!N69</f>
        <v>76</v>
      </c>
      <c r="O69" s="4">
        <f>[1]节奏总纲!O69</f>
        <v>66</v>
      </c>
      <c r="P69" s="4">
        <f>[1]节奏总纲!P69</f>
        <v>96.005860256665443</v>
      </c>
      <c r="Q69" s="4">
        <f>[1]节奏总纲!Q69</f>
        <v>83.352287874836932</v>
      </c>
      <c r="R69" s="4">
        <f>[1]节奏总纲!R69</f>
        <v>68.490580707105124</v>
      </c>
      <c r="S69" s="4">
        <f>[1]节奏总纲!S69</f>
        <v>50.163061984107692</v>
      </c>
      <c r="T69" s="4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f>[1]节奏总纲!AC69</f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74">
        <f>[1]节奏总纲!AL69</f>
        <v>66</v>
      </c>
      <c r="AM69" s="74">
        <f>[1]节奏总纲!AM69</f>
        <v>6162.9846853088866</v>
      </c>
      <c r="AN69" s="74">
        <f>[1]节奏总纲!AN69</f>
        <v>4930.3877482471098</v>
      </c>
      <c r="AO69" s="74">
        <f>[1]节奏总纲!AO69</f>
        <v>3697.7908111853317</v>
      </c>
      <c r="AP69" s="74">
        <f>[1]节奏总纲!AP69</f>
        <v>2465.1938741235549</v>
      </c>
      <c r="AQ69" s="74">
        <f>[1]节奏总纲!AQ69</f>
        <v>1232.5969370617775</v>
      </c>
      <c r="AS69" s="74">
        <f>[1]节奏总纲!AS69</f>
        <v>66</v>
      </c>
      <c r="AT69" s="74">
        <f>[1]节奏总纲!AT69</f>
        <v>838.83468530888604</v>
      </c>
      <c r="AU69" s="74">
        <f>[1]节奏总纲!AU69</f>
        <v>671.06774824710919</v>
      </c>
      <c r="AV69" s="74">
        <f>[1]节奏总纲!AV69</f>
        <v>503.30081118533144</v>
      </c>
      <c r="AW69" s="74">
        <f>[1]节奏总纲!AW69</f>
        <v>335.5338741235546</v>
      </c>
      <c r="AX69" s="74">
        <f>[1]节奏总纲!AX69</f>
        <v>167.7669370617773</v>
      </c>
      <c r="AZ69" s="4">
        <f>[1]节奏总纲!AZ69</f>
        <v>66</v>
      </c>
      <c r="BA69" s="4">
        <f>[1]节奏总纲!BA69</f>
        <v>35.243977139659179</v>
      </c>
      <c r="BB69" s="4">
        <f>[1]节奏总纲!BB69</f>
        <v>36.73675803133704</v>
      </c>
      <c r="BC69" s="4">
        <f>[1]节奏总纲!BC69</f>
        <v>38.663818688865533</v>
      </c>
      <c r="BD69" s="4">
        <f>[1]节奏总纲!BD69</f>
        <v>41.389172829914081</v>
      </c>
      <c r="BE69" s="4">
        <f>[1]节奏总纲!BE69</f>
        <v>46.079770001861057</v>
      </c>
      <c r="BI69" s="4">
        <f>[1]节奏总纲!BI69</f>
        <v>66</v>
      </c>
      <c r="BJ69" s="4">
        <f>[1]节奏总纲!BJ69</f>
        <v>3.0333333333333328</v>
      </c>
      <c r="BK69" s="4">
        <f>[1]节奏总纲!BK69</f>
        <v>3.0939999999999994</v>
      </c>
      <c r="BL69" s="4">
        <f>[1]节奏总纲!BL69</f>
        <v>3.2153333333333327</v>
      </c>
      <c r="BM69" s="4">
        <f>[1]节奏总纲!BM69</f>
        <v>3.4579999999999989</v>
      </c>
      <c r="BN69" s="4">
        <f>[1]节奏总纲!BN69</f>
        <v>4.2466666666666653</v>
      </c>
      <c r="BP69" s="74">
        <f>[1]节奏总纲!BP69</f>
        <v>66</v>
      </c>
      <c r="BQ69" s="74">
        <f>[1]节奏总纲!BQ69</f>
        <v>125.89322983057725</v>
      </c>
      <c r="BR69" s="74">
        <f>[1]节奏总纲!BR69</f>
        <v>125.03207854890056</v>
      </c>
      <c r="BS69" s="74">
        <f>[1]节奏总纲!BS69</f>
        <v>124.09865268465654</v>
      </c>
      <c r="BT69" s="74">
        <f>[1]节奏总纲!BT69</f>
        <v>123.12386763900987</v>
      </c>
      <c r="BU69" s="74">
        <f>[1]节奏总纲!BU69</f>
        <v>122.09304851303449</v>
      </c>
      <c r="BW69" s="4">
        <f>[1]节奏总纲!BW69</f>
        <v>66</v>
      </c>
      <c r="BX69" s="4">
        <f>[1]节奏总纲!BX69</f>
        <v>37.753500482504599</v>
      </c>
      <c r="BY69" s="4">
        <f>[1]节奏总纲!BY69</f>
        <v>38.299957868613873</v>
      </c>
      <c r="BZ69" s="4">
        <f>[1]节奏总纲!BZ69</f>
        <v>38.923795989405541</v>
      </c>
      <c r="CA69" s="4">
        <f>[1]节奏总纲!CA69</f>
        <v>39.54248642883109</v>
      </c>
      <c r="CB69" s="4">
        <f>[1]节奏总纲!CB69</f>
        <v>40.250881200683118</v>
      </c>
      <c r="CC69" s="4">
        <f>[1]节奏总纲!CC69</f>
        <v>40.250881200683118</v>
      </c>
    </row>
    <row r="70" spans="6:81" x14ac:dyDescent="0.15">
      <c r="F70" s="4">
        <f>[1]节奏总纲!F70</f>
        <v>68</v>
      </c>
      <c r="G70" s="4">
        <f>[1]节奏总纲!G70</f>
        <v>110.43047210190386</v>
      </c>
      <c r="I70" s="74">
        <f>[1]节奏总纲!I70</f>
        <v>68</v>
      </c>
      <c r="J70" s="74">
        <f>[1]节奏总纲!J70</f>
        <v>8256.4738250473602</v>
      </c>
      <c r="K70" s="11">
        <f>[1]节奏总纲!K70</f>
        <v>1.33</v>
      </c>
      <c r="N70" s="50">
        <f>[1]节奏总纲!N70</f>
        <v>77</v>
      </c>
      <c r="O70" s="4">
        <f>[1]节奏总纲!O70</f>
        <v>67</v>
      </c>
      <c r="P70" s="4">
        <f>[1]节奏总纲!P70</f>
        <v>102.96830673359811</v>
      </c>
      <c r="Q70" s="4">
        <f>[1]节奏总纲!Q70</f>
        <v>89.469161720823394</v>
      </c>
      <c r="R70" s="4">
        <f>[1]节奏总纲!R70</f>
        <v>73.292840732975137</v>
      </c>
      <c r="S70" s="4">
        <f>[1]节奏总纲!S70</f>
        <v>53.625894146857902</v>
      </c>
      <c r="T70" s="4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f>[1]节奏总纲!AC70</f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74">
        <f>[1]节奏总纲!AL70</f>
        <v>67</v>
      </c>
      <c r="AM70" s="74">
        <f>[1]节奏总纲!AM70</f>
        <v>7133.5498113340191</v>
      </c>
      <c r="AN70" s="74">
        <f>[1]节奏总纲!AN70</f>
        <v>5706.8398490672153</v>
      </c>
      <c r="AO70" s="74">
        <f>[1]节奏总纲!AO70</f>
        <v>4280.1298868004114</v>
      </c>
      <c r="AP70" s="74">
        <f>[1]节奏总纲!AP70</f>
        <v>2853.4199245336076</v>
      </c>
      <c r="AQ70" s="74">
        <f>[1]节奏总纲!AQ70</f>
        <v>1426.7099622668038</v>
      </c>
      <c r="AS70" s="74">
        <f>[1]节奏总纲!AS70</f>
        <v>67</v>
      </c>
      <c r="AT70" s="74">
        <f>[1]节奏总纲!AT70</f>
        <v>970.56512602513249</v>
      </c>
      <c r="AU70" s="74">
        <f>[1]节奏总纲!AU70</f>
        <v>776.45210082010544</v>
      </c>
      <c r="AV70" s="74">
        <f>[1]节奏总纲!AV70</f>
        <v>582.33907561507976</v>
      </c>
      <c r="AW70" s="74">
        <f>[1]节奏总纲!AW70</f>
        <v>388.22605041005272</v>
      </c>
      <c r="AX70" s="74">
        <f>[1]节奏总纲!AX70</f>
        <v>194.11302520502636</v>
      </c>
      <c r="AZ70" s="4">
        <f>[1]节奏总纲!AZ70</f>
        <v>67</v>
      </c>
      <c r="BA70" s="4">
        <f>[1]节奏总纲!BA70</f>
        <v>35.341567995522851</v>
      </c>
      <c r="BB70" s="4">
        <f>[1]节奏总纲!BB70</f>
        <v>36.841971442131673</v>
      </c>
      <c r="BC70" s="4">
        <f>[1]节奏总纲!BC70</f>
        <v>38.768202899262064</v>
      </c>
      <c r="BD70" s="4">
        <f>[1]节奏总纲!BD70</f>
        <v>41.48973836764344</v>
      </c>
      <c r="BE70" s="4">
        <f>[1]节奏总纲!BE70</f>
        <v>46.176090215954694</v>
      </c>
      <c r="BI70" s="4">
        <f>[1]节奏总纲!BI70</f>
        <v>67</v>
      </c>
      <c r="BJ70" s="4">
        <f>[1]节奏总纲!BJ70</f>
        <v>3.066666666666666</v>
      </c>
      <c r="BK70" s="4">
        <f>[1]节奏总纲!BK70</f>
        <v>3.1279999999999992</v>
      </c>
      <c r="BL70" s="4">
        <f>[1]节奏总纲!BL70</f>
        <v>3.2506666666666661</v>
      </c>
      <c r="BM70" s="4">
        <f>[1]节奏总纲!BM70</f>
        <v>3.4959999999999991</v>
      </c>
      <c r="BN70" s="4">
        <f>[1]节奏总纲!BN70</f>
        <v>4.2933333333333321</v>
      </c>
      <c r="BP70" s="74">
        <f>[1]节奏总纲!BP70</f>
        <v>67</v>
      </c>
      <c r="BQ70" s="74">
        <f>[1]节奏总纲!BQ70</f>
        <v>128.00586023511804</v>
      </c>
      <c r="BR70" s="74">
        <f>[1]节奏总纲!BR70</f>
        <v>127.12838978012395</v>
      </c>
      <c r="BS70" s="74">
        <f>[1]节奏总纲!BS70</f>
        <v>126.19151638854794</v>
      </c>
      <c r="BT70" s="74">
        <f>[1]节奏总纲!BT70</f>
        <v>125.19410714767859</v>
      </c>
      <c r="BU70" s="74">
        <f>[1]节奏总纲!BU70</f>
        <v>124.11624751239822</v>
      </c>
      <c r="BW70" s="4">
        <f>[1]节奏总纲!BW70</f>
        <v>67</v>
      </c>
      <c r="BX70" s="4">
        <f>[1]节奏总纲!BX70</f>
        <v>38.223420039247138</v>
      </c>
      <c r="BY70" s="4">
        <f>[1]节奏总纲!BY70</f>
        <v>38.778836653495254</v>
      </c>
      <c r="BZ70" s="4">
        <f>[1]节奏总纲!BZ70</f>
        <v>39.366722334610458</v>
      </c>
      <c r="CA70" s="4">
        <f>[1]节奏总纲!CA70</f>
        <v>40.008845309680844</v>
      </c>
      <c r="CB70" s="4">
        <f>[1]节奏总纲!CB70</f>
        <v>40.704888716037352</v>
      </c>
      <c r="CC70" s="4">
        <f>[1]节奏总纲!CC70</f>
        <v>40.704888716037352</v>
      </c>
    </row>
    <row r="71" spans="6:81" x14ac:dyDescent="0.15">
      <c r="F71" s="4">
        <f>[1]节奏总纲!F71</f>
        <v>69</v>
      </c>
      <c r="G71" s="4">
        <f>[1]节奏总纲!G71</f>
        <v>118.42822291671132</v>
      </c>
      <c r="I71" s="74">
        <f>[1]节奏总纲!I71</f>
        <v>69</v>
      </c>
      <c r="J71" s="74">
        <f>[1]节奏总纲!J71</f>
        <v>9555.6072874592737</v>
      </c>
      <c r="K71" s="11">
        <f>[1]节奏总纲!K71</f>
        <v>1.34</v>
      </c>
      <c r="N71" s="50">
        <f>[1]节奏总纲!N71</f>
        <v>78</v>
      </c>
      <c r="O71" s="4">
        <f>[1]节奏总纲!O71</f>
        <v>68</v>
      </c>
      <c r="P71" s="4">
        <f>[1]节奏总纲!P71</f>
        <v>110.43047210190386</v>
      </c>
      <c r="Q71" s="4">
        <f>[1]节奏总纲!Q71</f>
        <v>95.831563690032169</v>
      </c>
      <c r="R71" s="4">
        <f>[1]节奏总纲!R71</f>
        <v>78.251032531409081</v>
      </c>
      <c r="S71" s="4">
        <f>[1]节奏总纲!S71</f>
        <v>57.412802445779818</v>
      </c>
      <c r="T71" s="4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f>[1]节奏总纲!AC71</f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74">
        <f>[1]节奏总纲!AL71</f>
        <v>68</v>
      </c>
      <c r="AM71" s="74">
        <f>[1]节奏总纲!AM71</f>
        <v>8256.4738250473602</v>
      </c>
      <c r="AN71" s="74">
        <f>[1]节奏总纲!AN71</f>
        <v>6605.1790600378881</v>
      </c>
      <c r="AO71" s="74">
        <f>[1]节奏总纲!AO71</f>
        <v>4953.8842950284161</v>
      </c>
      <c r="AP71" s="74">
        <f>[1]节奏总纲!AP71</f>
        <v>3302.5895300189441</v>
      </c>
      <c r="AQ71" s="74">
        <f>[1]节奏总纲!AQ71</f>
        <v>1651.294765009472</v>
      </c>
      <c r="AS71" s="74">
        <f>[1]节奏总纲!AS71</f>
        <v>68</v>
      </c>
      <c r="AT71" s="74">
        <f>[1]节奏总纲!AT71</f>
        <v>1122.9240137133411</v>
      </c>
      <c r="AU71" s="74">
        <f>[1]节奏总纲!AU71</f>
        <v>898.33921097067287</v>
      </c>
      <c r="AV71" s="74">
        <f>[1]节奏总纲!AV71</f>
        <v>673.75440822800465</v>
      </c>
      <c r="AW71" s="74">
        <f>[1]节奏总纲!AW71</f>
        <v>449.16960548533643</v>
      </c>
      <c r="AX71" s="74">
        <f>[1]节奏总纲!AX71</f>
        <v>224.58480274266822</v>
      </c>
      <c r="AZ71" s="4">
        <f>[1]节奏总纲!AZ71</f>
        <v>68</v>
      </c>
      <c r="BA71" s="4">
        <f>[1]节奏总纲!BA71</f>
        <v>35.439158851386523</v>
      </c>
      <c r="BB71" s="4">
        <f>[1]节奏总纲!BB71</f>
        <v>36.947184852926306</v>
      </c>
      <c r="BC71" s="4">
        <f>[1]节奏总纲!BC71</f>
        <v>38.872587109658596</v>
      </c>
      <c r="BD71" s="4">
        <f>[1]节奏总纲!BD71</f>
        <v>41.590303905372799</v>
      </c>
      <c r="BE71" s="4">
        <f>[1]节奏总纲!BE71</f>
        <v>46.272410430048332</v>
      </c>
      <c r="BI71" s="4">
        <f>[1]节奏总纲!BI71</f>
        <v>68</v>
      </c>
      <c r="BJ71" s="4">
        <f>[1]节奏总纲!BJ71</f>
        <v>3.0999999999999992</v>
      </c>
      <c r="BK71" s="4">
        <f>[1]节奏总纲!BK71</f>
        <v>3.161999999999999</v>
      </c>
      <c r="BL71" s="4">
        <f>[1]节奏总纲!BL71</f>
        <v>3.2859999999999991</v>
      </c>
      <c r="BM71" s="4">
        <f>[1]节奏总纲!BM71</f>
        <v>3.5339999999999989</v>
      </c>
      <c r="BN71" s="4">
        <f>[1]节奏总纲!BN71</f>
        <v>4.339999999999999</v>
      </c>
      <c r="BP71" s="74">
        <f>[1]节奏总纲!BP71</f>
        <v>68</v>
      </c>
      <c r="BQ71" s="74">
        <f>[1]节奏总纲!BQ71</f>
        <v>130.11135606394996</v>
      </c>
      <c r="BR71" s="74">
        <f>[1]节奏总纲!BR71</f>
        <v>129.28753527830008</v>
      </c>
      <c r="BS71" s="74">
        <f>[1]节奏总纲!BS71</f>
        <v>128.41849022048493</v>
      </c>
      <c r="BT71" s="74">
        <f>[1]节奏总纲!BT71</f>
        <v>127.45983734027742</v>
      </c>
      <c r="BU71" s="74">
        <f>[1]节奏总纲!BU71</f>
        <v>126.37501502290067</v>
      </c>
      <c r="BW71" s="4">
        <f>[1]节奏总纲!BW71</f>
        <v>68</v>
      </c>
      <c r="BX71" s="4">
        <f>[1]节奏总纲!BX71</f>
        <v>38.690779383138512</v>
      </c>
      <c r="BY71" s="4">
        <f>[1]节奏总纲!BY71</f>
        <v>39.238919857187803</v>
      </c>
      <c r="BZ71" s="4">
        <f>[1]节奏总纲!BZ71</f>
        <v>39.813229873395798</v>
      </c>
      <c r="CA71" s="4">
        <f>[1]节奏总纲!CA71</f>
        <v>40.450201830884396</v>
      </c>
      <c r="CB71" s="4">
        <f>[1]节奏总纲!CB71</f>
        <v>41.159720729358739</v>
      </c>
      <c r="CC71" s="4">
        <f>[1]节奏总纲!CC71</f>
        <v>41.159720729358739</v>
      </c>
    </row>
    <row r="72" spans="6:81" x14ac:dyDescent="0.15">
      <c r="F72" s="4">
        <f>[1]节奏总纲!F72</f>
        <v>70</v>
      </c>
      <c r="G72" s="4">
        <f>[1]节奏总纲!G72</f>
        <v>127</v>
      </c>
      <c r="I72" s="74">
        <f>[1]节奏总纲!I72</f>
        <v>70</v>
      </c>
      <c r="J72" s="74">
        <f>[1]节奏总纲!J72</f>
        <v>11058.525000000001</v>
      </c>
      <c r="K72" s="11">
        <f>[1]节奏总纲!K72</f>
        <v>1.35</v>
      </c>
      <c r="N72" s="50">
        <f>[1]节奏总纲!N72</f>
        <v>79</v>
      </c>
      <c r="O72" s="4">
        <f>[1]节奏总纲!O72</f>
        <v>69</v>
      </c>
      <c r="P72" s="4">
        <f>[1]节奏总纲!P72</f>
        <v>118.42822291671132</v>
      </c>
      <c r="Q72" s="4">
        <f>[1]节奏总纲!Q72</f>
        <v>102.51146975670532</v>
      </c>
      <c r="R72" s="4">
        <f>[1]节奏总纲!R72</f>
        <v>83.894553114198303</v>
      </c>
      <c r="S72" s="4">
        <f>[1]节奏总纲!S72</f>
        <v>61.535304627523196</v>
      </c>
      <c r="T72" s="4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f>[1]节奏总纲!AC72</f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74">
        <f>[1]节奏总纲!AL72</f>
        <v>69</v>
      </c>
      <c r="AM72" s="74">
        <f>[1]节奏总纲!AM72</f>
        <v>9555.6072874592737</v>
      </c>
      <c r="AN72" s="74">
        <f>[1]节奏总纲!AN72</f>
        <v>7644.4858299674197</v>
      </c>
      <c r="AO72" s="74">
        <f>[1]节奏总纲!AO72</f>
        <v>5733.3643724755639</v>
      </c>
      <c r="AP72" s="74">
        <f>[1]节奏总纲!AP72</f>
        <v>3822.2429149837099</v>
      </c>
      <c r="AQ72" s="74">
        <f>[1]节奏总纲!AQ72</f>
        <v>1911.1214574918549</v>
      </c>
      <c r="AS72" s="74">
        <f>[1]节奏总纲!AS72</f>
        <v>69</v>
      </c>
      <c r="AT72" s="74">
        <f>[1]节奏总纲!AT72</f>
        <v>1299.1334624119136</v>
      </c>
      <c r="AU72" s="74">
        <f>[1]节奏总纲!AU72</f>
        <v>1039.3067699295316</v>
      </c>
      <c r="AV72" s="74">
        <f>[1]节奏总纲!AV72</f>
        <v>779.48007744714778</v>
      </c>
      <c r="AW72" s="74">
        <f>[1]节奏总纲!AW72</f>
        <v>519.65338496476579</v>
      </c>
      <c r="AX72" s="74">
        <f>[1]节奏总纲!AX72</f>
        <v>259.8266924823829</v>
      </c>
      <c r="AZ72" s="4">
        <f>[1]节奏总纲!AZ72</f>
        <v>69</v>
      </c>
      <c r="BA72" s="4">
        <f>[1]节奏总纲!BA72</f>
        <v>35.536749707250202</v>
      </c>
      <c r="BB72" s="4">
        <f>[1]节奏总纲!BB72</f>
        <v>37.045197000674086</v>
      </c>
      <c r="BC72" s="4">
        <f>[1]节奏总纲!BC72</f>
        <v>38.976971320055128</v>
      </c>
      <c r="BD72" s="4">
        <f>[1]节奏总纲!BD72</f>
        <v>41.690869443102159</v>
      </c>
      <c r="BE72" s="4">
        <f>[1]节奏总纲!BE72</f>
        <v>46.368730644141969</v>
      </c>
      <c r="BI72" s="4">
        <f>[1]节奏总纲!BI72</f>
        <v>69</v>
      </c>
      <c r="BJ72" s="4">
        <f>[1]节奏总纲!BJ72</f>
        <v>3.1333333333333324</v>
      </c>
      <c r="BK72" s="4">
        <f>[1]节奏总纲!BK72</f>
        <v>3.1959999999999993</v>
      </c>
      <c r="BL72" s="4">
        <f>[1]节奏总纲!BL72</f>
        <v>3.3213333333333326</v>
      </c>
      <c r="BM72" s="4">
        <f>[1]节奏总纲!BM72</f>
        <v>3.5719999999999987</v>
      </c>
      <c r="BN72" s="4">
        <f>[1]节奏总纲!BN72</f>
        <v>4.3866666666666649</v>
      </c>
      <c r="BP72" s="74">
        <f>[1]节奏总纲!BP72</f>
        <v>69</v>
      </c>
      <c r="BQ72" s="74">
        <f>[1]节奏总纲!BQ72</f>
        <v>132.21686522535077</v>
      </c>
      <c r="BR72" s="74">
        <f>[1]节奏总纲!BR72</f>
        <v>131.37187315551134</v>
      </c>
      <c r="BS72" s="74">
        <f>[1]节奏总纲!BS72</f>
        <v>130.47467154691921</v>
      </c>
      <c r="BT72" s="74">
        <f>[1]节奏总纲!BT72</f>
        <v>129.52983824261307</v>
      </c>
      <c r="BU72" s="74">
        <f>[1]节奏总纲!BU72</f>
        <v>128.52822980669353</v>
      </c>
      <c r="BW72" s="4">
        <f>[1]节奏总纲!BW72</f>
        <v>69</v>
      </c>
      <c r="BX72" s="4">
        <f>[1]节奏总纲!BX72</f>
        <v>39.165368824198744</v>
      </c>
      <c r="BY72" s="4">
        <f>[1]节奏总纲!BY72</f>
        <v>39.690086613900846</v>
      </c>
      <c r="BZ72" s="4">
        <f>[1]节奏总纲!BZ72</f>
        <v>40.27734947532835</v>
      </c>
      <c r="CA72" s="4">
        <f>[1]节奏总纲!CA72</f>
        <v>40.930671141986089</v>
      </c>
      <c r="CB72" s="4">
        <f>[1]节奏总纲!CB72</f>
        <v>41.602363103332472</v>
      </c>
      <c r="CC72" s="4">
        <f>[1]节奏总纲!CC72</f>
        <v>41.602363103332472</v>
      </c>
    </row>
    <row r="73" spans="6:81" x14ac:dyDescent="0.15">
      <c r="F73" s="4">
        <f>[1]节奏总纲!F73</f>
        <v>71</v>
      </c>
      <c r="G73" s="4">
        <f>[1]节奏总纲!G73</f>
        <v>136.18700320464549</v>
      </c>
      <c r="I73" s="74">
        <f>[1]节奏总纲!I73</f>
        <v>71</v>
      </c>
      <c r="J73" s="74">
        <f>[1]节奏总纲!J73</f>
        <v>12797.106216824561</v>
      </c>
      <c r="K73" s="11">
        <f>[1]节奏总纲!K73</f>
        <v>1.36</v>
      </c>
      <c r="N73" s="50">
        <f>[1]节奏总纲!N73</f>
        <v>80</v>
      </c>
      <c r="O73" s="4">
        <f>[1]节奏总纲!O73</f>
        <v>70</v>
      </c>
      <c r="P73" s="4">
        <f>[1]节奏总纲!P73</f>
        <v>127</v>
      </c>
      <c r="Q73" s="4">
        <f>[1]节奏总纲!Q73</f>
        <v>109.9693</v>
      </c>
      <c r="R73" s="4">
        <f>[1]节奏总纲!R73</f>
        <v>90.106499999999997</v>
      </c>
      <c r="S73" s="4">
        <f>[1]节奏总纲!S73</f>
        <v>65.925700000000006</v>
      </c>
      <c r="T73" s="4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f>[1]节奏总纲!AC73</f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74">
        <f>[1]节奏总纲!AL73</f>
        <v>70</v>
      </c>
      <c r="AM73" s="74">
        <f>[1]节奏总纲!AM73</f>
        <v>11058.525000000001</v>
      </c>
      <c r="AN73" s="74">
        <f>[1]节奏总纲!AN73</f>
        <v>8846.8200000000015</v>
      </c>
      <c r="AO73" s="74">
        <f>[1]节奏总纲!AO73</f>
        <v>6635.1150000000007</v>
      </c>
      <c r="AP73" s="74">
        <f>[1]节奏总纲!AP73</f>
        <v>4423.4100000000008</v>
      </c>
      <c r="AQ73" s="74">
        <f>[1]节奏总纲!AQ73</f>
        <v>2211.7050000000004</v>
      </c>
      <c r="AS73" s="74">
        <f>[1]节奏总纲!AS73</f>
        <v>70</v>
      </c>
      <c r="AT73" s="74">
        <f>[1]节奏总纲!AT73</f>
        <v>1502.9177125407277</v>
      </c>
      <c r="AU73" s="74">
        <f>[1]节奏总纲!AU73</f>
        <v>1202.3341700325818</v>
      </c>
      <c r="AV73" s="74">
        <f>[1]节奏总纲!AV73</f>
        <v>901.75062752443682</v>
      </c>
      <c r="AW73" s="74">
        <f>[1]节奏总纲!AW73</f>
        <v>601.16708501629091</v>
      </c>
      <c r="AX73" s="74">
        <f>[1]节奏总纲!AX73</f>
        <v>300.58354250814546</v>
      </c>
      <c r="AZ73" s="4">
        <f>[1]节奏总纲!AZ73</f>
        <v>70</v>
      </c>
      <c r="BA73" s="4">
        <f>[1]节奏总纲!BA73</f>
        <v>35.634340563113874</v>
      </c>
      <c r="BB73" s="4">
        <f>[1]节奏总纲!BB73</f>
        <v>37.135950591746003</v>
      </c>
      <c r="BC73" s="4">
        <f>[1]节奏总纲!BC73</f>
        <v>39.070187171981765</v>
      </c>
      <c r="BD73" s="4">
        <f>[1]节奏总纲!BD73</f>
        <v>41.791434980831518</v>
      </c>
      <c r="BE73" s="4">
        <f>[1]节奏总纲!BE73</f>
        <v>46.465050858235607</v>
      </c>
      <c r="BI73" s="4">
        <f>[1]节奏总纲!BI73</f>
        <v>70</v>
      </c>
      <c r="BJ73" s="4">
        <f>[1]节奏总纲!BJ73</f>
        <v>3.1666666666666656</v>
      </c>
      <c r="BK73" s="4">
        <f>[1]节奏总纲!BK73</f>
        <v>3.2299999999999991</v>
      </c>
      <c r="BL73" s="4">
        <f>[1]节奏总纲!BL73</f>
        <v>3.3566666666666656</v>
      </c>
      <c r="BM73" s="4">
        <f>[1]节奏总纲!BM73</f>
        <v>3.6099999999999985</v>
      </c>
      <c r="BN73" s="4">
        <f>[1]节奏总纲!BN73</f>
        <v>4.4333333333333318</v>
      </c>
      <c r="BP73" s="74">
        <f>[1]节奏总纲!BP73</f>
        <v>70</v>
      </c>
      <c r="BQ73" s="74">
        <f>[1]节奏总纲!BQ73</f>
        <v>134.32238585092639</v>
      </c>
      <c r="BR73" s="74">
        <f>[1]节奏总纲!BR73</f>
        <v>133.48248819741508</v>
      </c>
      <c r="BS73" s="74">
        <f>[1]节奏总纲!BS73</f>
        <v>132.56461040487298</v>
      </c>
      <c r="BT73" s="74">
        <f>[1]节奏总纲!BT73</f>
        <v>131.5959653197481</v>
      </c>
      <c r="BU73" s="74">
        <f>[1]节奏总纲!BU73</f>
        <v>130.57679608675303</v>
      </c>
      <c r="BW73" s="4">
        <f>[1]节奏总纲!BW73</f>
        <v>70</v>
      </c>
      <c r="BX73" s="4">
        <f>[1]节奏总纲!BX73</f>
        <v>39.628525141348646</v>
      </c>
      <c r="BY73" s="4">
        <f>[1]节奏总纲!BY73</f>
        <v>40.167205562734367</v>
      </c>
      <c r="BZ73" s="4">
        <f>[1]节奏总纲!BZ73</f>
        <v>40.760009392249536</v>
      </c>
      <c r="CA73" s="4">
        <f>[1]节奏总纲!CA73</f>
        <v>41.381700810460785</v>
      </c>
      <c r="CB73" s="4">
        <f>[1]节奏总纲!CB73</f>
        <v>42.080332137364977</v>
      </c>
      <c r="CC73" s="4">
        <f>[1]节奏总纲!CC73</f>
        <v>42.080332137364977</v>
      </c>
    </row>
    <row r="74" spans="6:81" x14ac:dyDescent="0.15">
      <c r="F74" s="4">
        <f>[1]节奏总纲!F74</f>
        <v>72</v>
      </c>
      <c r="G74" s="4">
        <f>[1]节奏总纲!G74</f>
        <v>146.03338943962044</v>
      </c>
      <c r="I74" s="74">
        <f>[1]节奏总纲!I74</f>
        <v>72</v>
      </c>
      <c r="J74" s="74">
        <f>[1]节奏总纲!J74</f>
        <v>14808.205062920617</v>
      </c>
      <c r="K74" s="11">
        <f>[1]节奏总纲!K74</f>
        <v>1.37</v>
      </c>
      <c r="N74" s="50">
        <f>[1]节奏总纲!N74</f>
        <v>81</v>
      </c>
      <c r="O74" s="4">
        <f>[1]节奏总纲!O74</f>
        <v>71</v>
      </c>
      <c r="P74" s="4">
        <f>[1]节奏总纲!P74</f>
        <v>136.18700320464549</v>
      </c>
      <c r="Q74" s="4">
        <f>[1]节奏总纲!Q74</f>
        <v>118.03327567746625</v>
      </c>
      <c r="R74" s="4">
        <f>[1]节奏总纲!R74</f>
        <v>96.583822672734584</v>
      </c>
      <c r="S74" s="4">
        <f>[1]节奏总纲!S74</f>
        <v>70.612961161608681</v>
      </c>
      <c r="T74" s="4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f>[1]节奏总纲!AC74</f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74">
        <f>[1]节奏总纲!AL74</f>
        <v>71</v>
      </c>
      <c r="AM74" s="74">
        <f>[1]节奏总纲!AM74</f>
        <v>12797.106216824561</v>
      </c>
      <c r="AN74" s="74">
        <f>[1]节奏总纲!AN74</f>
        <v>10237.684973459649</v>
      </c>
      <c r="AO74" s="74">
        <f>[1]节奏总纲!AO74</f>
        <v>7678.2637300947363</v>
      </c>
      <c r="AP74" s="74">
        <f>[1]节奏总纲!AP74</f>
        <v>5118.8424867298245</v>
      </c>
      <c r="AQ74" s="74">
        <f>[1]节奏总纲!AQ74</f>
        <v>2559.4212433649122</v>
      </c>
      <c r="AS74" s="74">
        <f>[1]节奏总纲!AS74</f>
        <v>71</v>
      </c>
      <c r="AT74" s="74">
        <f>[1]节奏总纲!AT74</f>
        <v>1738.5812168245593</v>
      </c>
      <c r="AU74" s="74">
        <f>[1]节奏总纲!AU74</f>
        <v>1390.8649734596474</v>
      </c>
      <c r="AV74" s="74">
        <f>[1]节奏总纲!AV74</f>
        <v>1043.1487300947356</v>
      </c>
      <c r="AW74" s="74">
        <f>[1]节奏总纲!AW74</f>
        <v>695.43248672982372</v>
      </c>
      <c r="AX74" s="74">
        <f>[1]节奏总纲!AX74</f>
        <v>347.71624336491186</v>
      </c>
      <c r="AZ74" s="4">
        <f>[1]节奏总纲!AZ74</f>
        <v>71</v>
      </c>
      <c r="BA74" s="4">
        <f>[1]节奏总纲!BA74</f>
        <v>35.731931418977545</v>
      </c>
      <c r="BB74" s="4">
        <f>[1]节奏总纲!BB74</f>
        <v>37.226704182817912</v>
      </c>
      <c r="BC74" s="4">
        <f>[1]节奏总纲!BC74</f>
        <v>39.160241683169971</v>
      </c>
      <c r="BD74" s="4">
        <f>[1]节奏总纲!BD74</f>
        <v>41.892000518560877</v>
      </c>
      <c r="BE74" s="4">
        <f>[1]节奏总纲!BE74</f>
        <v>46.561371072329244</v>
      </c>
      <c r="BI74" s="4">
        <f>[1]节奏总纲!BI74</f>
        <v>71</v>
      </c>
      <c r="BJ74" s="4">
        <f>[1]节奏总纲!BJ74</f>
        <v>3.1999999999999988</v>
      </c>
      <c r="BK74" s="4">
        <f>[1]节奏总纲!BK74</f>
        <v>3.2639999999999989</v>
      </c>
      <c r="BL74" s="4">
        <f>[1]节奏总纲!BL74</f>
        <v>3.391999999999999</v>
      </c>
      <c r="BM74" s="4">
        <f>[1]节奏总纲!BM74</f>
        <v>3.6479999999999984</v>
      </c>
      <c r="BN74" s="4">
        <f>[1]节奏总纲!BN74</f>
        <v>4.4799999999999978</v>
      </c>
      <c r="BP74" s="74">
        <f>[1]节奏总纲!BP74</f>
        <v>71</v>
      </c>
      <c r="BQ74" s="74">
        <f>[1]节奏总纲!BQ74</f>
        <v>136.42791633259191</v>
      </c>
      <c r="BR74" s="74">
        <f>[1]节奏总纲!BR74</f>
        <v>135.62040290082996</v>
      </c>
      <c r="BS74" s="74">
        <f>[1]节奏总纲!BS74</f>
        <v>134.76985377611533</v>
      </c>
      <c r="BT74" s="74">
        <f>[1]节奏总纲!BT74</f>
        <v>133.82828810970861</v>
      </c>
      <c r="BU74" s="74">
        <f>[1]节奏总纲!BU74</f>
        <v>132.7790170152997</v>
      </c>
      <c r="BW74" s="4">
        <f>[1]节奏总纲!BW74</f>
        <v>71</v>
      </c>
      <c r="BX74" s="4">
        <f>[1]节奏总纲!BX74</f>
        <v>40.107783723382404</v>
      </c>
      <c r="BY74" s="4">
        <f>[1]节奏总纲!BY74</f>
        <v>40.637125609793571</v>
      </c>
      <c r="BZ74" s="4">
        <f>[1]节奏总纲!BZ74</f>
        <v>41.227183381803457</v>
      </c>
      <c r="CA74" s="4">
        <f>[1]节奏总纲!CA74</f>
        <v>41.85307774965591</v>
      </c>
      <c r="CB74" s="4">
        <f>[1]节奏总纲!CB74</f>
        <v>42.536236620449564</v>
      </c>
      <c r="CC74" s="4">
        <f>[1]节奏总纲!CC74</f>
        <v>42.536236620449564</v>
      </c>
    </row>
    <row r="75" spans="6:81" x14ac:dyDescent="0.15">
      <c r="F75" s="4">
        <f>[1]节奏总纲!F75</f>
        <v>73</v>
      </c>
      <c r="G75" s="4">
        <f>[1]节奏总纲!G75</f>
        <v>156.58648490814926</v>
      </c>
      <c r="I75" s="74">
        <f>[1]节奏总纲!I75</f>
        <v>73</v>
      </c>
      <c r="J75" s="74">
        <f>[1]节奏总纲!J75</f>
        <v>17134.425155737379</v>
      </c>
      <c r="K75" s="11">
        <f>[1]节奏总纲!K75</f>
        <v>1.38</v>
      </c>
      <c r="N75" s="50">
        <f>[1]节奏总纲!N75</f>
        <v>82</v>
      </c>
      <c r="O75" s="4">
        <f>[1]节奏总纲!O75</f>
        <v>72</v>
      </c>
      <c r="P75" s="4">
        <f>[1]节奏总纲!P75</f>
        <v>146.03338943962044</v>
      </c>
      <c r="Q75" s="4">
        <f>[1]节奏总纲!Q75</f>
        <v>126.581741966263</v>
      </c>
      <c r="R75" s="4">
        <f>[1]节奏总纲!R75</f>
        <v>103.31862302853146</v>
      </c>
      <c r="S75" s="4">
        <f>[1]节奏总纲!S75</f>
        <v>75.586882373947532</v>
      </c>
      <c r="T75" s="4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f>[1]节奏总纲!AC75</f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74">
        <f>[1]节奏总纲!AL75</f>
        <v>72</v>
      </c>
      <c r="AM75" s="74">
        <f>[1]节奏总纲!AM75</f>
        <v>14808.205062920617</v>
      </c>
      <c r="AN75" s="74">
        <f>[1]节奏总纲!AN75</f>
        <v>11846.564050336494</v>
      </c>
      <c r="AO75" s="74">
        <f>[1]节奏总纲!AO75</f>
        <v>8884.9230377523691</v>
      </c>
      <c r="AP75" s="74">
        <f>[1]节奏总纲!AP75</f>
        <v>5923.2820251682469</v>
      </c>
      <c r="AQ75" s="74">
        <f>[1]节奏总纲!AQ75</f>
        <v>2961.6410125841235</v>
      </c>
      <c r="AS75" s="74">
        <f>[1]节奏总纲!AS75</f>
        <v>72</v>
      </c>
      <c r="AT75" s="74">
        <f>[1]节奏总纲!AT75</f>
        <v>2011.0988460960561</v>
      </c>
      <c r="AU75" s="74">
        <f>[1]节奏总纲!AU75</f>
        <v>1608.8790768768449</v>
      </c>
      <c r="AV75" s="74">
        <f>[1]节奏总纲!AV75</f>
        <v>1206.6593076576328</v>
      </c>
      <c r="AW75" s="74">
        <f>[1]节奏总纲!AW75</f>
        <v>804.43953843842246</v>
      </c>
      <c r="AX75" s="74">
        <f>[1]节奏总纲!AX75</f>
        <v>402.21976921921123</v>
      </c>
      <c r="AZ75" s="4">
        <f>[1]节奏总纲!AZ75</f>
        <v>72</v>
      </c>
      <c r="BA75" s="4">
        <f>[1]节奏总纲!BA75</f>
        <v>35.829522274841217</v>
      </c>
      <c r="BB75" s="4">
        <f>[1]节奏总纲!BB75</f>
        <v>37.317457773889828</v>
      </c>
      <c r="BC75" s="4">
        <f>[1]节奏总纲!BC75</f>
        <v>39.250296194358178</v>
      </c>
      <c r="BD75" s="4">
        <f>[1]节奏总纲!BD75</f>
        <v>41.992566056290244</v>
      </c>
      <c r="BE75" s="4">
        <f>[1]节奏总纲!BE75</f>
        <v>46.657691286422882</v>
      </c>
      <c r="BI75" s="4">
        <f>[1]节奏总纲!BI75</f>
        <v>72</v>
      </c>
      <c r="BJ75" s="4">
        <f>[1]节奏总纲!BJ75</f>
        <v>3.2333333333333321</v>
      </c>
      <c r="BK75" s="4">
        <f>[1]节奏总纲!BK75</f>
        <v>3.2979999999999987</v>
      </c>
      <c r="BL75" s="4">
        <f>[1]节奏总纲!BL75</f>
        <v>3.427333333333332</v>
      </c>
      <c r="BM75" s="4">
        <f>[1]节奏总纲!BM75</f>
        <v>3.6859999999999982</v>
      </c>
      <c r="BN75" s="4">
        <f>[1]节奏总纲!BN75</f>
        <v>4.5266666666666646</v>
      </c>
      <c r="BP75" s="74">
        <f>[1]节奏总纲!BP75</f>
        <v>72</v>
      </c>
      <c r="BQ75" s="74">
        <f>[1]节奏总纲!BQ75</f>
        <v>138.53345528648683</v>
      </c>
      <c r="BR75" s="74">
        <f>[1]节奏总纲!BR75</f>
        <v>137.70627422196659</v>
      </c>
      <c r="BS75" s="74">
        <f>[1]节奏总纲!BS75</f>
        <v>136.8190741194654</v>
      </c>
      <c r="BT75" s="74">
        <f>[1]节奏总纲!BT75</f>
        <v>135.89542876835631</v>
      </c>
      <c r="BU75" s="74">
        <f>[1]节奏总纲!BU75</f>
        <v>134.91256595481366</v>
      </c>
      <c r="BW75" s="4">
        <f>[1]节奏总纲!BW75</f>
        <v>72</v>
      </c>
      <c r="BX75" s="4">
        <f>[1]节奏总纲!BX75</f>
        <v>40.566814302636963</v>
      </c>
      <c r="BY75" s="4">
        <f>[1]节奏总纲!BY75</f>
        <v>41.116727813554483</v>
      </c>
      <c r="BZ75" s="4">
        <f>[1]节奏总纲!BZ75</f>
        <v>41.67870926132386</v>
      </c>
      <c r="CA75" s="4">
        <f>[1]节奏总纲!CA75</f>
        <v>42.304861384799864</v>
      </c>
      <c r="CB75" s="4">
        <f>[1]节奏总纲!CB75</f>
        <v>43.014746184152813</v>
      </c>
      <c r="CC75" s="4">
        <f>[1]节奏总纲!CC75</f>
        <v>43.014746184152813</v>
      </c>
    </row>
    <row r="76" spans="6:81" x14ac:dyDescent="0.15">
      <c r="F76" s="4">
        <f>[1]节奏总纲!F76</f>
        <v>74</v>
      </c>
      <c r="G76" s="4">
        <f>[1]节奏总纲!G76</f>
        <v>167.89701257893043</v>
      </c>
      <c r="I76" s="74">
        <f>[1]节奏总纲!I76</f>
        <v>74</v>
      </c>
      <c r="J76" s="74">
        <f>[1]节奏总纲!J76</f>
        <v>19825.014596370729</v>
      </c>
      <c r="K76" s="11">
        <f>[1]节奏总纲!K76</f>
        <v>1.39</v>
      </c>
      <c r="N76" s="50">
        <f>[1]节奏总纲!N76</f>
        <v>83</v>
      </c>
      <c r="O76" s="4">
        <f>[1]节奏总纲!O76</f>
        <v>73</v>
      </c>
      <c r="P76" s="4">
        <f>[1]节奏总纲!P76</f>
        <v>156.58648490814926</v>
      </c>
      <c r="Q76" s="4">
        <f>[1]节奏总纲!Q76</f>
        <v>135.41599214856748</v>
      </c>
      <c r="R76" s="4">
        <f>[1]节奏总纲!R76</f>
        <v>110.58137564213501</v>
      </c>
      <c r="S76" s="4">
        <f>[1]节奏总纲!S76</f>
        <v>80.955212697513176</v>
      </c>
      <c r="T76" s="4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f>[1]节奏总纲!AC76</f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74">
        <f>[1]节奏总纲!AL76</f>
        <v>73</v>
      </c>
      <c r="AM76" s="74">
        <f>[1]节奏总纲!AM76</f>
        <v>17134.425155737379</v>
      </c>
      <c r="AN76" s="74">
        <f>[1]节奏总纲!AN76</f>
        <v>13707.540124589905</v>
      </c>
      <c r="AO76" s="74">
        <f>[1]节奏总纲!AO76</f>
        <v>10280.655093442427</v>
      </c>
      <c r="AP76" s="74">
        <f>[1]节奏总纲!AP76</f>
        <v>6853.7700622949524</v>
      </c>
      <c r="AQ76" s="74">
        <f>[1]节奏总纲!AQ76</f>
        <v>3426.8850311474762</v>
      </c>
      <c r="AS76" s="74">
        <f>[1]节奏总纲!AS76</f>
        <v>73</v>
      </c>
      <c r="AT76" s="74">
        <f>[1]节奏总纲!AT76</f>
        <v>2326.2200928167622</v>
      </c>
      <c r="AU76" s="74">
        <f>[1]节奏总纲!AU76</f>
        <v>1860.9760742534108</v>
      </c>
      <c r="AV76" s="74">
        <f>[1]节奏总纲!AV76</f>
        <v>1395.7320556900577</v>
      </c>
      <c r="AW76" s="74">
        <f>[1]节奏总纲!AW76</f>
        <v>930.48803712670542</v>
      </c>
      <c r="AX76" s="74">
        <f>[1]节奏总纲!AX76</f>
        <v>465.24401856335271</v>
      </c>
      <c r="AZ76" s="4">
        <f>[1]节奏总纲!AZ76</f>
        <v>73</v>
      </c>
      <c r="BA76" s="4">
        <f>[1]节奏总纲!BA76</f>
        <v>35.927113130704889</v>
      </c>
      <c r="BB76" s="4">
        <f>[1]节奏总纲!BB76</f>
        <v>37.408211364961737</v>
      </c>
      <c r="BC76" s="4">
        <f>[1]节奏总纲!BC76</f>
        <v>39.340350705546385</v>
      </c>
      <c r="BD76" s="4">
        <f>[1]节奏总纲!BD76</f>
        <v>42.080366850119908</v>
      </c>
      <c r="BE76" s="4">
        <f>[1]节奏总纲!BE76</f>
        <v>46.754011500516519</v>
      </c>
      <c r="BI76" s="4">
        <f>[1]节奏总纲!BI76</f>
        <v>73</v>
      </c>
      <c r="BJ76" s="4">
        <f>[1]节奏总纲!BJ76</f>
        <v>3.2666666666666653</v>
      </c>
      <c r="BK76" s="4">
        <f>[1]节奏总纲!BK76</f>
        <v>3.3319999999999985</v>
      </c>
      <c r="BL76" s="4">
        <f>[1]节奏总纲!BL76</f>
        <v>3.4626666666666654</v>
      </c>
      <c r="BM76" s="4">
        <f>[1]节奏总纲!BM76</f>
        <v>3.723999999999998</v>
      </c>
      <c r="BN76" s="4">
        <f>[1]节奏总纲!BN76</f>
        <v>4.5733333333333315</v>
      </c>
      <c r="BP76" s="74">
        <f>[1]节奏总纲!BP76</f>
        <v>73</v>
      </c>
      <c r="BQ76" s="74">
        <f>[1]节奏总纲!BQ76</f>
        <v>140.63900152187057</v>
      </c>
      <c r="BR76" s="74">
        <f>[1]节奏总纲!BR76</f>
        <v>139.81183580038677</v>
      </c>
      <c r="BS76" s="74">
        <f>[1]节奏总纲!BS76</f>
        <v>138.91106706435997</v>
      </c>
      <c r="BT76" s="74">
        <f>[1]节奏总纲!BT76</f>
        <v>137.96184741964817</v>
      </c>
      <c r="BU76" s="74">
        <f>[1]节奏总纲!BU76</f>
        <v>136.95030487715928</v>
      </c>
      <c r="BW76" s="4">
        <f>[1]节奏总纲!BW76</f>
        <v>73</v>
      </c>
      <c r="BX76" s="4">
        <f>[1]节奏总纲!BX76</f>
        <v>41.050728962151652</v>
      </c>
      <c r="BY76" s="4">
        <f>[1]节奏总纲!BY76</f>
        <v>41.560938373564056</v>
      </c>
      <c r="BZ76" s="4">
        <f>[1]节奏总纲!BZ76</f>
        <v>42.142929396202454</v>
      </c>
      <c r="CA76" s="4">
        <f>[1]节奏总纲!CA76</f>
        <v>42.770735222023518</v>
      </c>
      <c r="CB76" s="4">
        <f>[1]节奏总纲!CB76</f>
        <v>43.461216869621744</v>
      </c>
      <c r="CC76" s="4">
        <f>[1]节奏总纲!CC76</f>
        <v>43.461216869621744</v>
      </c>
    </row>
    <row r="77" spans="6:81" x14ac:dyDescent="0.15">
      <c r="F77" s="4">
        <f>[1]节奏总纲!F77</f>
        <v>75</v>
      </c>
      <c r="G77" s="4">
        <f>[1]节奏总纲!G77</f>
        <v>180.01933598375612</v>
      </c>
      <c r="I77" s="74">
        <f>[1]节奏总纲!I77</f>
        <v>75</v>
      </c>
      <c r="J77" s="74">
        <f>[1]节奏总纲!J77</f>
        <v>22936.899999999998</v>
      </c>
      <c r="K77" s="11">
        <f>[1]节奏总纲!K77</f>
        <v>1.4</v>
      </c>
      <c r="N77" s="50">
        <f>[1]节奏总纲!N77</f>
        <v>84</v>
      </c>
      <c r="O77" s="4">
        <f>[1]节奏总纲!O77</f>
        <v>74</v>
      </c>
      <c r="P77" s="4">
        <f>[1]节奏总纲!P77</f>
        <v>167.89701257893043</v>
      </c>
      <c r="Q77" s="4">
        <f>[1]节奏总纲!Q77</f>
        <v>145.16375707574326</v>
      </c>
      <c r="R77" s="4">
        <f>[1]节奏总纲!R77</f>
        <v>118.70318789330381</v>
      </c>
      <c r="S77" s="4">
        <f>[1]节奏总纲!S77</f>
        <v>86.869914308338593</v>
      </c>
      <c r="T77" s="4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f>[1]节奏总纲!AC77</f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74">
        <f>[1]节奏总纲!AL77</f>
        <v>74</v>
      </c>
      <c r="AM77" s="74">
        <f>[1]节奏总纲!AM77</f>
        <v>19825.014596370729</v>
      </c>
      <c r="AN77" s="74">
        <f>[1]节奏总纲!AN77</f>
        <v>15860.011677096583</v>
      </c>
      <c r="AO77" s="74">
        <f>[1]节奏总纲!AO77</f>
        <v>11895.008757822437</v>
      </c>
      <c r="AP77" s="74">
        <f>[1]节奏总纲!AP77</f>
        <v>7930.0058385482916</v>
      </c>
      <c r="AQ77" s="74">
        <f>[1]节奏总纲!AQ77</f>
        <v>3965.0029192741458</v>
      </c>
      <c r="AS77" s="74">
        <f>[1]节奏总纲!AS77</f>
        <v>74</v>
      </c>
      <c r="AT77" s="74">
        <f>[1]节奏总纲!AT77</f>
        <v>2690.58944063335</v>
      </c>
      <c r="AU77" s="74">
        <f>[1]节奏总纲!AU77</f>
        <v>2152.4715525066786</v>
      </c>
      <c r="AV77" s="74">
        <f>[1]节奏总纲!AV77</f>
        <v>1614.3536643800107</v>
      </c>
      <c r="AW77" s="74">
        <f>[1]节奏总纲!AW77</f>
        <v>1076.2357762533393</v>
      </c>
      <c r="AX77" s="74">
        <f>[1]节奏总纲!AX77</f>
        <v>538.11788812666964</v>
      </c>
      <c r="AZ77" s="4">
        <f>[1]节奏总纲!AZ77</f>
        <v>74</v>
      </c>
      <c r="BA77" s="4">
        <f>[1]节奏总纲!BA77</f>
        <v>36.021306837933537</v>
      </c>
      <c r="BB77" s="4">
        <f>[1]节奏总纲!BB77</f>
        <v>37.498964956033646</v>
      </c>
      <c r="BC77" s="4">
        <f>[1]节奏总纲!BC77</f>
        <v>39.430405216734592</v>
      </c>
      <c r="BD77" s="4">
        <f>[1]节奏总纲!BD77</f>
        <v>42.167148737437564</v>
      </c>
      <c r="BE77" s="4">
        <f>[1]节奏总纲!BE77</f>
        <v>46.850331714610157</v>
      </c>
      <c r="BI77" s="4">
        <f>[1]节奏总纲!BI77</f>
        <v>74</v>
      </c>
      <c r="BJ77" s="4">
        <f>[1]节奏总纲!BJ77</f>
        <v>3.2999999999999985</v>
      </c>
      <c r="BK77" s="4">
        <f>[1]节奏总纲!BK77</f>
        <v>3.3659999999999983</v>
      </c>
      <c r="BL77" s="4">
        <f>[1]节奏总纲!BL77</f>
        <v>3.4979999999999984</v>
      </c>
      <c r="BM77" s="4">
        <f>[1]节奏总纲!BM77</f>
        <v>3.7619999999999978</v>
      </c>
      <c r="BN77" s="4">
        <f>[1]节奏总纲!BN77</f>
        <v>4.6199999999999974</v>
      </c>
      <c r="BP77" s="74">
        <f>[1]节奏总纲!BP77</f>
        <v>74</v>
      </c>
      <c r="BQ77" s="74">
        <f>[1]节奏总纲!BQ77</f>
        <v>142.74455401431342</v>
      </c>
      <c r="BR77" s="74">
        <f>[1]节奏总纲!BR77</f>
        <v>141.95854268233577</v>
      </c>
      <c r="BS77" s="74">
        <f>[1]节奏总纲!BS77</f>
        <v>141.12063409703663</v>
      </c>
      <c r="BT77" s="74">
        <f>[1]节奏总纲!BT77</f>
        <v>140.18479766698579</v>
      </c>
      <c r="BU77" s="74">
        <f>[1]节奏总纲!BU77</f>
        <v>139.16271061168544</v>
      </c>
      <c r="BW77" s="4">
        <f>[1]节奏总纲!BW77</f>
        <v>74</v>
      </c>
      <c r="BX77" s="4">
        <f>[1]节奏总纲!BX77</f>
        <v>41.505708681037625</v>
      </c>
      <c r="BY77" s="4">
        <f>[1]节奏总纲!BY77</f>
        <v>42.044081480508389</v>
      </c>
      <c r="BZ77" s="4">
        <f>[1]节奏总纲!BZ77</f>
        <v>42.612813526599879</v>
      </c>
      <c r="CA77" s="4">
        <f>[1]节奏总纲!CA77</f>
        <v>43.245114997782593</v>
      </c>
      <c r="CB77" s="4">
        <f>[1]节奏总纲!CB77</f>
        <v>43.954310083598529</v>
      </c>
      <c r="CC77" s="4">
        <f>[1]节奏总纲!CC77</f>
        <v>43.954310083598529</v>
      </c>
    </row>
    <row r="78" spans="6:81" x14ac:dyDescent="0.15">
      <c r="F78" s="4">
        <f>[1]节奏总纲!F78</f>
        <v>76</v>
      </c>
      <c r="G78" s="4">
        <f>[1]节奏总纲!G78</f>
        <v>193.01172051333091</v>
      </c>
      <c r="I78" s="74">
        <f>[1]节奏总纲!I78</f>
        <v>76</v>
      </c>
      <c r="J78" s="74">
        <f>[1]节奏总纲!J78</f>
        <v>26535.88112606269</v>
      </c>
      <c r="K78" s="11">
        <f>[1]节奏总纲!K78</f>
        <v>1.41</v>
      </c>
      <c r="N78" s="50">
        <f>[1]节奏总纲!N78</f>
        <v>85</v>
      </c>
      <c r="O78" s="4">
        <f>[1]节奏总纲!O78</f>
        <v>75</v>
      </c>
      <c r="P78" s="4">
        <f>[1]节奏总纲!P78</f>
        <v>180.01933598375612</v>
      </c>
      <c r="Q78" s="4">
        <f>[1]节奏总纲!Q78</f>
        <v>155.75272949314578</v>
      </c>
      <c r="R78" s="4">
        <f>[1]节奏总纲!R78</f>
        <v>127.38168214210583</v>
      </c>
      <c r="S78" s="4">
        <f>[1]节奏总纲!S78</f>
        <v>93.214012172388934</v>
      </c>
      <c r="T78" s="4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f>[1]节奏总纲!AC78</f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74">
        <f>[1]节奏总纲!AL78</f>
        <v>75</v>
      </c>
      <c r="AM78" s="74">
        <f>[1]节奏总纲!AM78</f>
        <v>22936.899999999998</v>
      </c>
      <c r="AN78" s="74">
        <f>[1]节奏总纲!AN78</f>
        <v>18349.52</v>
      </c>
      <c r="AO78" s="74">
        <f>[1]节奏总纲!AO78</f>
        <v>13762.139999999998</v>
      </c>
      <c r="AP78" s="74">
        <f>[1]节奏总纲!AP78</f>
        <v>9174.76</v>
      </c>
      <c r="AQ78" s="74">
        <f>[1]节奏总纲!AQ78</f>
        <v>4587.38</v>
      </c>
      <c r="AS78" s="74">
        <f>[1]节奏总纲!AS78</f>
        <v>75</v>
      </c>
      <c r="AT78" s="74">
        <f>[1]节奏总纲!AT78</f>
        <v>3111.8854036292687</v>
      </c>
      <c r="AU78" s="74">
        <f>[1]节奏总纲!AU78</f>
        <v>2489.5083229034171</v>
      </c>
      <c r="AV78" s="74">
        <f>[1]节奏总纲!AV78</f>
        <v>1867.1312421775601</v>
      </c>
      <c r="AW78" s="74">
        <f>[1]节奏总纲!AW78</f>
        <v>1244.7541614517086</v>
      </c>
      <c r="AX78" s="74">
        <f>[1]节奏总纲!AX78</f>
        <v>622.37708072585428</v>
      </c>
      <c r="AZ78" s="4">
        <f>[1]节奏总纲!AZ78</f>
        <v>75</v>
      </c>
      <c r="BA78" s="4">
        <f>[1]节奏总纲!BA78</f>
        <v>36.105477566569242</v>
      </c>
      <c r="BB78" s="4">
        <f>[1]节奏总纲!BB78</f>
        <v>37.589718547105562</v>
      </c>
      <c r="BC78" s="4">
        <f>[1]节奏总纲!BC78</f>
        <v>39.520459727922798</v>
      </c>
      <c r="BD78" s="4">
        <f>[1]节奏总纲!BD78</f>
        <v>42.253930624755228</v>
      </c>
      <c r="BE78" s="4">
        <f>[1]节奏总纲!BE78</f>
        <v>46.946651928703787</v>
      </c>
      <c r="BI78" s="4">
        <f>[1]节奏总纲!BI78</f>
        <v>75</v>
      </c>
      <c r="BJ78" s="4">
        <f>[1]节奏总纲!BJ78</f>
        <v>3.3333333333333317</v>
      </c>
      <c r="BK78" s="4">
        <f>[1]节奏总纲!BK78</f>
        <v>3.3999999999999986</v>
      </c>
      <c r="BL78" s="4">
        <f>[1]节奏总纲!BL78</f>
        <v>3.5333333333333319</v>
      </c>
      <c r="BM78" s="4">
        <f>[1]节奏总纲!BM78</f>
        <v>3.7999999999999976</v>
      </c>
      <c r="BN78" s="4">
        <f>[1]节奏总纲!BN78</f>
        <v>4.6666666666666643</v>
      </c>
      <c r="BP78" s="74">
        <f>[1]节奏总纲!BP78</f>
        <v>75</v>
      </c>
      <c r="BQ78" s="74">
        <f>[1]节奏总纲!BQ78</f>
        <v>144.85011188259233</v>
      </c>
      <c r="BR78" s="74">
        <f>[1]节奏总纲!BR78</f>
        <v>144.04377283559913</v>
      </c>
      <c r="BS78" s="74">
        <f>[1]节奏总纲!BS78</f>
        <v>143.16904869712448</v>
      </c>
      <c r="BT78" s="74">
        <f>[1]节奏总纲!BT78</f>
        <v>142.25753558451294</v>
      </c>
      <c r="BU78" s="74">
        <f>[1]节奏总纲!BU78</f>
        <v>141.29248112662486</v>
      </c>
      <c r="BW78" s="4">
        <f>[1]节奏总纲!BW78</f>
        <v>75</v>
      </c>
      <c r="BX78" s="4">
        <f>[1]节奏总纲!BX78</f>
        <v>41.993343869731824</v>
      </c>
      <c r="BY78" s="4">
        <f>[1]节奏总纲!BY78</f>
        <v>42.503546986076806</v>
      </c>
      <c r="BZ78" s="4">
        <f>[1]节奏总纲!BZ78</f>
        <v>43.099163240208767</v>
      </c>
      <c r="CA78" s="4">
        <f>[1]节奏总纲!CA78</f>
        <v>43.720246163774526</v>
      </c>
      <c r="CB78" s="4">
        <f>[1]节奏总纲!CB78</f>
        <v>44.424142211876969</v>
      </c>
      <c r="CC78" s="4">
        <f>[1]节奏总纲!CC78</f>
        <v>44.424142211876969</v>
      </c>
    </row>
    <row r="79" spans="6:81" x14ac:dyDescent="0.15">
      <c r="F79" s="4">
        <f>[1]节奏总纲!F79</f>
        <v>77</v>
      </c>
      <c r="G79" s="4">
        <f>[1]节奏总纲!G79</f>
        <v>206.93661346719625</v>
      </c>
      <c r="I79" s="74">
        <f>[1]节奏总纲!I79</f>
        <v>77</v>
      </c>
      <c r="J79" s="74">
        <f>[1]节奏总纲!J79</f>
        <v>30698.011006346387</v>
      </c>
      <c r="K79" s="11">
        <f>[1]节奏总纲!K79</f>
        <v>1.42</v>
      </c>
      <c r="N79" s="50">
        <f>[1]节奏总纲!N79</f>
        <v>86</v>
      </c>
      <c r="O79" s="4">
        <f>[1]节奏总纲!O79</f>
        <v>76</v>
      </c>
      <c r="P79" s="4">
        <f>[1]节奏总纲!P79</f>
        <v>193.01172051333091</v>
      </c>
      <c r="Q79" s="4">
        <f>[1]节奏总纲!Q79</f>
        <v>166.97443941608256</v>
      </c>
      <c r="R79" s="4">
        <f>[1]节奏总纲!R79</f>
        <v>136.51718991907896</v>
      </c>
      <c r="S79" s="4">
        <f>[1]节奏总纲!S79</f>
        <v>100.0379747420594</v>
      </c>
      <c r="T79" s="4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f>[1]节奏总纲!AC79</f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74">
        <f>[1]节奏总纲!AL79</f>
        <v>76</v>
      </c>
      <c r="AM79" s="74">
        <f>[1]节奏总纲!AM79</f>
        <v>26535.88112606269</v>
      </c>
      <c r="AN79" s="74">
        <f>[1]节奏总纲!AN79</f>
        <v>21228.704900850153</v>
      </c>
      <c r="AO79" s="74">
        <f>[1]节奏总纲!AO79</f>
        <v>15921.528675637614</v>
      </c>
      <c r="AP79" s="74">
        <f>[1]节奏总纲!AP79</f>
        <v>10614.352450425076</v>
      </c>
      <c r="AQ79" s="74">
        <f>[1]节奏总纲!AQ79</f>
        <v>5307.1762252125382</v>
      </c>
      <c r="AS79" s="74">
        <f>[1]节奏总纲!AS79</f>
        <v>76</v>
      </c>
      <c r="AT79" s="74">
        <f>[1]节奏总纲!AT79</f>
        <v>3598.9811260626921</v>
      </c>
      <c r="AU79" s="74">
        <f>[1]节奏总纲!AU79</f>
        <v>2879.1849008501522</v>
      </c>
      <c r="AV79" s="74">
        <f>[1]节奏总纲!AV79</f>
        <v>2159.388675637616</v>
      </c>
      <c r="AW79" s="74">
        <f>[1]节奏总纲!AW79</f>
        <v>1439.5924504250761</v>
      </c>
      <c r="AX79" s="74">
        <f>[1]节奏总纲!AX79</f>
        <v>719.79622521253805</v>
      </c>
      <c r="AZ79" s="4">
        <f>[1]节奏总纲!AZ79</f>
        <v>76</v>
      </c>
      <c r="BA79" s="4">
        <f>[1]节奏总纲!BA79</f>
        <v>36.189648295204947</v>
      </c>
      <c r="BB79" s="4">
        <f>[1]节奏总纲!BB79</f>
        <v>37.680472138177471</v>
      </c>
      <c r="BC79" s="4">
        <f>[1]节奏总纲!BC79</f>
        <v>39.610514239111005</v>
      </c>
      <c r="BD79" s="4">
        <f>[1]节奏总纲!BD79</f>
        <v>42.340712512072891</v>
      </c>
      <c r="BE79" s="4">
        <f>[1]节奏总纲!BE79</f>
        <v>47.037096473408994</v>
      </c>
      <c r="BI79" s="4">
        <f>[1]节奏总纲!BI79</f>
        <v>76</v>
      </c>
      <c r="BJ79" s="4">
        <f>[1]节奏总纲!BJ79</f>
        <v>3.3666666666666649</v>
      </c>
      <c r="BK79" s="4">
        <f>[1]节奏总纲!BK79</f>
        <v>3.4339999999999984</v>
      </c>
      <c r="BL79" s="4">
        <f>[1]节奏总纲!BL79</f>
        <v>3.5686666666666649</v>
      </c>
      <c r="BM79" s="4">
        <f>[1]节奏总纲!BM79</f>
        <v>3.8379999999999979</v>
      </c>
      <c r="BN79" s="4">
        <f>[1]节奏总纲!BN79</f>
        <v>4.7133333333333303</v>
      </c>
      <c r="BP79" s="74">
        <f>[1]节奏总纲!BP79</f>
        <v>76</v>
      </c>
      <c r="BQ79" s="74">
        <f>[1]节奏总纲!BQ79</f>
        <v>146.95567436878142</v>
      </c>
      <c r="BR79" s="74">
        <f>[1]节奏总纲!BR79</f>
        <v>146.1345285871148</v>
      </c>
      <c r="BS79" s="74">
        <f>[1]节奏总纲!BS79</f>
        <v>145.25314650323406</v>
      </c>
      <c r="BT79" s="74">
        <f>[1]节奏总纲!BT79</f>
        <v>144.32236845404299</v>
      </c>
      <c r="BU79" s="74">
        <f>[1]节奏总纲!BU79</f>
        <v>143.33605108914449</v>
      </c>
      <c r="BW79" s="4">
        <f>[1]节奏总纲!BW79</f>
        <v>76</v>
      </c>
      <c r="BX79" s="4">
        <f>[1]节奏总纲!BX79</f>
        <v>42.445257628160959</v>
      </c>
      <c r="BY79" s="4">
        <f>[1]节奏总纲!BY79</f>
        <v>42.990467569098698</v>
      </c>
      <c r="BZ79" s="4">
        <f>[1]节奏总纲!BZ79</f>
        <v>43.55528950171113</v>
      </c>
      <c r="CA79" s="4">
        <f>[1]节奏总纲!CA79</f>
        <v>44.199643027024372</v>
      </c>
      <c r="CB79" s="4">
        <f>[1]节奏总纲!CB79</f>
        <v>44.929489637728736</v>
      </c>
      <c r="CC79" s="4">
        <f>[1]节奏总纲!CC79</f>
        <v>44.929489637728736</v>
      </c>
    </row>
    <row r="80" spans="6:81" x14ac:dyDescent="0.15">
      <c r="F80" s="4">
        <f>[1]节奏总纲!F80</f>
        <v>78</v>
      </c>
      <c r="G80" s="4">
        <f>[1]节奏总纲!G80</f>
        <v>221.86094420380775</v>
      </c>
      <c r="I80" s="74">
        <f>[1]节奏总纲!I80</f>
        <v>78</v>
      </c>
      <c r="J80" s="74">
        <f>[1]节奏总纲!J80</f>
        <v>35511.190322760085</v>
      </c>
      <c r="K80" s="11">
        <f>[1]节奏总纲!K80</f>
        <v>1.43</v>
      </c>
      <c r="N80" s="50">
        <f>[1]节奏总纲!N80</f>
        <v>87</v>
      </c>
      <c r="O80" s="4">
        <f>[1]节奏总纲!O80</f>
        <v>77</v>
      </c>
      <c r="P80" s="4">
        <f>[1]节奏总纲!P80</f>
        <v>206.93661346719625</v>
      </c>
      <c r="Q80" s="4">
        <f>[1]节奏总纲!Q80</f>
        <v>179.12433261720508</v>
      </c>
      <c r="R80" s="4">
        <f>[1]节奏总纲!R80</f>
        <v>146.53181599612165</v>
      </c>
      <c r="S80" s="4">
        <f>[1]节奏总纲!S80</f>
        <v>107.42079605082158</v>
      </c>
      <c r="T80" s="4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f>[1]节奏总纲!AC80</f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74">
        <f>[1]节奏总纲!AL80</f>
        <v>77</v>
      </c>
      <c r="AM80" s="74">
        <f>[1]节奏总纲!AM80</f>
        <v>30698.011006346387</v>
      </c>
      <c r="AN80" s="74">
        <f>[1]节奏总纲!AN80</f>
        <v>24558.40880507711</v>
      </c>
      <c r="AO80" s="74">
        <f>[1]节奏总纲!AO80</f>
        <v>18418.806603807832</v>
      </c>
      <c r="AP80" s="74">
        <f>[1]节奏总纲!AP80</f>
        <v>12279.204402538555</v>
      </c>
      <c r="AQ80" s="74">
        <f>[1]节奏总纲!AQ80</f>
        <v>6139.6022012692774</v>
      </c>
      <c r="AS80" s="74">
        <f>[1]节奏总纲!AS80</f>
        <v>77</v>
      </c>
      <c r="AT80" s="74">
        <f>[1]节奏总纲!AT80</f>
        <v>4162.1298802836973</v>
      </c>
      <c r="AU80" s="74">
        <f>[1]节奏总纲!AU80</f>
        <v>3329.7039042269571</v>
      </c>
      <c r="AV80" s="74">
        <f>[1]节奏总纲!AV80</f>
        <v>2497.2779281702187</v>
      </c>
      <c r="AW80" s="74">
        <f>[1]节奏总纲!AW80</f>
        <v>1664.8519521134785</v>
      </c>
      <c r="AX80" s="74">
        <f>[1]节奏总纲!AX80</f>
        <v>832.42597605673927</v>
      </c>
      <c r="AZ80" s="4">
        <f>[1]节奏总纲!AZ80</f>
        <v>77</v>
      </c>
      <c r="BA80" s="4">
        <f>[1]节奏总纲!BA80</f>
        <v>36.273819023840659</v>
      </c>
      <c r="BB80" s="4">
        <f>[1]节奏总纲!BB80</f>
        <v>37.771225729249387</v>
      </c>
      <c r="BC80" s="4">
        <f>[1]节奏总纲!BC80</f>
        <v>39.700568750299212</v>
      </c>
      <c r="BD80" s="4">
        <f>[1]节奏总纲!BD80</f>
        <v>42.427494399390554</v>
      </c>
      <c r="BE80" s="4">
        <f>[1]节奏总纲!BE80</f>
        <v>47.12024662670057</v>
      </c>
      <c r="BI80" s="4">
        <f>[1]节奏总纲!BI80</f>
        <v>77</v>
      </c>
      <c r="BJ80" s="4">
        <f>[1]节奏总纲!BJ80</f>
        <v>3.3999999999999981</v>
      </c>
      <c r="BK80" s="4">
        <f>[1]节奏总纲!BK80</f>
        <v>3.4679999999999982</v>
      </c>
      <c r="BL80" s="4">
        <f>[1]节奏总纲!BL80</f>
        <v>3.6039999999999983</v>
      </c>
      <c r="BM80" s="4">
        <f>[1]节奏总纲!BM80</f>
        <v>3.8759999999999977</v>
      </c>
      <c r="BN80" s="4">
        <f>[1]节奏总纲!BN80</f>
        <v>4.7599999999999971</v>
      </c>
      <c r="BP80" s="74">
        <f>[1]节奏总纲!BP80</f>
        <v>77</v>
      </c>
      <c r="BQ80" s="74">
        <f>[1]节奏总纲!BQ80</f>
        <v>149.05713970651243</v>
      </c>
      <c r="BR80" s="74">
        <f>[1]节奏总纲!BR80</f>
        <v>148.27357279823164</v>
      </c>
      <c r="BS80" s="74">
        <f>[1]节奏总纲!BS80</f>
        <v>147.45018844840658</v>
      </c>
      <c r="BT80" s="74">
        <f>[1]节奏总纲!BT80</f>
        <v>146.55064673623977</v>
      </c>
      <c r="BU80" s="74">
        <f>[1]节奏总纲!BU80</f>
        <v>145.53468456757108</v>
      </c>
      <c r="BW80" s="4">
        <f>[1]节奏总纲!BW80</f>
        <v>77</v>
      </c>
      <c r="BX80" s="4">
        <f>[1]节奏总纲!BX80</f>
        <v>42.928629024654093</v>
      </c>
      <c r="BY80" s="4">
        <f>[1]节奏总纲!BY80</f>
        <v>43.44674694915556</v>
      </c>
      <c r="BZ80" s="4">
        <f>[1]节奏总纲!BZ80</f>
        <v>44.047735983456604</v>
      </c>
      <c r="CA80" s="4">
        <f>[1]节奏总纲!CA80</f>
        <v>44.676858376824399</v>
      </c>
      <c r="CB80" s="4">
        <f>[1]节奏总纲!CB80</f>
        <v>45.371092241532111</v>
      </c>
      <c r="CC80" s="4">
        <f>[1]节奏总纲!CC80</f>
        <v>45.371092241532111</v>
      </c>
    </row>
    <row r="81" spans="6:81" x14ac:dyDescent="0.15">
      <c r="F81" s="4">
        <f>[1]节奏总纲!F81</f>
        <v>79</v>
      </c>
      <c r="G81" s="4">
        <f>[1]节奏总纲!G81</f>
        <v>237.85644583342264</v>
      </c>
      <c r="I81" s="74">
        <f>[1]节奏总纲!I81</f>
        <v>79</v>
      </c>
      <c r="J81" s="74">
        <f>[1]节奏总纲!J81</f>
        <v>41077.009235645834</v>
      </c>
      <c r="K81" s="11">
        <f>[1]节奏总纲!K81</f>
        <v>1.44</v>
      </c>
      <c r="N81" s="50">
        <f>[1]节奏总纲!N81</f>
        <v>88</v>
      </c>
      <c r="O81" s="4">
        <f>[1]节奏总纲!O81</f>
        <v>78</v>
      </c>
      <c r="P81" s="4">
        <f>[1]节奏总纲!P81</f>
        <v>221.86094420380775</v>
      </c>
      <c r="Q81" s="4">
        <f>[1]节奏总纲!Q81</f>
        <v>192.04283330281601</v>
      </c>
      <c r="R81" s="4">
        <f>[1]节奏总纲!R81</f>
        <v>157.23285115723854</v>
      </c>
      <c r="S81" s="4">
        <f>[1]节奏总纲!S81</f>
        <v>115.1680161361966</v>
      </c>
      <c r="T81" s="4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f>[1]节奏总纲!AC81</f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74">
        <f>[1]节奏总纲!AL81</f>
        <v>78</v>
      </c>
      <c r="AM81" s="74">
        <f>[1]节奏总纲!AM81</f>
        <v>35511.190322760085</v>
      </c>
      <c r="AN81" s="74">
        <f>[1]节奏总纲!AN81</f>
        <v>28408.952258208068</v>
      </c>
      <c r="AO81" s="74">
        <f>[1]节奏总纲!AO81</f>
        <v>21306.714193656051</v>
      </c>
      <c r="AP81" s="74">
        <f>[1]节奏总纲!AP81</f>
        <v>14204.476129104034</v>
      </c>
      <c r="AQ81" s="74">
        <f>[1]节奏总纲!AQ81</f>
        <v>7102.238064552017</v>
      </c>
      <c r="AS81" s="74">
        <f>[1]节奏总纲!AS81</f>
        <v>78</v>
      </c>
      <c r="AT81" s="74">
        <f>[1]节奏总纲!AT81</f>
        <v>4813.179316413698</v>
      </c>
      <c r="AU81" s="74">
        <f>[1]节奏总纲!AU81</f>
        <v>3850.5434531309584</v>
      </c>
      <c r="AV81" s="74">
        <f>[1]节奏总纲!AV81</f>
        <v>2887.9075898482188</v>
      </c>
      <c r="AW81" s="74">
        <f>[1]节奏总纲!AW81</f>
        <v>1925.2717265654792</v>
      </c>
      <c r="AX81" s="74">
        <f>[1]节奏总纲!AX81</f>
        <v>962.63586328273959</v>
      </c>
      <c r="AZ81" s="4">
        <f>[1]节奏总纲!AZ81</f>
        <v>78</v>
      </c>
      <c r="BA81" s="4">
        <f>[1]节奏总纲!BA81</f>
        <v>36.357989752476364</v>
      </c>
      <c r="BB81" s="4">
        <f>[1]节奏总纲!BB81</f>
        <v>37.861979320321296</v>
      </c>
      <c r="BC81" s="4">
        <f>[1]节奏总纲!BC81</f>
        <v>39.790623261487418</v>
      </c>
      <c r="BD81" s="4">
        <f>[1]节奏总纲!BD81</f>
        <v>42.51427628670821</v>
      </c>
      <c r="BE81" s="4">
        <f>[1]节奏总纲!BE81</f>
        <v>47.203396779992147</v>
      </c>
      <c r="BI81" s="4">
        <f>[1]节奏总纲!BI81</f>
        <v>78</v>
      </c>
      <c r="BJ81" s="4">
        <f>[1]节奏总纲!BJ81</f>
        <v>3.4333333333333313</v>
      </c>
      <c r="BK81" s="4">
        <f>[1]节奏总纲!BK81</f>
        <v>3.501999999999998</v>
      </c>
      <c r="BL81" s="4">
        <f>[1]节奏总纲!BL81</f>
        <v>3.6393333333333313</v>
      </c>
      <c r="BM81" s="4">
        <f>[1]节奏总纲!BM81</f>
        <v>3.9139999999999975</v>
      </c>
      <c r="BN81" s="4">
        <f>[1]节奏总纲!BN81</f>
        <v>4.806666666666664</v>
      </c>
      <c r="BP81" s="74">
        <f>[1]节奏总纲!BP81</f>
        <v>78</v>
      </c>
      <c r="BQ81" s="74">
        <f>[1]节奏总纲!BQ81</f>
        <v>151.15563986695878</v>
      </c>
      <c r="BR81" s="74">
        <f>[1]节奏总纲!BR81</f>
        <v>150.36857275778672</v>
      </c>
      <c r="BS81" s="74">
        <f>[1]节奏总纲!BS81</f>
        <v>149.53271887048692</v>
      </c>
      <c r="BT81" s="74">
        <f>[1]节奏总纲!BT81</f>
        <v>148.64897064481843</v>
      </c>
      <c r="BU81" s="74">
        <f>[1]节奏总纲!BU81</f>
        <v>147.71229603325094</v>
      </c>
      <c r="BW81" s="4">
        <f>[1]节奏总纲!BW81</f>
        <v>78</v>
      </c>
      <c r="BX81" s="4">
        <f>[1]节奏总纲!BX81</f>
        <v>43.385499964596733</v>
      </c>
      <c r="BY81" s="4">
        <f>[1]节奏总纲!BY81</f>
        <v>43.930502277742427</v>
      </c>
      <c r="BZ81" s="4">
        <f>[1]节奏总纲!BZ81</f>
        <v>44.508869383463988</v>
      </c>
      <c r="CA81" s="4">
        <f>[1]节奏总纲!CA81</f>
        <v>45.153317888009887</v>
      </c>
      <c r="CB81" s="4">
        <f>[1]节奏总纲!CB81</f>
        <v>45.830400612131918</v>
      </c>
      <c r="CC81" s="4">
        <f>[1]节奏总纲!CC81</f>
        <v>45.830400612131918</v>
      </c>
    </row>
    <row r="82" spans="6:81" x14ac:dyDescent="0.15">
      <c r="F82" s="4">
        <f>[1]节奏总纲!F82</f>
        <v>80</v>
      </c>
      <c r="G82" s="4">
        <f>[1]节奏总纲!G82</f>
        <v>255</v>
      </c>
      <c r="I82" s="74">
        <f>[1]节奏总纲!I82</f>
        <v>80</v>
      </c>
      <c r="J82" s="74">
        <f>[1]节奏总纲!J82</f>
        <v>47512.875</v>
      </c>
      <c r="K82" s="11">
        <f>[1]节奏总纲!K82</f>
        <v>1.45</v>
      </c>
      <c r="N82" s="50">
        <f>[1]节奏总纲!N82</f>
        <v>89</v>
      </c>
      <c r="O82" s="4">
        <f>[1]节奏总纲!O82</f>
        <v>79</v>
      </c>
      <c r="P82" s="4">
        <f>[1]节奏总纲!P82</f>
        <v>237.85644583342264</v>
      </c>
      <c r="Q82" s="4">
        <f>[1]节奏总纲!Q82</f>
        <v>206.07882467007735</v>
      </c>
      <c r="R82" s="4">
        <f>[1]节奏总纲!R82</f>
        <v>168.73536267423003</v>
      </c>
      <c r="S82" s="4">
        <f>[1]节奏总纲!S82</f>
        <v>123.11449636337954</v>
      </c>
      <c r="T82" s="4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f>[1]节奏总纲!AC82</f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74">
        <f>[1]节奏总纲!AL82</f>
        <v>79</v>
      </c>
      <c r="AM82" s="74">
        <f>[1]节奏总纲!AM82</f>
        <v>41077.009235645834</v>
      </c>
      <c r="AN82" s="74">
        <f>[1]节奏总纲!AN82</f>
        <v>32861.60738851667</v>
      </c>
      <c r="AO82" s="74">
        <f>[1]节奏总纲!AO82</f>
        <v>24646.205541387499</v>
      </c>
      <c r="AP82" s="74">
        <f>[1]节奏总纲!AP82</f>
        <v>16430.803694258335</v>
      </c>
      <c r="AQ82" s="74">
        <f>[1]节奏总纲!AQ82</f>
        <v>8215.4018471291674</v>
      </c>
      <c r="AS82" s="74">
        <f>[1]节奏总纲!AS82</f>
        <v>79</v>
      </c>
      <c r="AT82" s="74">
        <f>[1]节奏总纲!AT82</f>
        <v>5565.8189128857484</v>
      </c>
      <c r="AU82" s="74">
        <f>[1]节奏总纲!AU82</f>
        <v>4452.6551303086017</v>
      </c>
      <c r="AV82" s="74">
        <f>[1]节奏总纲!AV82</f>
        <v>3339.4913477314476</v>
      </c>
      <c r="AW82" s="74">
        <f>[1]节奏总纲!AW82</f>
        <v>2226.3275651543008</v>
      </c>
      <c r="AX82" s="74">
        <f>[1]节奏总纲!AX82</f>
        <v>1113.1637825771504</v>
      </c>
      <c r="AZ82" s="4">
        <f>[1]节奏总纲!AZ82</f>
        <v>79</v>
      </c>
      <c r="BA82" s="4">
        <f>[1]节奏总纲!BA82</f>
        <v>36.442160481112069</v>
      </c>
      <c r="BB82" s="4">
        <f>[1]节奏总纲!BB82</f>
        <v>37.952732911393213</v>
      </c>
      <c r="BC82" s="4">
        <f>[1]节奏总纲!BC82</f>
        <v>39.880677772675625</v>
      </c>
      <c r="BD82" s="4">
        <f>[1]节奏总纲!BD82</f>
        <v>42.601058174025873</v>
      </c>
      <c r="BE82" s="4">
        <f>[1]节奏总纲!BE82</f>
        <v>47.286546933283724</v>
      </c>
      <c r="BI82" s="4">
        <f>[1]节奏总纲!BI82</f>
        <v>79</v>
      </c>
      <c r="BJ82" s="4">
        <f>[1]节奏总纲!BJ82</f>
        <v>3.4666666666666646</v>
      </c>
      <c r="BK82" s="4">
        <f>[1]节奏总纲!BK82</f>
        <v>3.5359999999999978</v>
      </c>
      <c r="BL82" s="4">
        <f>[1]节奏总纲!BL82</f>
        <v>3.6746666666666647</v>
      </c>
      <c r="BM82" s="4">
        <f>[1]节奏总纲!BM82</f>
        <v>3.9519999999999973</v>
      </c>
      <c r="BN82" s="4">
        <f>[1]节奏总纲!BN82</f>
        <v>4.8533333333333299</v>
      </c>
      <c r="BP82" s="74">
        <f>[1]节奏总纲!BP82</f>
        <v>79</v>
      </c>
      <c r="BQ82" s="74">
        <f>[1]节奏总纲!BQ82</f>
        <v>153.254142755516</v>
      </c>
      <c r="BR82" s="74">
        <f>[1]节奏总纲!BR82</f>
        <v>152.42090057971816</v>
      </c>
      <c r="BS82" s="74">
        <f>[1]节奏总纲!BS82</f>
        <v>151.57476523052998</v>
      </c>
      <c r="BT82" s="74">
        <f>[1]节奏总纲!BT82</f>
        <v>150.68887650130068</v>
      </c>
      <c r="BU82" s="74">
        <f>[1]节奏总纲!BU82</f>
        <v>149.76122007031191</v>
      </c>
      <c r="BW82" s="4">
        <f>[1]节奏总纲!BW82</f>
        <v>79</v>
      </c>
      <c r="BX82" s="4">
        <f>[1]节奏总纲!BX82</f>
        <v>43.864683073228825</v>
      </c>
      <c r="BY82" s="4">
        <f>[1]节奏总纲!BY82</f>
        <v>44.393651798323852</v>
      </c>
      <c r="BZ82" s="4">
        <f>[1]节奏总纲!BZ82</f>
        <v>45.003918944161271</v>
      </c>
      <c r="CA82" s="4">
        <f>[1]节奏总纲!CA82</f>
        <v>45.596669566151888</v>
      </c>
      <c r="CB82" s="4">
        <f>[1]节奏总纲!CB82</f>
        <v>46.284169788056381</v>
      </c>
      <c r="CC82" s="4">
        <f>[1]节奏总纲!CC82</f>
        <v>46.284169788056381</v>
      </c>
    </row>
    <row r="83" spans="6:81" x14ac:dyDescent="0.15">
      <c r="F83" s="4">
        <f>[1]节奏总纲!F83</f>
        <v>81</v>
      </c>
      <c r="G83" s="4">
        <f>[1]节奏总纲!G83</f>
        <v>273.37400640929098</v>
      </c>
      <c r="N83" s="50">
        <f>[1]节奏总纲!N83</f>
        <v>90</v>
      </c>
      <c r="O83" s="4">
        <f>[1]节奏总纲!O83</f>
        <v>80</v>
      </c>
      <c r="P83" s="4">
        <f>[1]节奏总纲!P83</f>
        <v>255</v>
      </c>
      <c r="Q83" s="4">
        <f>[1]节奏总纲!Q83</f>
        <v>221.08500000000001</v>
      </c>
      <c r="R83" s="4">
        <f>[1]节奏总纲!R83</f>
        <v>180.33600000000001</v>
      </c>
      <c r="S83" s="4">
        <f>[1]节奏总纲!S83</f>
        <v>131.58000000000001</v>
      </c>
      <c r="T83" s="4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f>[1]节奏总纲!AC83</f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74">
        <f>[1]节奏总纲!AL83</f>
        <v>80</v>
      </c>
      <c r="AM83" s="74">
        <f>[1]节奏总纲!AM83</f>
        <v>47512.875</v>
      </c>
      <c r="AN83" s="74">
        <f>[1]节奏总纲!AN83</f>
        <v>38010.300000000003</v>
      </c>
      <c r="AO83" s="74">
        <f>[1]节奏总纲!AO83</f>
        <v>28507.724999999999</v>
      </c>
      <c r="AP83" s="74">
        <f>[1]节奏总纲!AP83</f>
        <v>19005.150000000001</v>
      </c>
      <c r="AQ83" s="74">
        <f>[1]节奏总纲!AQ83</f>
        <v>9502.5750000000007</v>
      </c>
      <c r="AS83" s="74">
        <f>[1]节奏总纲!AS83</f>
        <v>80</v>
      </c>
      <c r="AT83" s="74">
        <f>[1]节奏总纲!AT83</f>
        <v>6435.8657643541665</v>
      </c>
      <c r="AU83" s="74">
        <f>[1]节奏总纲!AU83</f>
        <v>5148.6926114833332</v>
      </c>
      <c r="AV83" s="74">
        <f>[1]节奏总纲!AV83</f>
        <v>3861.5194586124999</v>
      </c>
      <c r="AW83" s="74">
        <f>[1]节奏总纲!AW83</f>
        <v>2574.3463057416666</v>
      </c>
      <c r="AX83" s="74">
        <f>[1]节奏总纲!AX83</f>
        <v>1287.1731528708333</v>
      </c>
      <c r="AZ83" s="4">
        <f>[1]节奏总纲!AZ83</f>
        <v>80</v>
      </c>
      <c r="BA83" s="4">
        <f>[1]节奏总纲!BA83</f>
        <v>36.526331209747774</v>
      </c>
      <c r="BB83" s="4">
        <f>[1]节奏总纲!BB83</f>
        <v>38.037513426486328</v>
      </c>
      <c r="BC83" s="4">
        <f>[1]节奏总纲!BC83</f>
        <v>39.970732283863832</v>
      </c>
      <c r="BD83" s="4">
        <f>[1]节奏总纲!BD83</f>
        <v>42.687840061343536</v>
      </c>
      <c r="BE83" s="4">
        <f>[1]节奏总纲!BE83</f>
        <v>47.3696970865753</v>
      </c>
      <c r="BI83" s="4">
        <f>[1]节奏总纲!BI83</f>
        <v>80</v>
      </c>
      <c r="BJ83" s="4">
        <f>[1]节奏总纲!BJ83</f>
        <v>3.4999999999999978</v>
      </c>
      <c r="BK83" s="4">
        <f>[1]节奏总纲!BK83</f>
        <v>3.5699999999999976</v>
      </c>
      <c r="BL83" s="4">
        <f>[1]节奏总纲!BL83</f>
        <v>3.7099999999999977</v>
      </c>
      <c r="BM83" s="4">
        <f>[1]节奏总纲!BM83</f>
        <v>3.9899999999999971</v>
      </c>
      <c r="BN83" s="4">
        <f>[1]节奏总纲!BN83</f>
        <v>4.8999999999999968</v>
      </c>
      <c r="BP83" s="74">
        <f>[1]节奏总纲!BP83</f>
        <v>80</v>
      </c>
      <c r="BQ83" s="74">
        <f>[1]节奏总纲!BQ83</f>
        <v>155.35264798579232</v>
      </c>
      <c r="BR83" s="74">
        <f>[1]节奏总纲!BR83</f>
        <v>154.14666602127767</v>
      </c>
      <c r="BS83" s="74">
        <f>[1]节奏总纲!BS83</f>
        <v>153.14946182958477</v>
      </c>
      <c r="BT83" s="74">
        <f>[1]节奏总纲!BT83</f>
        <v>152.12605579164665</v>
      </c>
      <c r="BU83" s="74">
        <f>[1]节奏总纲!BU83</f>
        <v>151.0810487166913</v>
      </c>
      <c r="BW83" s="4">
        <f>[1]节奏总纲!BW83</f>
        <v>80</v>
      </c>
      <c r="BX83" s="4">
        <f>[1]节奏总纲!BX83</f>
        <v>44.326465623783335</v>
      </c>
      <c r="BY83" s="4">
        <f>[1]节奏总纲!BY83</f>
        <v>44.878640998911052</v>
      </c>
      <c r="BZ83" s="4">
        <f>[1]节奏总纲!BZ83</f>
        <v>45.435402391663246</v>
      </c>
      <c r="CA83" s="4">
        <f>[1]节奏总纲!CA83</f>
        <v>46.059542756901394</v>
      </c>
      <c r="CB83" s="4">
        <f>[1]节奏总纲!CB83</f>
        <v>46.732532092773639</v>
      </c>
      <c r="CC83" s="4">
        <f>[1]节奏总纲!CC83</f>
        <v>46.732532092773639</v>
      </c>
    </row>
    <row r="84" spans="6:81" x14ac:dyDescent="0.15">
      <c r="F84" s="4">
        <f>[1]节奏总纲!F84</f>
        <v>82</v>
      </c>
      <c r="G84" s="4">
        <f>[1]节奏总纲!G84</f>
        <v>293.06677887924064</v>
      </c>
      <c r="N84" s="50">
        <f>[1]节奏总纲!N84</f>
        <v>91</v>
      </c>
      <c r="O84" s="4">
        <f>[1]节奏总纲!O84</f>
        <v>81</v>
      </c>
      <c r="P84" s="4">
        <f>[1]节奏总纲!P84</f>
        <v>273.37400640929098</v>
      </c>
      <c r="Q84" s="4">
        <f>[1]节奏总纲!Q84</f>
        <v>236.35916594147301</v>
      </c>
      <c r="R84" s="4">
        <f>[1]节奏总纲!R84</f>
        <v>192.67399971726829</v>
      </c>
      <c r="S84" s="4">
        <f>[1]节奏总纲!S84</f>
        <v>140.76027590014394</v>
      </c>
      <c r="T84" s="4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f>[1]节奏总纲!AC84</f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f>[1]节奏总纲!AZ84</f>
        <v>81</v>
      </c>
      <c r="BA84" s="4">
        <f>[1]节奏总纲!BA84</f>
        <v>36.610501938383479</v>
      </c>
      <c r="BB84" s="4">
        <f>[1]节奏总纲!BB84</f>
        <v>38.11580158428373</v>
      </c>
      <c r="BC84" s="4">
        <f>[1]节奏总纲!BC84</f>
        <v>40.052446592012309</v>
      </c>
      <c r="BD84" s="4">
        <f>[1]节奏总纲!BD84</f>
        <v>42.774621948661192</v>
      </c>
      <c r="BE84" s="4">
        <f>[1]节奏总纲!BE84</f>
        <v>47.452847239866877</v>
      </c>
      <c r="BI84" s="4">
        <f>[1]节奏总纲!BI84</f>
        <v>81</v>
      </c>
      <c r="BJ84" s="4">
        <f>[1]节奏总纲!BJ84</f>
        <v>3.4999999999999978</v>
      </c>
      <c r="BK84" s="4">
        <f>[1]节奏总纲!BK84</f>
        <v>3.5699999999999976</v>
      </c>
      <c r="BL84" s="4">
        <f>[1]节奏总纲!BL84</f>
        <v>3.7099999999999977</v>
      </c>
      <c r="BM84" s="4">
        <f>[1]节奏总纲!BM84</f>
        <v>3.9899999999999971</v>
      </c>
      <c r="BN84" s="4">
        <f>[1]节奏总纲!BN84</f>
        <v>4.8999999999999968</v>
      </c>
      <c r="BW84" s="4">
        <f>[1]节奏总纲!BW84</f>
        <v>81</v>
      </c>
      <c r="BX84" s="4">
        <f>[1]节奏总纲!BX84</f>
        <v>44.801533759886318</v>
      </c>
      <c r="BY84" s="4">
        <f>[1]节奏总纲!BY84</f>
        <v>45.321339851414862</v>
      </c>
      <c r="BZ84" s="4">
        <f>[1]节奏总纲!BZ84</f>
        <v>45.894311889804285</v>
      </c>
      <c r="CA84" s="4">
        <f>[1]节奏总纲!CA84</f>
        <v>46.501665826971653</v>
      </c>
      <c r="CB84" s="4">
        <f>[1]节奏总纲!CB84</f>
        <v>47.191499408717924</v>
      </c>
      <c r="CC84" s="4">
        <f>[1]节奏总纲!CC84</f>
        <v>47.191499408717924</v>
      </c>
    </row>
    <row r="85" spans="6:81" x14ac:dyDescent="0.15">
      <c r="F85" s="4">
        <f>[1]节奏总纲!F85</f>
        <v>83</v>
      </c>
      <c r="G85" s="4">
        <f>[1]节奏总纲!G85</f>
        <v>314.1729698162988</v>
      </c>
      <c r="N85" s="50">
        <f>[1]节奏总纲!N85</f>
        <v>92</v>
      </c>
      <c r="O85" s="4">
        <f>[1]节奏总纲!O85</f>
        <v>82</v>
      </c>
      <c r="P85" s="4">
        <f>[1]节奏总纲!P85</f>
        <v>293.06677887924064</v>
      </c>
      <c r="Q85" s="4">
        <f>[1]节奏总纲!Q85</f>
        <v>253.15108359588808</v>
      </c>
      <c r="R85" s="4">
        <f>[1]节奏总纲!R85</f>
        <v>206.37762568676126</v>
      </c>
      <c r="S85" s="4">
        <f>[1]节奏总纲!S85</f>
        <v>150.81216441125721</v>
      </c>
      <c r="T85" s="4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f>[1]节奏总纲!AC85</f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f>[1]节奏总纲!AZ85</f>
        <v>82</v>
      </c>
      <c r="BA85" s="4">
        <f>[1]节奏总纲!BA85</f>
        <v>36.694672667019191</v>
      </c>
      <c r="BB85" s="4">
        <f>[1]节奏总纲!BB85</f>
        <v>38.194089742081125</v>
      </c>
      <c r="BC85" s="4">
        <f>[1]节奏总纲!BC85</f>
        <v>40.130145246845366</v>
      </c>
      <c r="BD85" s="4">
        <f>[1]节奏总纲!BD85</f>
        <v>42.861403835978855</v>
      </c>
      <c r="BE85" s="4">
        <f>[1]节奏总纲!BE85</f>
        <v>47.535997393158453</v>
      </c>
      <c r="BI85" s="4">
        <f>[1]节奏总纲!BI85</f>
        <v>82</v>
      </c>
      <c r="BJ85" s="4">
        <f>[1]节奏总纲!BJ85</f>
        <v>3.4999999999999978</v>
      </c>
      <c r="BK85" s="4">
        <f>[1]节奏总纲!BK85</f>
        <v>3.5699999999999976</v>
      </c>
      <c r="BL85" s="4">
        <f>[1]节奏总纲!BL85</f>
        <v>3.7099999999999977</v>
      </c>
      <c r="BM85" s="4">
        <f>[1]节奏总纲!BM85</f>
        <v>3.9899999999999971</v>
      </c>
      <c r="BN85" s="4">
        <f>[1]节奏总纲!BN85</f>
        <v>4.8999999999999968</v>
      </c>
      <c r="BW85" s="4">
        <f>[1]节奏总纲!BW85</f>
        <v>82</v>
      </c>
      <c r="BX85" s="4">
        <f>[1]节奏总纲!BX85</f>
        <v>45.268177050953859</v>
      </c>
      <c r="BY85" s="4">
        <f>[1]节奏总纲!BY85</f>
        <v>45.789768933125814</v>
      </c>
      <c r="BZ85" s="4">
        <f>[1]节奏总纲!BZ85</f>
        <v>46.348748235109454</v>
      </c>
      <c r="CA85" s="4">
        <f>[1]节奏总纲!CA85</f>
        <v>46.985765853689557</v>
      </c>
      <c r="CB85" s="4">
        <f>[1]节奏总纲!CB85</f>
        <v>47.638352338376762</v>
      </c>
      <c r="CC85" s="4">
        <f>[1]节奏总纲!CC85</f>
        <v>47.638352338376762</v>
      </c>
    </row>
    <row r="86" spans="6:81" x14ac:dyDescent="0.15">
      <c r="F86" s="4">
        <f>[1]节奏总纲!F86</f>
        <v>84</v>
      </c>
      <c r="G86" s="4">
        <f>[1]节奏总纲!G86</f>
        <v>336.79402515786086</v>
      </c>
      <c r="N86" s="50">
        <f>[1]节奏总纲!N86</f>
        <v>93</v>
      </c>
      <c r="O86" s="4">
        <f>[1]节奏总纲!O86</f>
        <v>83</v>
      </c>
      <c r="P86" s="4">
        <f>[1]节奏总纲!P86</f>
        <v>314.1729698162988</v>
      </c>
      <c r="Q86" s="4">
        <f>[1]节奏总纲!Q86</f>
        <v>271.53969781222702</v>
      </c>
      <c r="R86" s="4">
        <f>[1]节奏总纲!R86</f>
        <v>221.55477831445393</v>
      </c>
      <c r="S86" s="4">
        <f>[1]节奏总纲!S86</f>
        <v>161.57915837652246</v>
      </c>
      <c r="T86" s="4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f>[1]节奏总纲!AC86</f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f>[1]节奏总纲!AZ86</f>
        <v>83</v>
      </c>
      <c r="BA86" s="4">
        <f>[1]节奏总纲!BA86</f>
        <v>36.778843395654896</v>
      </c>
      <c r="BB86" s="4">
        <f>[1]节奏总纲!BB86</f>
        <v>38.272377899878528</v>
      </c>
      <c r="BC86" s="4">
        <f>[1]节奏总纲!BC86</f>
        <v>40.207843901678423</v>
      </c>
      <c r="BD86" s="4">
        <f>[1]节奏总纲!BD86</f>
        <v>42.948185723296518</v>
      </c>
      <c r="BE86" s="4">
        <f>[1]节奏总纲!BE86</f>
        <v>47.619147546450023</v>
      </c>
      <c r="BI86" s="4">
        <f>[1]节奏总纲!BI86</f>
        <v>83</v>
      </c>
      <c r="BJ86" s="4">
        <f>[1]节奏总纲!BJ86</f>
        <v>3.4999999999999978</v>
      </c>
      <c r="BK86" s="4">
        <f>[1]节奏总纲!BK86</f>
        <v>3.5699999999999976</v>
      </c>
      <c r="BL86" s="4">
        <f>[1]节奏总纲!BL86</f>
        <v>3.7099999999999977</v>
      </c>
      <c r="BM86" s="4">
        <f>[1]节奏总纲!BM86</f>
        <v>3.9899999999999971</v>
      </c>
      <c r="BN86" s="4">
        <f>[1]节奏总纲!BN86</f>
        <v>4.8999999999999968</v>
      </c>
      <c r="BW86" s="4">
        <f>[1]节奏总纲!BW86</f>
        <v>83</v>
      </c>
      <c r="BX86" s="4">
        <f>[1]节奏总纲!BX86</f>
        <v>45.739201449359612</v>
      </c>
      <c r="BY86" s="4">
        <f>[1]节奏总纲!BY86</f>
        <v>46.261326328729815</v>
      </c>
      <c r="BZ86" s="4">
        <f>[1]节奏总纲!BZ86</f>
        <v>46.836037098586509</v>
      </c>
      <c r="CA86" s="4">
        <f>[1]节奏总纲!CA86</f>
        <v>47.435350717115057</v>
      </c>
      <c r="CB86" s="4">
        <f>[1]节奏总纲!CB86</f>
        <v>48.115820139041681</v>
      </c>
      <c r="CC86" s="4">
        <f>[1]节奏总纲!CC86</f>
        <v>48.115820139041681</v>
      </c>
    </row>
    <row r="87" spans="6:81" x14ac:dyDescent="0.15">
      <c r="F87" s="4">
        <f>[1]节奏总纲!F87</f>
        <v>85</v>
      </c>
      <c r="G87" s="4">
        <f>[1]节奏总纲!G87</f>
        <v>361.0386719675123</v>
      </c>
      <c r="N87" s="50">
        <f>[1]节奏总纲!N87</f>
        <v>94</v>
      </c>
      <c r="O87" s="4">
        <f>[1]节奏总纲!O87</f>
        <v>84</v>
      </c>
      <c r="P87" s="4">
        <f>[1]节奏总纲!P87</f>
        <v>336.79402515786086</v>
      </c>
      <c r="Q87" s="4">
        <f>[1]节奏总纲!Q87</f>
        <v>291.2594729565181</v>
      </c>
      <c r="R87" s="4">
        <f>[1]节奏总纲!R87</f>
        <v>237.27139072371298</v>
      </c>
      <c r="S87" s="4">
        <f>[1]节奏总纲!S87</f>
        <v>172.97741132107731</v>
      </c>
      <c r="T87" s="4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f>[1]节奏总纲!AC87</f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f>[1]节奏总纲!AZ87</f>
        <v>84</v>
      </c>
      <c r="BA87" s="4">
        <f>[1]节奏总纲!BA87</f>
        <v>36.863014124290601</v>
      </c>
      <c r="BB87" s="4">
        <f>[1]节奏总纲!BB87</f>
        <v>38.35066605767593</v>
      </c>
      <c r="BC87" s="4">
        <f>[1]节奏总纲!BC87</f>
        <v>40.28554255651148</v>
      </c>
      <c r="BD87" s="4">
        <f>[1]节奏总纲!BD87</f>
        <v>43.030177309109042</v>
      </c>
      <c r="BE87" s="4">
        <f>[1]节奏总纲!BE87</f>
        <v>47.7022976997416</v>
      </c>
      <c r="BI87" s="4">
        <f>[1]节奏总纲!BI87</f>
        <v>84</v>
      </c>
      <c r="BJ87" s="4">
        <f>[1]节奏总纲!BJ87</f>
        <v>3.4999999999999978</v>
      </c>
      <c r="BK87" s="4">
        <f>[1]节奏总纲!BK87</f>
        <v>3.5699999999999976</v>
      </c>
      <c r="BL87" s="4">
        <f>[1]节奏总纲!BL87</f>
        <v>3.7099999999999977</v>
      </c>
      <c r="BM87" s="4">
        <f>[1]节奏总纲!BM87</f>
        <v>3.9899999999999971</v>
      </c>
      <c r="BN87" s="4">
        <f>[1]节奏总纲!BN87</f>
        <v>4.8999999999999968</v>
      </c>
      <c r="BW87" s="4">
        <f>[1]节奏总纲!BW87</f>
        <v>84</v>
      </c>
      <c r="BX87" s="4">
        <f>[1]节奏总纲!BX87</f>
        <v>46.210650393413601</v>
      </c>
      <c r="BY87" s="4">
        <f>[1]节奏总纲!BY87</f>
        <v>46.736179569673936</v>
      </c>
      <c r="BZ87" s="4">
        <f>[1]节奏总纲!BZ87</f>
        <v>47.294068993376605</v>
      </c>
      <c r="CA87" s="4">
        <f>[1]节奏总纲!CA87</f>
        <v>47.909233956913006</v>
      </c>
      <c r="CB87" s="4">
        <f>[1]节奏总纲!CB87</f>
        <v>48.579255981153665</v>
      </c>
      <c r="CC87" s="4">
        <f>[1]节奏总纲!CC87</f>
        <v>48.579255981153665</v>
      </c>
    </row>
    <row r="88" spans="6:81" x14ac:dyDescent="0.15">
      <c r="F88" s="4">
        <f>[1]节奏总纲!F88</f>
        <v>86</v>
      </c>
      <c r="G88" s="4">
        <f>[1]节奏总纲!G88</f>
        <v>387.02344102666189</v>
      </c>
      <c r="N88" s="50">
        <f>[1]节奏总纲!N88</f>
        <v>95</v>
      </c>
      <c r="O88" s="4">
        <f>[1]节奏总纲!O88</f>
        <v>85</v>
      </c>
      <c r="P88" s="4">
        <f>[1]节奏总纲!P88</f>
        <v>361.0386719675123</v>
      </c>
      <c r="Q88" s="4">
        <f>[1]节奏总纲!Q88</f>
        <v>311.72078937675008</v>
      </c>
      <c r="R88" s="4">
        <f>[1]节奏总纲!R88</f>
        <v>253.91849799475142</v>
      </c>
      <c r="S88" s="4">
        <f>[1]节奏总纲!S88</f>
        <v>185.57387739130132</v>
      </c>
      <c r="T88" s="4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f>[1]节奏总纲!AC88</f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f>[1]节奏总纲!AZ88</f>
        <v>85</v>
      </c>
      <c r="BA88" s="4">
        <f>[1]节奏总纲!BA88</f>
        <v>36.947184852926306</v>
      </c>
      <c r="BB88" s="4">
        <f>[1]节奏总纲!BB88</f>
        <v>38.428954215473325</v>
      </c>
      <c r="BC88" s="4">
        <f>[1]节奏总纲!BC88</f>
        <v>40.363241211344537</v>
      </c>
      <c r="BD88" s="4">
        <f>[1]节奏总纲!BD88</f>
        <v>43.105070725978337</v>
      </c>
      <c r="BE88" s="4">
        <f>[1]节奏总纲!BE88</f>
        <v>47.785447853033176</v>
      </c>
      <c r="BI88" s="4">
        <f>[1]节奏总纲!BI88</f>
        <v>85</v>
      </c>
      <c r="BJ88" s="4">
        <f>[1]节奏总纲!BJ88</f>
        <v>3.4999999999999978</v>
      </c>
      <c r="BK88" s="4">
        <f>[1]节奏总纲!BK88</f>
        <v>3.5699999999999976</v>
      </c>
      <c r="BL88" s="4">
        <f>[1]节奏总纲!BL88</f>
        <v>3.7099999999999977</v>
      </c>
      <c r="BM88" s="4">
        <f>[1]节奏总纲!BM88</f>
        <v>3.9899999999999971</v>
      </c>
      <c r="BN88" s="4">
        <f>[1]节奏总纲!BN88</f>
        <v>4.8999999999999968</v>
      </c>
      <c r="BW88" s="4">
        <f>[1]节奏总纲!BW88</f>
        <v>85</v>
      </c>
      <c r="BX88" s="4">
        <f>[1]节奏总纲!BX88</f>
        <v>46.67770030767965</v>
      </c>
      <c r="BY88" s="4">
        <f>[1]节奏总纲!BY88</f>
        <v>47.197592678461184</v>
      </c>
      <c r="BZ88" s="4">
        <f>[1]节奏总纲!BZ88</f>
        <v>47.755472167192657</v>
      </c>
      <c r="CA88" s="4">
        <f>[1]节奏总纲!CA88</f>
        <v>48.373763930639598</v>
      </c>
      <c r="CB88" s="4">
        <f>[1]节奏总纲!CB88</f>
        <v>49.063491154445543</v>
      </c>
      <c r="CC88" s="4">
        <f>[1]节奏总纲!CC88</f>
        <v>49.063491154445543</v>
      </c>
    </row>
    <row r="89" spans="6:81" x14ac:dyDescent="0.15">
      <c r="F89" s="4">
        <f>[1]节奏总纲!F89</f>
        <v>87</v>
      </c>
      <c r="G89" s="4">
        <f>[1]节奏总纲!G89</f>
        <v>414.87322693439216</v>
      </c>
      <c r="N89" s="50">
        <f>[1]节奏总纲!N89</f>
        <v>96</v>
      </c>
      <c r="O89" s="4">
        <f>[1]节奏总纲!O89</f>
        <v>86</v>
      </c>
      <c r="P89" s="4">
        <f>[1]节奏总纲!P89</f>
        <v>387.02344102666189</v>
      </c>
      <c r="Q89" s="4">
        <f>[1]节奏总纲!Q89</f>
        <v>334.00122960600919</v>
      </c>
      <c r="R89" s="4">
        <f>[1]节奏总纲!R89</f>
        <v>272.23228841815398</v>
      </c>
      <c r="S89" s="4">
        <f>[1]节奏总纲!S89</f>
        <v>199.39447681693619</v>
      </c>
      <c r="T89" s="4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f>[1]节奏总纲!AC89</f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f>[1]节奏总纲!AZ89</f>
        <v>86</v>
      </c>
      <c r="BA89" s="4">
        <f>[1]节奏总纲!BA89</f>
        <v>37.027046282459708</v>
      </c>
      <c r="BB89" s="4">
        <f>[1]节奏总纲!BB89</f>
        <v>38.507242373270728</v>
      </c>
      <c r="BC89" s="4">
        <f>[1]节奏总纲!BC89</f>
        <v>40.440939866177594</v>
      </c>
      <c r="BD89" s="4">
        <f>[1]节奏总纲!BD89</f>
        <v>43.179964142847631</v>
      </c>
      <c r="BE89" s="4">
        <f>[1]节奏总纲!BE89</f>
        <v>47.868598006324753</v>
      </c>
      <c r="BI89" s="4">
        <f>[1]节奏总纲!BI89</f>
        <v>86</v>
      </c>
      <c r="BJ89" s="4">
        <f>[1]节奏总纲!BJ89</f>
        <v>3.4999999999999978</v>
      </c>
      <c r="BK89" s="4">
        <f>[1]节奏总纲!BK89</f>
        <v>3.5699999999999976</v>
      </c>
      <c r="BL89" s="4">
        <f>[1]节奏总纲!BL89</f>
        <v>3.7099999999999977</v>
      </c>
      <c r="BM89" s="4">
        <f>[1]节奏总纲!BM89</f>
        <v>3.9899999999999971</v>
      </c>
      <c r="BN89" s="4">
        <f>[1]节奏总纲!BN89</f>
        <v>4.8999999999999968</v>
      </c>
      <c r="BW89" s="4">
        <f>[1]节奏总纲!BW89</f>
        <v>86</v>
      </c>
      <c r="BX89" s="4">
        <f>[1]节奏总纲!BX89</f>
        <v>47.153896513009251</v>
      </c>
      <c r="BY89" s="4">
        <f>[1]节奏总纲!BY89</f>
        <v>47.660748183577851</v>
      </c>
      <c r="BZ89" s="4">
        <f>[1]节奏总纲!BZ89</f>
        <v>48.227116435634038</v>
      </c>
      <c r="CA89" s="4">
        <f>[1]节奏总纲!CA89</f>
        <v>48.869826703325636</v>
      </c>
      <c r="CB89" s="4">
        <f>[1]节奏总纲!CB89</f>
        <v>49.460909841064307</v>
      </c>
      <c r="CC89" s="4">
        <f>[1]节奏总纲!CC89</f>
        <v>49.460909841064307</v>
      </c>
    </row>
    <row r="90" spans="6:81" x14ac:dyDescent="0.15">
      <c r="F90" s="4">
        <f>[1]节奏总纲!F90</f>
        <v>88</v>
      </c>
      <c r="G90" s="4">
        <f>[1]节奏总纲!G90</f>
        <v>444.72188840761549</v>
      </c>
      <c r="N90" s="50">
        <f>[1]节奏总纲!N90</f>
        <v>97</v>
      </c>
      <c r="O90" s="4">
        <f>[1]节奏总纲!O90</f>
        <v>87</v>
      </c>
      <c r="P90" s="4">
        <f>[1]节奏总纲!P90</f>
        <v>414.87322693439216</v>
      </c>
      <c r="Q90" s="4">
        <f>[1]节奏总纲!Q90</f>
        <v>358.28451878054108</v>
      </c>
      <c r="R90" s="4">
        <f>[1]节奏总纲!R90</f>
        <v>292.4026503433596</v>
      </c>
      <c r="S90" s="4">
        <f>[1]节奏总纲!S90</f>
        <v>212.58104148118252</v>
      </c>
      <c r="T90" s="4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f>[1]节奏总纲!AC90</f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f>[1]节奏总纲!AZ90</f>
        <v>87</v>
      </c>
      <c r="BA90" s="4">
        <f>[1]节奏总纲!BA90</f>
        <v>37.099649155317238</v>
      </c>
      <c r="BB90" s="4">
        <f>[1]节奏总纲!BB90</f>
        <v>38.58553053106813</v>
      </c>
      <c r="BC90" s="4">
        <f>[1]节奏总纲!BC90</f>
        <v>40.518638521010651</v>
      </c>
      <c r="BD90" s="4">
        <f>[1]节奏总纲!BD90</f>
        <v>43.254857559716925</v>
      </c>
      <c r="BE90" s="4">
        <f>[1]节奏总纲!BE90</f>
        <v>47.951748159616329</v>
      </c>
      <c r="BI90" s="4">
        <f>[1]节奏总纲!BI90</f>
        <v>87</v>
      </c>
      <c r="BJ90" s="4">
        <f>[1]节奏总纲!BJ90</f>
        <v>3.4999999999999978</v>
      </c>
      <c r="BK90" s="4">
        <f>[1]节奏总纲!BK90</f>
        <v>3.5699999999999976</v>
      </c>
      <c r="BL90" s="4">
        <f>[1]节奏总纲!BL90</f>
        <v>3.7099999999999977</v>
      </c>
      <c r="BM90" s="4">
        <f>[1]节奏总纲!BM90</f>
        <v>3.9899999999999971</v>
      </c>
      <c r="BN90" s="4">
        <f>[1]节奏总纲!BN90</f>
        <v>4.8999999999999968</v>
      </c>
      <c r="BW90" s="4">
        <f>[1]节奏总纲!BW90</f>
        <v>87</v>
      </c>
      <c r="BX90" s="4">
        <f>[1]节奏总纲!BX90</f>
        <v>47.617039306482319</v>
      </c>
      <c r="BY90" s="4">
        <f>[1]节奏总纲!BY90</f>
        <v>48.142913866891206</v>
      </c>
      <c r="BZ90" s="4">
        <f>[1]节奏总纲!BZ90</f>
        <v>48.709766300257584</v>
      </c>
      <c r="CA90" s="4">
        <f>[1]节奏总纲!CA90</f>
        <v>49.296256903639559</v>
      </c>
      <c r="CB90" s="4">
        <f>[1]节奏总纲!CB90</f>
        <v>49.882526243554615</v>
      </c>
      <c r="CC90" s="4">
        <f>[1]节奏总纲!CC90</f>
        <v>49.882526243554615</v>
      </c>
    </row>
    <row r="91" spans="6:81" x14ac:dyDescent="0.15">
      <c r="F91" s="4">
        <f>[1]节奏总纲!F91</f>
        <v>89</v>
      </c>
      <c r="G91" s="4">
        <f>[1]节奏总纲!G91</f>
        <v>476.71289166684534</v>
      </c>
      <c r="N91" s="50">
        <f>[1]节奏总纲!N91</f>
        <v>98</v>
      </c>
      <c r="O91" s="4">
        <f>[1]节奏总纲!O91</f>
        <v>88</v>
      </c>
      <c r="P91" s="4">
        <f>[1]节奏总纲!P91</f>
        <v>444.72188840761549</v>
      </c>
      <c r="Q91" s="4">
        <f>[1]节奏总纲!Q91</f>
        <v>384.7733778502689</v>
      </c>
      <c r="R91" s="4">
        <f>[1]节奏总纲!R91</f>
        <v>312.90632068359827</v>
      </c>
      <c r="S91" s="4">
        <f>[1]节奏总纲!S91</f>
        <v>226.0076636887502</v>
      </c>
      <c r="T91" s="4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f>[1]节奏总纲!AC91</f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f>[1]节奏总纲!AZ91</f>
        <v>88</v>
      </c>
      <c r="BA91" s="4">
        <f>[1]节奏总纲!BA91</f>
        <v>37.172252028174768</v>
      </c>
      <c r="BB91" s="4">
        <f>[1]节奏总纲!BB91</f>
        <v>38.663818688865533</v>
      </c>
      <c r="BC91" s="4">
        <f>[1]节奏总纲!BC91</f>
        <v>40.596337175843701</v>
      </c>
      <c r="BD91" s="4">
        <f>[1]节奏总纲!BD91</f>
        <v>43.329750976586219</v>
      </c>
      <c r="BE91" s="4">
        <f>[1]节奏总纲!BE91</f>
        <v>48.030128751164234</v>
      </c>
      <c r="BI91" s="4">
        <f>[1]节奏总纲!BI91</f>
        <v>88</v>
      </c>
      <c r="BJ91" s="4">
        <f>[1]节奏总纲!BJ91</f>
        <v>3.4999999999999978</v>
      </c>
      <c r="BK91" s="4">
        <f>[1]节奏总纲!BK91</f>
        <v>3.5699999999999976</v>
      </c>
      <c r="BL91" s="4">
        <f>[1]节奏总纲!BL91</f>
        <v>3.7099999999999977</v>
      </c>
      <c r="BM91" s="4">
        <f>[1]节奏总纲!BM91</f>
        <v>3.9899999999999971</v>
      </c>
      <c r="BN91" s="4">
        <f>[1]节奏总纲!BN91</f>
        <v>4.8999999999999968</v>
      </c>
      <c r="BW91" s="4">
        <f>[1]节奏总纲!BW91</f>
        <v>88</v>
      </c>
      <c r="BX91" s="4">
        <f>[1]节奏总纲!BX91</f>
        <v>48.097921847068633</v>
      </c>
      <c r="BY91" s="4">
        <f>[1]节奏总纲!BY91</f>
        <v>48.618296173791954</v>
      </c>
      <c r="BZ91" s="4">
        <f>[1]节奏总纲!BZ91</f>
        <v>49.173016331799893</v>
      </c>
      <c r="CA91" s="4">
        <f>[1]节奏总纲!CA91</f>
        <v>49.712343474857072</v>
      </c>
      <c r="CB91" s="4">
        <f>[1]节奏总纲!CB91</f>
        <v>50.296637451558702</v>
      </c>
      <c r="CC91" s="4">
        <f>[1]节奏总纲!CC91</f>
        <v>50.296637451558702</v>
      </c>
    </row>
    <row r="92" spans="6:81" x14ac:dyDescent="0.15">
      <c r="F92" s="4">
        <f>[1]节奏总纲!F92</f>
        <v>90</v>
      </c>
      <c r="G92" s="4">
        <f>[1]节奏总纲!G92</f>
        <v>511</v>
      </c>
      <c r="N92" s="50">
        <f>[1]节奏总纲!N92</f>
        <v>99</v>
      </c>
      <c r="O92" s="4">
        <f>[1]节奏总纲!O92</f>
        <v>89</v>
      </c>
      <c r="P92" s="4">
        <f>[1]节奏总纲!P92</f>
        <v>476.71289166684534</v>
      </c>
      <c r="Q92" s="4">
        <f>[1]节奏总纲!Q92</f>
        <v>411.78459582182103</v>
      </c>
      <c r="R92" s="4">
        <f>[1]节奏总纲!R92</f>
        <v>332.60258451595797</v>
      </c>
      <c r="S92" s="4">
        <f>[1]节奏总纲!S92</f>
        <v>240.31096868925673</v>
      </c>
      <c r="T92" s="4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f>[1]节奏总纲!AC92</f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f>[1]节奏总纲!AZ92</f>
        <v>89</v>
      </c>
      <c r="BA92" s="4">
        <f>[1]节奏总纲!BA92</f>
        <v>37.244854901032298</v>
      </c>
      <c r="BB92" s="4">
        <f>[1]节奏总纲!BB92</f>
        <v>38.742106846662928</v>
      </c>
      <c r="BC92" s="4">
        <f>[1]节奏总纲!BC92</f>
        <v>40.674035830676758</v>
      </c>
      <c r="BD92" s="4">
        <f>[1]节奏总纲!BD92</f>
        <v>43.404644393455513</v>
      </c>
      <c r="BE92" s="4">
        <f>[1]节奏总纲!BE92</f>
        <v>48.101914750802706</v>
      </c>
      <c r="BI92" s="4">
        <f>[1]节奏总纲!BI92</f>
        <v>89</v>
      </c>
      <c r="BJ92" s="4">
        <f>[1]节奏总纲!BJ92</f>
        <v>3.4999999999999978</v>
      </c>
      <c r="BK92" s="4">
        <f>[1]节奏总纲!BK92</f>
        <v>3.5699999999999976</v>
      </c>
      <c r="BL92" s="4">
        <f>[1]节奏总纲!BL92</f>
        <v>3.7099999999999977</v>
      </c>
      <c r="BM92" s="4">
        <f>[1]节奏总纲!BM92</f>
        <v>3.9899999999999971</v>
      </c>
      <c r="BN92" s="4">
        <f>[1]节奏总纲!BN92</f>
        <v>4.8999999999999968</v>
      </c>
      <c r="BW92" s="4">
        <f>[1]节奏总纲!BW92</f>
        <v>89</v>
      </c>
      <c r="BX92" s="4">
        <f>[1]节奏总纲!BX92</f>
        <v>48.557223076748912</v>
      </c>
      <c r="BY92" s="4">
        <f>[1]节奏总纲!BY92</f>
        <v>49.088974957750068</v>
      </c>
      <c r="BZ92" s="4">
        <f>[1]节奏总纲!BZ92</f>
        <v>49.579936789633926</v>
      </c>
      <c r="CA92" s="4">
        <f>[1]节奏总纲!CA92</f>
        <v>50.13435118838489</v>
      </c>
      <c r="CB92" s="4">
        <f>[1]节奏总纲!CB92</f>
        <v>50.6943349274338</v>
      </c>
      <c r="CC92" s="4">
        <f>[1]节奏总纲!CC92</f>
        <v>50.6943349274338</v>
      </c>
    </row>
    <row r="93" spans="6:81" x14ac:dyDescent="0.15">
      <c r="F93" s="4">
        <f>[1]节奏总纲!F93</f>
        <v>91</v>
      </c>
      <c r="G93" s="4">
        <f>[1]节奏总纲!G93</f>
        <v>547.74801281858208</v>
      </c>
      <c r="N93" s="50">
        <f>[1]节奏总纲!N93</f>
        <v>100</v>
      </c>
      <c r="O93" s="4">
        <f>[1]节奏总纲!O93</f>
        <v>90</v>
      </c>
      <c r="P93" s="4">
        <f>[1]节奏总纲!P93</f>
        <v>511</v>
      </c>
      <c r="Q93" s="4">
        <f>[1]节奏总纲!Q93</f>
        <v>438.13140000000004</v>
      </c>
      <c r="R93" s="4">
        <f>[1]节奏总纲!R93</f>
        <v>354.12299999999999</v>
      </c>
      <c r="S93" s="4">
        <f>[1]节奏总纲!S93</f>
        <v>254.88680000000002</v>
      </c>
      <c r="T93" s="4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f>[1]节奏总纲!AC93</f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f>[1]节奏总纲!AZ93</f>
        <v>90</v>
      </c>
      <c r="BA93" s="4">
        <f>[1]节奏总纲!BA93</f>
        <v>37.317457773889828</v>
      </c>
      <c r="BB93" s="4">
        <f>[1]节奏总纲!BB93</f>
        <v>38.82039500446033</v>
      </c>
      <c r="BC93" s="4">
        <f>[1]节奏总纲!BC93</f>
        <v>40.751734485509814</v>
      </c>
      <c r="BD93" s="4">
        <f>[1]节奏总纲!BD93</f>
        <v>43.479537810324807</v>
      </c>
      <c r="BE93" s="4">
        <f>[1]节奏总纲!BE93</f>
        <v>48.173700750441178</v>
      </c>
      <c r="BI93" s="4">
        <f>[1]节奏总纲!BI93</f>
        <v>90</v>
      </c>
      <c r="BJ93" s="4">
        <f>[1]节奏总纲!BJ93</f>
        <v>3.4999999999999978</v>
      </c>
      <c r="BK93" s="4">
        <f>[1]节奏总纲!BK93</f>
        <v>3.5699999999999976</v>
      </c>
      <c r="BL93" s="4">
        <f>[1]节奏总纲!BL93</f>
        <v>3.7099999999999977</v>
      </c>
      <c r="BM93" s="4">
        <f>[1]节奏总纲!BM93</f>
        <v>3.9899999999999971</v>
      </c>
      <c r="BN93" s="4">
        <f>[1]节奏总纲!BN93</f>
        <v>4.8999999999999968</v>
      </c>
      <c r="BW93" s="4">
        <f>[1]节奏总纲!BW93</f>
        <v>90</v>
      </c>
      <c r="BX93" s="4">
        <f>[1]节奏总纲!BX93</f>
        <v>49.042729140195462</v>
      </c>
      <c r="BY93" s="4">
        <f>[1]节奏总纲!BY93</f>
        <v>49.497214321439728</v>
      </c>
      <c r="BZ93" s="4">
        <f>[1]节奏总纲!BZ93</f>
        <v>50.021192353066951</v>
      </c>
      <c r="CA93" s="4">
        <f>[1]节奏总纲!CA93</f>
        <v>50.524371596694976</v>
      </c>
      <c r="CB93" s="4">
        <f>[1]节奏总纲!CB93</f>
        <v>51.099355476740961</v>
      </c>
      <c r="CC93" s="4">
        <f>[1]节奏总纲!CC93</f>
        <v>51.099355476740961</v>
      </c>
    </row>
    <row r="94" spans="6:81" x14ac:dyDescent="0.15">
      <c r="F94" s="4">
        <f>[1]节奏总纲!F94</f>
        <v>92</v>
      </c>
      <c r="G94" s="4">
        <f>[1]节奏总纲!G94</f>
        <v>587.1335577584814</v>
      </c>
      <c r="N94" s="50">
        <f>[1]节奏总纲!N94</f>
        <v>101</v>
      </c>
      <c r="O94" s="4">
        <f>[1]节奏总纲!O94</f>
        <v>91</v>
      </c>
      <c r="P94" s="4">
        <f>[1]节奏总纲!P94</f>
        <v>547.74801281858208</v>
      </c>
      <c r="Q94" s="4">
        <f>[1]节奏总纲!Q94</f>
        <v>469.6391461906523</v>
      </c>
      <c r="R94" s="4">
        <f>[1]节奏总纲!R94</f>
        <v>378.43910205635837</v>
      </c>
      <c r="S94" s="4">
        <f>[1]节奏总纲!S94</f>
        <v>272.61418597980827</v>
      </c>
      <c r="T94" s="4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f>[1]节奏总纲!AC94</f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f>[1]节奏总纲!AZ94</f>
        <v>91</v>
      </c>
      <c r="BA94" s="4">
        <f>[1]节奏总纲!BA94</f>
        <v>37.390060646747358</v>
      </c>
      <c r="BB94" s="4">
        <f>[1]节奏总纲!BB94</f>
        <v>38.898683162257733</v>
      </c>
      <c r="BC94" s="4">
        <f>[1]节奏总纲!BC94</f>
        <v>40.829433140342871</v>
      </c>
      <c r="BD94" s="4">
        <f>[1]节奏总纲!BD94</f>
        <v>43.554431227194108</v>
      </c>
      <c r="BE94" s="4">
        <f>[1]节奏总纲!BE94</f>
        <v>48.24548675007965</v>
      </c>
      <c r="BI94" s="4">
        <f>[1]节奏总纲!BI94</f>
        <v>91</v>
      </c>
      <c r="BJ94" s="4">
        <f>[1]节奏总纲!BJ94</f>
        <v>3.4999999999999978</v>
      </c>
      <c r="BK94" s="4">
        <f>[1]节奏总纲!BK94</f>
        <v>3.5699999999999976</v>
      </c>
      <c r="BL94" s="4">
        <f>[1]节奏总纲!BL94</f>
        <v>3.7099999999999977</v>
      </c>
      <c r="BM94" s="4">
        <f>[1]节奏总纲!BM94</f>
        <v>3.9899999999999971</v>
      </c>
      <c r="BN94" s="4">
        <f>[1]节奏总纲!BN94</f>
        <v>4.8999999999999968</v>
      </c>
      <c r="BW94" s="4">
        <f>[1]节奏总纲!BW94</f>
        <v>91</v>
      </c>
      <c r="BX94" s="4">
        <f>[1]节奏总纲!BX94</f>
        <v>49.498252634231747</v>
      </c>
      <c r="BY94" s="4">
        <f>[1]节奏总纲!BY94</f>
        <v>49.985421626173121</v>
      </c>
      <c r="BZ94" s="4">
        <f>[1]节奏总纲!BZ94</f>
        <v>50.454959541611018</v>
      </c>
      <c r="CA94" s="4">
        <f>[1]节奏总纲!CA94</f>
        <v>50.998721372753316</v>
      </c>
      <c r="CB94" s="4">
        <f>[1]节奏总纲!CB94</f>
        <v>51.534250551986972</v>
      </c>
      <c r="CC94" s="4">
        <f>[1]节奏总纲!CC94</f>
        <v>51.534250551986972</v>
      </c>
    </row>
    <row r="95" spans="6:81" x14ac:dyDescent="0.15">
      <c r="F95" s="4">
        <f>[1]节奏总纲!F95</f>
        <v>93</v>
      </c>
      <c r="G95" s="4">
        <f>[1]节奏总纲!G95</f>
        <v>629.34593963259704</v>
      </c>
      <c r="N95" s="50">
        <f>[1]节奏总纲!N95</f>
        <v>102</v>
      </c>
      <c r="O95" s="4">
        <f>[1]节奏总纲!O95</f>
        <v>92</v>
      </c>
      <c r="P95" s="4">
        <f>[1]节奏总纲!P95</f>
        <v>587.1335577584814</v>
      </c>
      <c r="Q95" s="4">
        <f>[1]节奏总纲!Q95</f>
        <v>502.29275866238083</v>
      </c>
      <c r="R95" s="4">
        <f>[1]节奏总纲!R95</f>
        <v>405.12215485335213</v>
      </c>
      <c r="S95" s="4">
        <f>[1]节奏总纲!S95</f>
        <v>291.57052478286187</v>
      </c>
      <c r="T95" s="4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f>[1]节奏总纲!AC95</f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f>[1]节奏总纲!AZ95</f>
        <v>92</v>
      </c>
      <c r="BA95" s="4">
        <f>[1]节奏总纲!BA95</f>
        <v>37.462663519604888</v>
      </c>
      <c r="BB95" s="4">
        <f>[1]节奏总纲!BB95</f>
        <v>38.976971320055128</v>
      </c>
      <c r="BC95" s="4">
        <f>[1]节奏总纲!BC95</f>
        <v>40.907131795175928</v>
      </c>
      <c r="BD95" s="4">
        <f>[1]节奏总纲!BD95</f>
        <v>43.629324644063402</v>
      </c>
      <c r="BE95" s="4">
        <f>[1]节奏总纲!BE95</f>
        <v>48.317272749718121</v>
      </c>
      <c r="BI95" s="4">
        <f>[1]节奏总纲!BI95</f>
        <v>92</v>
      </c>
      <c r="BJ95" s="4">
        <f>[1]节奏总纲!BJ95</f>
        <v>3.4999999999999978</v>
      </c>
      <c r="BK95" s="4">
        <f>[1]节奏总纲!BK95</f>
        <v>3.5699999999999976</v>
      </c>
      <c r="BL95" s="4">
        <f>[1]节奏总纲!BL95</f>
        <v>3.7099999999999977</v>
      </c>
      <c r="BM95" s="4">
        <f>[1]节奏总纲!BM95</f>
        <v>3.9899999999999971</v>
      </c>
      <c r="BN95" s="4">
        <f>[1]节奏总纲!BN95</f>
        <v>4.8999999999999968</v>
      </c>
      <c r="BW95" s="4">
        <f>[1]节奏总纲!BW95</f>
        <v>92</v>
      </c>
      <c r="BX95" s="4">
        <f>[1]节奏总纲!BX95</f>
        <v>49.986470626701646</v>
      </c>
      <c r="BY95" s="4">
        <f>[1]节奏总纲!BY95</f>
        <v>50.424285339835969</v>
      </c>
      <c r="BZ95" s="4">
        <f>[1]节奏总纲!BZ95</f>
        <v>50.930950009437595</v>
      </c>
      <c r="CA95" s="4">
        <f>[1]节奏总纲!CA95</f>
        <v>51.436896660010483</v>
      </c>
      <c r="CB95" s="4">
        <f>[1]节奏总纲!CB95</f>
        <v>51.984969997617021</v>
      </c>
      <c r="CC95" s="4">
        <f>[1]节奏总纲!CC95</f>
        <v>51.984969997617021</v>
      </c>
    </row>
    <row r="96" spans="6:81" x14ac:dyDescent="0.15">
      <c r="F96" s="4">
        <f>[1]节奏总纲!F96</f>
        <v>94</v>
      </c>
      <c r="G96" s="4">
        <f>[1]节奏总纲!G96</f>
        <v>674.58805031572183</v>
      </c>
      <c r="N96" s="50">
        <f>[1]节奏总纲!N96</f>
        <v>103</v>
      </c>
      <c r="O96" s="4">
        <f>[1]节奏总纲!O96</f>
        <v>93</v>
      </c>
      <c r="P96" s="4">
        <f>[1]节奏总纲!P96</f>
        <v>629.34593963259704</v>
      </c>
      <c r="Q96" s="4">
        <f>[1]节奏总纲!Q96</f>
        <v>538.34251676172357</v>
      </c>
      <c r="R96" s="4">
        <f>[1]节奏总纲!R96</f>
        <v>433.68228700082267</v>
      </c>
      <c r="S96" s="4">
        <f>[1]节奏总纲!S96</f>
        <v>311.52624011813555</v>
      </c>
      <c r="T96" s="4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f>[1]节奏总纲!AC96</f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f>[1]节奏总纲!AZ96</f>
        <v>93</v>
      </c>
      <c r="BA96" s="4">
        <f>[1]节奏总纲!BA96</f>
        <v>37.535266392462418</v>
      </c>
      <c r="BB96" s="4">
        <f>[1]节奏总纲!BB96</f>
        <v>39.047673544184711</v>
      </c>
      <c r="BC96" s="4">
        <f>[1]节奏总纲!BC96</f>
        <v>40.984830450008985</v>
      </c>
      <c r="BD96" s="4">
        <f>[1]节奏总纲!BD96</f>
        <v>43.704218060932696</v>
      </c>
      <c r="BE96" s="4">
        <f>[1]节奏总纲!BE96</f>
        <v>48.389058749356593</v>
      </c>
      <c r="BI96" s="4">
        <f>[1]节奏总纲!BI96</f>
        <v>93</v>
      </c>
      <c r="BJ96" s="4">
        <f>[1]节奏总纲!BJ96</f>
        <v>3.4999999999999978</v>
      </c>
      <c r="BK96" s="4">
        <f>[1]节奏总纲!BK96</f>
        <v>3.5699999999999976</v>
      </c>
      <c r="BL96" s="4">
        <f>[1]节奏总纲!BL96</f>
        <v>3.7099999999999977</v>
      </c>
      <c r="BM96" s="4">
        <f>[1]节奏总纲!BM96</f>
        <v>3.9899999999999971</v>
      </c>
      <c r="BN96" s="4">
        <f>[1]节奏总纲!BN96</f>
        <v>4.8999999999999968</v>
      </c>
      <c r="BW96" s="4">
        <f>[1]节奏总纲!BW96</f>
        <v>93</v>
      </c>
      <c r="BX96" s="4">
        <f>[1]节奏总纲!BX96</f>
        <v>50.440125995524625</v>
      </c>
      <c r="BY96" s="4">
        <f>[1]节奏总纲!BY96</f>
        <v>50.90659544186844</v>
      </c>
      <c r="BZ96" s="4">
        <f>[1]节奏总纲!BZ96</f>
        <v>51.380310631705122</v>
      </c>
      <c r="CA96" s="4">
        <f>[1]节奏总纲!CA96</f>
        <v>51.897988787201882</v>
      </c>
      <c r="CB96" s="4">
        <f>[1]节奏总纲!CB96</f>
        <v>52.414208810757216</v>
      </c>
      <c r="CC96" s="4">
        <f>[1]节奏总纲!CC96</f>
        <v>52.414208810757216</v>
      </c>
    </row>
    <row r="97" spans="6:81" x14ac:dyDescent="0.15">
      <c r="F97" s="4">
        <f>[1]节奏总纲!F97</f>
        <v>95</v>
      </c>
      <c r="G97" s="4">
        <f>[1]节奏总纲!G97</f>
        <v>723.0773439350246</v>
      </c>
      <c r="N97" s="50">
        <f>[1]节奏总纲!N97</f>
        <v>104</v>
      </c>
      <c r="O97" s="4">
        <f>[1]节奏总纲!O97</f>
        <v>94</v>
      </c>
      <c r="P97" s="4">
        <f>[1]节奏总纲!P97</f>
        <v>674.58805031572183</v>
      </c>
      <c r="Q97" s="4">
        <f>[1]节奏总纲!Q97</f>
        <v>576.30057138472114</v>
      </c>
      <c r="R97" s="4">
        <f>[1]节奏总纲!R97</f>
        <v>464.04911981218504</v>
      </c>
      <c r="S97" s="4">
        <f>[1]节奏总纲!S97</f>
        <v>332.70682641571403</v>
      </c>
      <c r="T97" s="4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f>[1]节奏总纲!AC97</f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f>[1]节奏总纲!AZ97</f>
        <v>94</v>
      </c>
      <c r="BA97" s="4">
        <f>[1]节奏总纲!BA97</f>
        <v>37.607869265319941</v>
      </c>
      <c r="BB97" s="4">
        <f>[1]节奏总纲!BB97</f>
        <v>39.115214427575864</v>
      </c>
      <c r="BC97" s="4">
        <f>[1]节奏总纲!BC97</f>
        <v>41.053954370816207</v>
      </c>
      <c r="BD97" s="4">
        <f>[1]节奏总纲!BD97</f>
        <v>43.77911147780199</v>
      </c>
      <c r="BE97" s="4">
        <f>[1]节奏总纲!BE97</f>
        <v>48.460844748995065</v>
      </c>
      <c r="BI97" s="4">
        <f>[1]节奏总纲!BI97</f>
        <v>94</v>
      </c>
      <c r="BJ97" s="4">
        <f>[1]节奏总纲!BJ97</f>
        <v>3.4999999999999978</v>
      </c>
      <c r="BK97" s="4">
        <f>[1]节奏总纲!BK97</f>
        <v>3.5699999999999976</v>
      </c>
      <c r="BL97" s="4">
        <f>[1]节奏总纲!BL97</f>
        <v>3.7099999999999977</v>
      </c>
      <c r="BM97" s="4">
        <f>[1]节奏总纲!BM97</f>
        <v>3.9899999999999971</v>
      </c>
      <c r="BN97" s="4">
        <f>[1]节奏总纲!BN97</f>
        <v>4.8999999999999968</v>
      </c>
      <c r="BW97" s="4">
        <f>[1]节奏总纲!BW97</f>
        <v>94</v>
      </c>
      <c r="BX97" s="4">
        <f>[1]节奏总纲!BX97</f>
        <v>50.924361744560407</v>
      </c>
      <c r="BY97" s="4">
        <f>[1]节奏总纲!BY97</f>
        <v>51.357869409358393</v>
      </c>
      <c r="BZ97" s="4">
        <f>[1]节奏总纲!BZ97</f>
        <v>51.84807662595162</v>
      </c>
      <c r="CA97" s="4">
        <f>[1]节奏总纲!CA97</f>
        <v>52.334530106928973</v>
      </c>
      <c r="CB97" s="4">
        <f>[1]节奏总纲!CB97</f>
        <v>52.864865346365669</v>
      </c>
      <c r="CC97" s="4">
        <f>[1]节奏总纲!CC97</f>
        <v>52.864865346365669</v>
      </c>
    </row>
    <row r="98" spans="6:81" x14ac:dyDescent="0.15">
      <c r="F98" s="4">
        <f>[1]节奏总纲!F98</f>
        <v>96</v>
      </c>
      <c r="G98" s="4">
        <f>[1]节奏总纲!G98</f>
        <v>775.04688205332377</v>
      </c>
      <c r="N98" s="50">
        <f>[1]节奏总纲!N98</f>
        <v>105</v>
      </c>
      <c r="O98" s="4">
        <f>[1]节奏总纲!O98</f>
        <v>95</v>
      </c>
      <c r="P98" s="4">
        <f>[1]节奏总纲!P98</f>
        <v>723.0773439350246</v>
      </c>
      <c r="Q98" s="4">
        <f>[1]节奏总纲!Q98</f>
        <v>618.15882133005255</v>
      </c>
      <c r="R98" s="4">
        <f>[1]节奏总纲!R98</f>
        <v>495.95875020503337</v>
      </c>
      <c r="S98" s="4">
        <f>[1]节奏总纲!S98</f>
        <v>355.39251454406457</v>
      </c>
      <c r="T98" s="4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f>[1]节奏总纲!AC98</f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f>[1]节奏总纲!AZ98</f>
        <v>95</v>
      </c>
      <c r="BA98" s="4">
        <f>[1]节奏总纲!BA98</f>
        <v>37.680472138177471</v>
      </c>
      <c r="BB98" s="4">
        <f>[1]节奏总纲!BB98</f>
        <v>39.182755310967018</v>
      </c>
      <c r="BC98" s="4">
        <f>[1]节奏总纲!BC98</f>
        <v>41.120998062635785</v>
      </c>
      <c r="BD98" s="4">
        <f>[1]节奏总纲!BD98</f>
        <v>43.854004894671284</v>
      </c>
      <c r="BE98" s="4">
        <f>[1]节奏总纲!BE98</f>
        <v>48.532630748633537</v>
      </c>
      <c r="BI98" s="4">
        <f>[1]节奏总纲!BI98</f>
        <v>95</v>
      </c>
      <c r="BJ98" s="4">
        <f>[1]节奏总纲!BJ98</f>
        <v>3.4999999999999978</v>
      </c>
      <c r="BK98" s="4">
        <f>[1]节奏总纲!BK98</f>
        <v>3.5699999999999976</v>
      </c>
      <c r="BL98" s="4">
        <f>[1]节奏总纲!BL98</f>
        <v>3.7099999999999977</v>
      </c>
      <c r="BM98" s="4">
        <f>[1]节奏总纲!BM98</f>
        <v>3.9899999999999971</v>
      </c>
      <c r="BN98" s="4">
        <f>[1]节奏总纲!BN98</f>
        <v>4.8999999999999968</v>
      </c>
      <c r="BW98" s="4">
        <f>[1]节奏总纲!BW98</f>
        <v>95</v>
      </c>
      <c r="BX98" s="4">
        <f>[1]节奏总纲!BX98</f>
        <v>51.382838700936844</v>
      </c>
      <c r="BY98" s="4">
        <f>[1]节奏总纲!BY98</f>
        <v>51.841452913721341</v>
      </c>
      <c r="BZ98" s="4">
        <f>[1]节奏总纲!BZ98</f>
        <v>52.293273390033363</v>
      </c>
      <c r="CA98" s="4">
        <f>[1]节奏总纲!CA98</f>
        <v>52.787185373346801</v>
      </c>
      <c r="CB98" s="4">
        <f>[1]节奏总纲!CB98</f>
        <v>53.338289705589766</v>
      </c>
      <c r="CC98" s="4">
        <f>[1]节奏总纲!CC98</f>
        <v>53.338289705589766</v>
      </c>
    </row>
    <row r="99" spans="6:81" x14ac:dyDescent="0.15">
      <c r="F99" s="4">
        <f>[1]节奏总纲!F99</f>
        <v>97</v>
      </c>
      <c r="G99" s="4">
        <f>[1]节奏总纲!G99</f>
        <v>830.74645386878444</v>
      </c>
      <c r="N99" s="50">
        <f>[1]节奏总纲!N99</f>
        <v>106</v>
      </c>
      <c r="O99" s="4">
        <f>[1]节奏总纲!O99</f>
        <v>96</v>
      </c>
      <c r="P99" s="4">
        <f>[1]节奏总纲!P99</f>
        <v>775.04688205332377</v>
      </c>
      <c r="Q99" s="4">
        <f>[1]节奏总纲!Q99</f>
        <v>661.0374857032798</v>
      </c>
      <c r="R99" s="4">
        <f>[1]节奏总纲!R99</f>
        <v>529.97705794806279</v>
      </c>
      <c r="S99" s="4">
        <f>[1]节奏总纲!S99</f>
        <v>380.70302846459265</v>
      </c>
      <c r="T99" s="4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f>[1]节奏总纲!AC99</f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f>[1]节奏总纲!AZ99</f>
        <v>96</v>
      </c>
      <c r="BA99" s="4">
        <f>[1]节奏总纲!BA99</f>
        <v>37.753075011035001</v>
      </c>
      <c r="BB99" s="4">
        <f>[1]节奏总纲!BB99</f>
        <v>39.250296194358178</v>
      </c>
      <c r="BC99" s="4">
        <f>[1]节奏总纲!BC99</f>
        <v>41.188041754455355</v>
      </c>
      <c r="BD99" s="4">
        <f>[1]节奏总纲!BD99</f>
        <v>43.928898311540578</v>
      </c>
      <c r="BE99" s="4">
        <f>[1]节奏总纲!BE99</f>
        <v>48.604416748272008</v>
      </c>
      <c r="BI99" s="4">
        <f>[1]节奏总纲!BI99</f>
        <v>96</v>
      </c>
      <c r="BJ99" s="4">
        <f>[1]节奏总纲!BJ99</f>
        <v>3.4999999999999978</v>
      </c>
      <c r="BK99" s="4">
        <f>[1]节奏总纲!BK99</f>
        <v>3.5699999999999976</v>
      </c>
      <c r="BL99" s="4">
        <f>[1]节奏总纲!BL99</f>
        <v>3.7099999999999977</v>
      </c>
      <c r="BM99" s="4">
        <f>[1]节奏总纲!BM99</f>
        <v>3.9899999999999971</v>
      </c>
      <c r="BN99" s="4">
        <f>[1]节奏总纲!BN99</f>
        <v>4.8999999999999968</v>
      </c>
      <c r="BW99" s="4">
        <f>[1]节奏总纲!BW99</f>
        <v>96</v>
      </c>
      <c r="BX99" s="4">
        <f>[1]节奏总纲!BX99</f>
        <v>51.863157135581275</v>
      </c>
      <c r="BY99" s="4">
        <f>[1]节奏总纲!BY99</f>
        <v>52.290870529884771</v>
      </c>
      <c r="BZ99" s="4">
        <f>[1]节奏总纲!BZ99</f>
        <v>52.745792648501016</v>
      </c>
      <c r="CA99" s="4">
        <f>[1]节奏总纲!CA99</f>
        <v>53.252362918407712</v>
      </c>
      <c r="CB99" s="4">
        <f>[1]节奏总纲!CB99</f>
        <v>53.821316321108398</v>
      </c>
      <c r="CC99" s="4">
        <f>[1]节奏总纲!CC99</f>
        <v>53.821316321108398</v>
      </c>
    </row>
    <row r="100" spans="6:81" x14ac:dyDescent="0.15">
      <c r="F100" s="4">
        <f>[1]节奏总纲!F100</f>
        <v>98</v>
      </c>
      <c r="G100" s="4">
        <f>[1]节奏总纲!G100</f>
        <v>890.4437768152311</v>
      </c>
      <c r="N100" s="50">
        <f>[1]节奏总纲!N100</f>
        <v>107</v>
      </c>
      <c r="O100" s="4">
        <f>[1]节奏总纲!O100</f>
        <v>97</v>
      </c>
      <c r="P100" s="4">
        <f>[1]节奏总纲!P100</f>
        <v>830.74645386878444</v>
      </c>
      <c r="Q100" s="4">
        <f>[1]节奏总纲!Q100</f>
        <v>707.71290405081743</v>
      </c>
      <c r="R100" s="4">
        <f>[1]节奏总纲!R100</f>
        <v>569.31054483627804</v>
      </c>
      <c r="S100" s="4">
        <f>[1]节奏总纲!S100</f>
        <v>409.80722569347137</v>
      </c>
      <c r="T100" s="4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f>[1]节奏总纲!AC100</f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f>[1]节奏总纲!AZ100</f>
        <v>97</v>
      </c>
      <c r="BA100" s="4">
        <f>[1]节奏总纲!BA100</f>
        <v>37.825677883892531</v>
      </c>
      <c r="BB100" s="4">
        <f>[1]节奏总纲!BB100</f>
        <v>39.317837077749331</v>
      </c>
      <c r="BC100" s="4">
        <f>[1]节奏总纲!BC100</f>
        <v>41.255085446274933</v>
      </c>
      <c r="BD100" s="4">
        <f>[1]节奏总纲!BD100</f>
        <v>44.003272544984547</v>
      </c>
      <c r="BE100" s="4">
        <f>[1]节奏总纲!BE100</f>
        <v>48.67620274791048</v>
      </c>
      <c r="BI100" s="4">
        <f>[1]节奏总纲!BI100</f>
        <v>97</v>
      </c>
      <c r="BJ100" s="4">
        <f>[1]节奏总纲!BJ100</f>
        <v>3.4999999999999978</v>
      </c>
      <c r="BK100" s="4">
        <f>[1]节奏总纲!BK100</f>
        <v>3.5699999999999976</v>
      </c>
      <c r="BL100" s="4">
        <f>[1]节奏总纲!BL100</f>
        <v>3.7099999999999977</v>
      </c>
      <c r="BM100" s="4">
        <f>[1]节奏总纲!BM100</f>
        <v>3.9899999999999971</v>
      </c>
      <c r="BN100" s="4">
        <f>[1]节奏总纲!BN100</f>
        <v>4.8999999999999968</v>
      </c>
      <c r="BW100" s="4">
        <f>[1]节奏总纲!BW100</f>
        <v>97</v>
      </c>
      <c r="BX100" s="4">
        <f>[1]节奏总纲!BX100</f>
        <v>52.326384257945534</v>
      </c>
      <c r="BY100" s="4">
        <f>[1]节奏总纲!BY100</f>
        <v>52.756535794428025</v>
      </c>
      <c r="BZ100" s="4">
        <f>[1]节奏总纲!BZ100</f>
        <v>53.232327712261743</v>
      </c>
      <c r="CA100" s="4">
        <f>[1]节奏总纲!CA100</f>
        <v>53.753890418265996</v>
      </c>
      <c r="CB100" s="4">
        <f>[1]节奏总纲!CB100</f>
        <v>54.335165952675545</v>
      </c>
      <c r="CC100" s="4">
        <f>[1]节奏总纲!CC100</f>
        <v>54.335165952675545</v>
      </c>
    </row>
    <row r="101" spans="6:81" x14ac:dyDescent="0.15">
      <c r="F101" s="4">
        <f>[1]节奏总纲!F101</f>
        <v>99</v>
      </c>
      <c r="G101" s="4">
        <f>[1]节奏总纲!G101</f>
        <v>954.42578333369079</v>
      </c>
      <c r="N101" s="50">
        <f>[1]节奏总纲!N101</f>
        <v>108</v>
      </c>
      <c r="O101" s="4">
        <f>[1]节奏总纲!O101</f>
        <v>98</v>
      </c>
      <c r="P101" s="4">
        <f>[1]节奏总纲!P101</f>
        <v>890.4437768152311</v>
      </c>
      <c r="Q101" s="4">
        <f>[1]节奏总纲!Q101</f>
        <v>760.34994102252585</v>
      </c>
      <c r="R101" s="4">
        <f>[1]节奏总纲!R101</f>
        <v>612.98149595960513</v>
      </c>
      <c r="S101" s="4">
        <f>[1]节奏总纲!S101</f>
        <v>441.9272464333992</v>
      </c>
      <c r="T101" s="4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f>[1]节奏总纲!AC101</f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f>[1]节奏总纲!AZ101</f>
        <v>98</v>
      </c>
      <c r="BA101" s="4">
        <f>[1]节奏总纲!BA101</f>
        <v>37.898280756750061</v>
      </c>
      <c r="BB101" s="4">
        <f>[1]节奏总纲!BB101</f>
        <v>39.385377961140485</v>
      </c>
      <c r="BC101" s="4">
        <f>[1]节奏总纲!BC101</f>
        <v>41.322129138094503</v>
      </c>
      <c r="BD101" s="4">
        <f>[1]节奏总纲!BD101</f>
        <v>44.067911160744309</v>
      </c>
      <c r="BE101" s="4">
        <f>[1]节奏总纲!BE101</f>
        <v>48.747988747548945</v>
      </c>
      <c r="BI101" s="4">
        <f>[1]节奏总纲!BI101</f>
        <v>98</v>
      </c>
      <c r="BJ101" s="4">
        <f>[1]节奏总纲!BJ101</f>
        <v>3.4999999999999978</v>
      </c>
      <c r="BK101" s="4">
        <f>[1]节奏总纲!BK101</f>
        <v>3.5699999999999976</v>
      </c>
      <c r="BL101" s="4">
        <f>[1]节奏总纲!BL101</f>
        <v>3.7099999999999977</v>
      </c>
      <c r="BM101" s="4">
        <f>[1]节奏总纲!BM101</f>
        <v>3.9899999999999971</v>
      </c>
      <c r="BN101" s="4">
        <f>[1]节奏总纲!BN101</f>
        <v>4.8999999999999968</v>
      </c>
      <c r="BW101" s="4">
        <f>[1]节奏总纲!BW101</f>
        <v>98</v>
      </c>
      <c r="BX101" s="4">
        <f>[1]节奏总纲!BX101</f>
        <v>52.802848669690398</v>
      </c>
      <c r="BY101" s="4">
        <f>[1]节奏总纲!BY101</f>
        <v>53.243263351667181</v>
      </c>
      <c r="BZ101" s="4">
        <f>[1]节奏总纲!BZ101</f>
        <v>53.734023573310566</v>
      </c>
      <c r="CA101" s="4">
        <f>[1]节奏总纲!CA101</f>
        <v>54.265483052665907</v>
      </c>
      <c r="CB101" s="4">
        <f>[1]节奏总纲!CB101</f>
        <v>54.855218110725374</v>
      </c>
      <c r="CC101" s="4">
        <f>[1]节奏总纲!CC101</f>
        <v>54.855218110725374</v>
      </c>
    </row>
    <row r="102" spans="6:81" x14ac:dyDescent="0.15">
      <c r="F102" s="4">
        <f>[1]节奏总纲!F102</f>
        <v>100</v>
      </c>
      <c r="G102" s="4">
        <f>[1]节奏总纲!G102</f>
        <v>1023</v>
      </c>
      <c r="N102" s="50">
        <f>[1]节奏总纲!N102</f>
        <v>109</v>
      </c>
      <c r="O102" s="4">
        <f>[1]节奏总纲!O102</f>
        <v>99</v>
      </c>
      <c r="P102" s="4">
        <f>[1]节奏总纲!P102</f>
        <v>954.42578333369079</v>
      </c>
      <c r="Q102" s="4">
        <f>[1]节奏总纲!Q102</f>
        <v>816.51125764197252</v>
      </c>
      <c r="R102" s="4">
        <f>[1]节奏总纲!R102</f>
        <v>658.6492330785801</v>
      </c>
      <c r="S102" s="4">
        <f>[1]节奏总纲!S102</f>
        <v>475.39948267851139</v>
      </c>
      <c r="T102" s="4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f>[1]节奏总纲!AC102</f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f>[1]节奏总纲!AZ102</f>
        <v>99</v>
      </c>
      <c r="BA102" s="4">
        <f>[1]节奏总纲!BA102</f>
        <v>37.970883629607592</v>
      </c>
      <c r="BB102" s="4">
        <f>[1]节奏总纲!BB102</f>
        <v>39.452918844531645</v>
      </c>
      <c r="BC102" s="4">
        <f>[1]节奏总纲!BC102</f>
        <v>41.389172829914081</v>
      </c>
      <c r="BD102" s="4">
        <f>[1]节奏总纲!BD102</f>
        <v>44.132549776504064</v>
      </c>
      <c r="BE102" s="4">
        <f>[1]节奏总纲!BE102</f>
        <v>48.819774747187417</v>
      </c>
      <c r="BI102" s="4">
        <f>[1]节奏总纲!BI102</f>
        <v>99</v>
      </c>
      <c r="BJ102" s="4">
        <f>[1]节奏总纲!BJ102</f>
        <v>3.4999999999999978</v>
      </c>
      <c r="BK102" s="4">
        <f>[1]节奏总纲!BK102</f>
        <v>3.5699999999999976</v>
      </c>
      <c r="BL102" s="4">
        <f>[1]节奏总纲!BL102</f>
        <v>3.7099999999999977</v>
      </c>
      <c r="BM102" s="4">
        <f>[1]节奏总纲!BM102</f>
        <v>3.9899999999999971</v>
      </c>
      <c r="BN102" s="4">
        <f>[1]节奏总纲!BN102</f>
        <v>4.8999999999999968</v>
      </c>
      <c r="BW102" s="4">
        <f>[1]节奏总纲!BW102</f>
        <v>99</v>
      </c>
      <c r="BX102" s="4">
        <f>[1]节奏总纲!BX102</f>
        <v>53.27075451697057</v>
      </c>
      <c r="BY102" s="4">
        <f>[1]节奏总纲!BY102</f>
        <v>53.72715308914038</v>
      </c>
      <c r="BZ102" s="4">
        <f>[1]节奏总纲!BZ102</f>
        <v>54.223397539416098</v>
      </c>
      <c r="CA102" s="4">
        <f>[1]节奏总纲!CA102</f>
        <v>54.763650287732681</v>
      </c>
      <c r="CB102" s="4">
        <f>[1]节奏总纲!CB102</f>
        <v>55.30747709307812</v>
      </c>
      <c r="CC102" s="4">
        <f>[1]节奏总纲!CC102</f>
        <v>55.30747709307812</v>
      </c>
    </row>
    <row r="103" spans="6:81" x14ac:dyDescent="0.15">
      <c r="F103" s="4">
        <f>[1]节奏总纲!F103</f>
        <v>101</v>
      </c>
      <c r="G103" s="4">
        <f>[1]节奏总纲!G103</f>
        <v>1096.4960256371633</v>
      </c>
      <c r="N103" s="50">
        <f>[1]节奏总纲!N103</f>
        <v>110</v>
      </c>
      <c r="O103" s="4">
        <f>[1]节奏总纲!O103</f>
        <v>100</v>
      </c>
      <c r="P103" s="4">
        <f>[1]节奏总纲!P103</f>
        <v>1023</v>
      </c>
      <c r="Q103" s="4">
        <f>[1]节奏总纲!Q103</f>
        <v>875.38110000000006</v>
      </c>
      <c r="R103" s="4">
        <f>[1]节奏总纲!R103</f>
        <v>706.6884</v>
      </c>
      <c r="S103" s="4">
        <f>[1]节奏总纲!S103</f>
        <v>508.22640000000001</v>
      </c>
      <c r="T103" s="4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f>[1]节奏总纲!AC103</f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f>[1]节奏总纲!AZ103</f>
        <v>100</v>
      </c>
      <c r="BA103" s="4">
        <f>[1]节奏总纲!BA103</f>
        <v>38.037513426486328</v>
      </c>
      <c r="BB103" s="4">
        <f>[1]节奏总纲!BB103</f>
        <v>39.520459727922798</v>
      </c>
      <c r="BC103" s="4">
        <f>[1]节奏总纲!BC103</f>
        <v>41.456216521733651</v>
      </c>
      <c r="BD103" s="4">
        <f>[1]节奏总纲!BD103</f>
        <v>44.197188392263818</v>
      </c>
      <c r="BE103" s="4">
        <f>[1]节奏总纲!BE103</f>
        <v>48.891560746825888</v>
      </c>
      <c r="BI103" s="4">
        <f>[1]节奏总纲!BI103</f>
        <v>100</v>
      </c>
      <c r="BJ103" s="4">
        <f>[1]节奏总纲!BJ103</f>
        <v>3.4999999999999978</v>
      </c>
      <c r="BK103" s="4">
        <f>[1]节奏总纲!BK103</f>
        <v>3.5699999999999976</v>
      </c>
      <c r="BL103" s="4">
        <f>[1]节奏总纲!BL103</f>
        <v>3.7099999999999977</v>
      </c>
      <c r="BM103" s="4">
        <f>[1]节奏总纲!BM103</f>
        <v>3.9899999999999971</v>
      </c>
      <c r="BN103" s="4">
        <f>[1]节奏总纲!BN103</f>
        <v>4.8999999999999968</v>
      </c>
      <c r="BW103" s="4">
        <f>[1]节奏总纲!BW103</f>
        <v>100</v>
      </c>
      <c r="BX103" s="4">
        <f>[1]节奏总纲!BX103</f>
        <v>53.743426622219623</v>
      </c>
      <c r="BY103" s="4">
        <f>[1]节奏总纲!BY103</f>
        <v>54.202428306858415</v>
      </c>
      <c r="BZ103" s="4">
        <f>[1]节奏总纲!BZ103</f>
        <v>54.700042099102475</v>
      </c>
      <c r="CA103" s="4">
        <f>[1]节奏总纲!CA103</f>
        <v>55.217844456964613</v>
      </c>
      <c r="CB103" s="4">
        <f>[1]节奏总纲!CB103</f>
        <v>55.74912762806774</v>
      </c>
      <c r="CC103" s="4">
        <f>[1]节奏总纲!CC103</f>
        <v>55.74912762806774</v>
      </c>
    </row>
    <row r="104" spans="6:81" x14ac:dyDescent="0.15">
      <c r="F104" s="4">
        <f>[1]节奏总纲!F104</f>
        <v>102</v>
      </c>
      <c r="G104" s="4">
        <f>[1]节奏总纲!G104</f>
        <v>1175.2671155169628</v>
      </c>
      <c r="N104" s="50">
        <f>[1]节奏总纲!N104</f>
        <v>111</v>
      </c>
      <c r="O104" s="4">
        <f>[1]节奏总纲!O104</f>
        <v>101</v>
      </c>
      <c r="P104" s="4">
        <f>[1]节奏总纲!P104</f>
        <v>1096.4960256371633</v>
      </c>
      <c r="Q104" s="4">
        <f>[1]节奏总纲!Q104</f>
        <v>939.14884595823037</v>
      </c>
      <c r="R104" s="4">
        <f>[1]节奏总纲!R104</f>
        <v>756.25330888195151</v>
      </c>
      <c r="S104" s="4">
        <f>[1]节奏总纲!S104</f>
        <v>541.99798547244984</v>
      </c>
      <c r="T104" s="4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f>[1]节奏总纲!AC104</f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f>[1]节奏总纲!AZ104</f>
        <v>101</v>
      </c>
      <c r="BA104" s="4">
        <f>[1]节奏总纲!BA104</f>
        <v>38.100143952724252</v>
      </c>
      <c r="BB104" s="4">
        <f>[1]节奏总纲!BB104</f>
        <v>39.588000611313952</v>
      </c>
      <c r="BC104" s="4">
        <f>[1]节奏总纲!BC104</f>
        <v>41.523260213553229</v>
      </c>
      <c r="BD104" s="4">
        <f>[1]节奏总纲!BD104</f>
        <v>44.261827008023573</v>
      </c>
      <c r="BE104" s="4">
        <f>[1]节奏总纲!BE104</f>
        <v>48.96334674646436</v>
      </c>
      <c r="BI104" s="74">
        <f>[1]节奏总纲!BI104</f>
        <v>101</v>
      </c>
      <c r="BJ104" s="74">
        <f>[1]节奏总纲!BJ104</f>
        <v>3.4999999999999978</v>
      </c>
      <c r="BK104" s="74">
        <f>[1]节奏总纲!BK104</f>
        <v>3.5699999999999976</v>
      </c>
      <c r="BL104" s="74">
        <f>[1]节奏总纲!BL104</f>
        <v>3.7099999999999977</v>
      </c>
      <c r="BM104" s="74">
        <f>[1]节奏总纲!BM104</f>
        <v>3.9899999999999971</v>
      </c>
      <c r="BN104" s="74">
        <f>[1]节奏总纲!BN104</f>
        <v>4.8999999999999968</v>
      </c>
      <c r="BO104" s="74"/>
      <c r="BP104" s="74"/>
      <c r="BQ104" s="74"/>
      <c r="BR104" s="74"/>
      <c r="BS104" s="74"/>
      <c r="BT104" s="74"/>
      <c r="BU104" s="74"/>
      <c r="BV104" s="74"/>
      <c r="BW104" s="74">
        <f>[1]节奏总纲!BW104</f>
        <v>101</v>
      </c>
      <c r="BX104" s="74">
        <f>[1]节奏总纲!BX104</f>
        <v>54.215939989486415</v>
      </c>
      <c r="BY104" s="74">
        <f>[1]节奏总纲!BY104</f>
        <v>54.676955934140729</v>
      </c>
      <c r="BZ104" s="74">
        <f>[1]节奏总纲!BZ104</f>
        <v>55.165685304832408</v>
      </c>
      <c r="CA104" s="74">
        <f>[1]节奏总纲!CA104</f>
        <v>55.651975168978964</v>
      </c>
      <c r="CB104" s="74">
        <f>[1]节奏总纲!CB104</f>
        <v>56.197353484420169</v>
      </c>
      <c r="CC104" s="74">
        <f>[1]节奏总纲!CC104</f>
        <v>56.197353484420169</v>
      </c>
    </row>
    <row r="105" spans="6:81" x14ac:dyDescent="0.15">
      <c r="F105" s="4">
        <f>[1]节奏总纲!F105</f>
        <v>103</v>
      </c>
      <c r="G105" s="4">
        <f>[1]节奏总纲!G105</f>
        <v>1259.6918792651943</v>
      </c>
      <c r="N105" s="50">
        <f>[1]节奏总纲!N105</f>
        <v>112</v>
      </c>
      <c r="O105" s="4">
        <f>[1]节奏总纲!O105</f>
        <v>102</v>
      </c>
      <c r="P105" s="4">
        <f>[1]节奏总纲!P105</f>
        <v>1175.2671155169628</v>
      </c>
      <c r="Q105" s="4">
        <f>[1]节奏总纲!Q105</f>
        <v>1004.2657502092447</v>
      </c>
      <c r="R105" s="4">
        <f>[1]节奏总纲!R105</f>
        <v>806.23324124463659</v>
      </c>
      <c r="S105" s="4">
        <f>[1]节奏总纲!S105</f>
        <v>577.99636741124232</v>
      </c>
      <c r="T105" s="4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f>[1]节奏总纲!AC105</f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f>[1]节奏总纲!AZ105</f>
        <v>102</v>
      </c>
      <c r="BA105" s="4">
        <f>[1]节奏总纲!BA105</f>
        <v>38.16277447896217</v>
      </c>
      <c r="BB105" s="4">
        <f>[1]节奏总纲!BB105</f>
        <v>39.655541494705105</v>
      </c>
      <c r="BC105" s="4">
        <f>[1]节奏总纲!BC105</f>
        <v>41.590303905372799</v>
      </c>
      <c r="BD105" s="4">
        <f>[1]节奏总纲!BD105</f>
        <v>44.326465623783335</v>
      </c>
      <c r="BE105" s="4">
        <f>[1]节奏总纲!BE105</f>
        <v>49.030333272797542</v>
      </c>
      <c r="BI105" s="74">
        <f>[1]节奏总纲!BI105</f>
        <v>102</v>
      </c>
      <c r="BJ105" s="74">
        <f>[1]节奏总纲!BJ105</f>
        <v>3.4999999999999978</v>
      </c>
      <c r="BK105" s="74">
        <f>[1]节奏总纲!BK105</f>
        <v>3.5699999999999976</v>
      </c>
      <c r="BL105" s="74">
        <f>[1]节奏总纲!BL105</f>
        <v>3.7099999999999977</v>
      </c>
      <c r="BM105" s="74">
        <f>[1]节奏总纲!BM105</f>
        <v>3.9899999999999971</v>
      </c>
      <c r="BN105" s="74">
        <f>[1]节奏总纲!BN105</f>
        <v>4.8999999999999968</v>
      </c>
      <c r="BO105" s="74"/>
      <c r="BP105" s="74"/>
      <c r="BQ105" s="74"/>
      <c r="BR105" s="74"/>
      <c r="BS105" s="74"/>
      <c r="BT105" s="74"/>
      <c r="BU105" s="74"/>
      <c r="BV105" s="74"/>
      <c r="BW105" s="74">
        <f>[1]节奏总纲!BW105</f>
        <v>102</v>
      </c>
      <c r="BX105" s="74">
        <f>[1]节奏总纲!BX105</f>
        <v>54.684879988131968</v>
      </c>
      <c r="BY105" s="74">
        <f>[1]节奏总纲!BY105</f>
        <v>55.13951273920545</v>
      </c>
      <c r="BZ105" s="74">
        <f>[1]节奏总纲!BZ105</f>
        <v>55.594010346323124</v>
      </c>
      <c r="CA105" s="74">
        <f>[1]节奏总纲!CA105</f>
        <v>56.09910300880712</v>
      </c>
      <c r="CB105" s="74">
        <f>[1]节奏总纲!CB105</f>
        <v>56.644593793802954</v>
      </c>
      <c r="CC105" s="74">
        <f>[1]节奏总纲!CC105</f>
        <v>56.644593793802954</v>
      </c>
    </row>
    <row r="106" spans="6:81" x14ac:dyDescent="0.15">
      <c r="F106" s="4">
        <f>[1]节奏总纲!F106</f>
        <v>104</v>
      </c>
      <c r="G106" s="4">
        <f>[1]节奏总纲!G106</f>
        <v>1350.1761006314437</v>
      </c>
      <c r="N106" s="50">
        <f>[1]节奏总纲!N106</f>
        <v>113</v>
      </c>
      <c r="O106" s="4">
        <f>[1]节奏总纲!O106</f>
        <v>103</v>
      </c>
      <c r="P106" s="4">
        <f>[1]节奏总纲!P106</f>
        <v>1259.6918792651943</v>
      </c>
      <c r="Q106" s="4">
        <f>[1]节奏总纲!Q106</f>
        <v>1073.383450321872</v>
      </c>
      <c r="R106" s="4">
        <f>[1]节奏总纲!R106</f>
        <v>861.50327622946634</v>
      </c>
      <c r="S106" s="4">
        <f>[1]节奏总纲!S106</f>
        <v>619.01258947091651</v>
      </c>
      <c r="T106" s="4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f>[1]节奏总纲!AC106</f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f>[1]节奏总纲!AZ106</f>
        <v>103</v>
      </c>
      <c r="BA106" s="4">
        <f>[1]节奏总纲!BA106</f>
        <v>38.225405005200088</v>
      </c>
      <c r="BB106" s="4">
        <f>[1]节奏总纲!BB106</f>
        <v>39.723082378096265</v>
      </c>
      <c r="BC106" s="4">
        <f>[1]节奏总纲!BC106</f>
        <v>41.657347597192377</v>
      </c>
      <c r="BD106" s="4">
        <f>[1]节奏总纲!BD106</f>
        <v>44.39110423954309</v>
      </c>
      <c r="BE106" s="4">
        <f>[1]节奏总纲!BE106</f>
        <v>49.09231260978715</v>
      </c>
      <c r="BI106" s="74">
        <f>[1]节奏总纲!BI106</f>
        <v>103</v>
      </c>
      <c r="BJ106" s="74">
        <f>[1]节奏总纲!BJ106</f>
        <v>3.4999999999999978</v>
      </c>
      <c r="BK106" s="74">
        <f>[1]节奏总纲!BK106</f>
        <v>3.5699999999999976</v>
      </c>
      <c r="BL106" s="74">
        <f>[1]节奏总纲!BL106</f>
        <v>3.7099999999999977</v>
      </c>
      <c r="BM106" s="74">
        <f>[1]节奏总纲!BM106</f>
        <v>3.9899999999999971</v>
      </c>
      <c r="BN106" s="74">
        <f>[1]节奏总纲!BN106</f>
        <v>4.8999999999999968</v>
      </c>
      <c r="BO106" s="74"/>
      <c r="BP106" s="74"/>
      <c r="BQ106" s="74"/>
      <c r="BR106" s="74"/>
      <c r="BS106" s="74"/>
      <c r="BT106" s="74"/>
      <c r="BU106" s="74"/>
      <c r="BV106" s="74"/>
      <c r="BW106" s="74">
        <f>[1]节奏总纲!BW106</f>
        <v>103</v>
      </c>
      <c r="BX106" s="74">
        <f>[1]节奏总纲!BX106</f>
        <v>55.161930117011792</v>
      </c>
      <c r="BY106" s="74">
        <f>[1]节奏总纲!BY106</f>
        <v>55.583763667062648</v>
      </c>
      <c r="BZ106" s="74">
        <f>[1]节奏总纲!BZ106</f>
        <v>56.058453389976094</v>
      </c>
      <c r="CA106" s="74">
        <f>[1]节奏总纲!CA106</f>
        <v>56.554541998878705</v>
      </c>
      <c r="CB106" s="74">
        <f>[1]节奏总纲!CB106</f>
        <v>57.120261567759663</v>
      </c>
      <c r="CC106" s="74">
        <f>[1]节奏总纲!CC106</f>
        <v>57.120261567759663</v>
      </c>
    </row>
    <row r="107" spans="6:81" x14ac:dyDescent="0.15">
      <c r="F107" s="4">
        <f>[1]节奏总纲!F107</f>
        <v>105</v>
      </c>
      <c r="G107" s="4">
        <f>[1]节奏总纲!G107</f>
        <v>1447.1546878700494</v>
      </c>
      <c r="N107" s="50">
        <f>[1]节奏总纲!N107</f>
        <v>114</v>
      </c>
      <c r="O107" s="4">
        <f>[1]节奏总纲!O107</f>
        <v>104</v>
      </c>
      <c r="P107" s="4">
        <f>[1]节奏总纲!P107</f>
        <v>1350.1761006314437</v>
      </c>
      <c r="Q107" s="4">
        <f>[1]节奏总纲!Q107</f>
        <v>1150.7550905681794</v>
      </c>
      <c r="R107" s="4">
        <f>[1]节奏总纲!R107</f>
        <v>925.41069937279144</v>
      </c>
      <c r="S107" s="4">
        <f>[1]节奏总纲!S107</f>
        <v>665.09674717104917</v>
      </c>
      <c r="T107" s="4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f>[1]节奏总纲!AC107</f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f>[1]节奏总纲!AZ107</f>
        <v>104</v>
      </c>
      <c r="BA107" s="4">
        <f>[1]节奏总纲!BA107</f>
        <v>38.288035531438013</v>
      </c>
      <c r="BB107" s="4">
        <f>[1]节奏总纲!BB107</f>
        <v>39.790623261487418</v>
      </c>
      <c r="BC107" s="4">
        <f>[1]节奏总纲!BC107</f>
        <v>41.724391289011947</v>
      </c>
      <c r="BD107" s="4">
        <f>[1]节奏总纲!BD107</f>
        <v>44.455742855302844</v>
      </c>
      <c r="BE107" s="4">
        <f>[1]节奏总纲!BE107</f>
        <v>49.154291946776759</v>
      </c>
      <c r="BI107" s="74">
        <f>[1]节奏总纲!BI107</f>
        <v>104</v>
      </c>
      <c r="BJ107" s="74">
        <f>[1]节奏总纲!BJ107</f>
        <v>3.4999999999999978</v>
      </c>
      <c r="BK107" s="74">
        <f>[1]节奏总纲!BK107</f>
        <v>3.5699999999999976</v>
      </c>
      <c r="BL107" s="74">
        <f>[1]节奏总纲!BL107</f>
        <v>3.7099999999999977</v>
      </c>
      <c r="BM107" s="74">
        <f>[1]节奏总纲!BM107</f>
        <v>3.9899999999999971</v>
      </c>
      <c r="BN107" s="74">
        <f>[1]节奏总纲!BN107</f>
        <v>4.8999999999999968</v>
      </c>
      <c r="BO107" s="74"/>
      <c r="BP107" s="74"/>
      <c r="BQ107" s="74"/>
      <c r="BR107" s="74"/>
      <c r="BS107" s="74"/>
      <c r="BT107" s="74"/>
      <c r="BU107" s="74"/>
      <c r="BV107" s="74"/>
      <c r="BW107" s="74">
        <f>[1]节奏总纲!BW107</f>
        <v>104</v>
      </c>
      <c r="BX107" s="74">
        <f>[1]节奏总纲!BX107</f>
        <v>55.627196747503149</v>
      </c>
      <c r="BY107" s="74">
        <f>[1]节奏总纲!BY107</f>
        <v>56.070023936067749</v>
      </c>
      <c r="BZ107" s="74">
        <f>[1]节奏总纲!BZ107</f>
        <v>56.53153340227184</v>
      </c>
      <c r="CA107" s="74">
        <f>[1]节奏总纲!CA107</f>
        <v>57.057233285169012</v>
      </c>
      <c r="CB107" s="74">
        <f>[1]节奏总纲!CB107</f>
        <v>57.593396752318156</v>
      </c>
      <c r="CC107" s="74">
        <f>[1]节奏总纲!CC107</f>
        <v>57.593396752318156</v>
      </c>
    </row>
    <row r="108" spans="6:81" x14ac:dyDescent="0.15">
      <c r="F108" s="4">
        <f>[1]节奏总纲!F108</f>
        <v>106</v>
      </c>
      <c r="G108" s="4">
        <f>[1]节奏总纲!G108</f>
        <v>1551.0937641066464</v>
      </c>
      <c r="N108" s="50">
        <f>[1]节奏总纲!N108</f>
        <v>115</v>
      </c>
      <c r="O108" s="4">
        <f>[1]节奏总纲!O108</f>
        <v>105</v>
      </c>
      <c r="P108" s="4">
        <f>[1]节奏总纲!P108</f>
        <v>1447.1546878700494</v>
      </c>
      <c r="Q108" s="4">
        <f>[1]节奏总纲!Q108</f>
        <v>1234.8570951595132</v>
      </c>
      <c r="R108" s="4">
        <f>[1]节奏总纲!R108</f>
        <v>993.18226228521496</v>
      </c>
      <c r="S108" s="4">
        <f>[1]节奏总纲!S108</f>
        <v>713.59197658872131</v>
      </c>
      <c r="T108" s="4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f>[1]节奏总纲!AC108</f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f>[1]节奏总纲!AZ108</f>
        <v>105</v>
      </c>
      <c r="BA108" s="4">
        <f>[1]节奏总纲!BA108</f>
        <v>38.35066605767593</v>
      </c>
      <c r="BB108" s="4">
        <f>[1]节奏总纲!BB108</f>
        <v>39.858164144878572</v>
      </c>
      <c r="BC108" s="4">
        <f>[1]节奏总纲!BC108</f>
        <v>41.791434980831518</v>
      </c>
      <c r="BD108" s="4">
        <f>[1]节奏总纲!BD108</f>
        <v>44.520381471062606</v>
      </c>
      <c r="BE108" s="4">
        <f>[1]节奏总纲!BE108</f>
        <v>49.216271283766375</v>
      </c>
      <c r="BI108" s="74">
        <f>[1]节奏总纲!BI108</f>
        <v>105</v>
      </c>
      <c r="BJ108" s="74">
        <f>[1]节奏总纲!BJ108</f>
        <v>3.4999999999999978</v>
      </c>
      <c r="BK108" s="74">
        <f>[1]节奏总纲!BK108</f>
        <v>3.5699999999999976</v>
      </c>
      <c r="BL108" s="74">
        <f>[1]节奏总纲!BL108</f>
        <v>3.7099999999999977</v>
      </c>
      <c r="BM108" s="74">
        <f>[1]节奏总纲!BM108</f>
        <v>3.9899999999999971</v>
      </c>
      <c r="BN108" s="74">
        <f>[1]节奏总纲!BN108</f>
        <v>4.8999999999999968</v>
      </c>
      <c r="BO108" s="74"/>
      <c r="BP108" s="74"/>
      <c r="BQ108" s="74"/>
      <c r="BR108" s="74"/>
      <c r="BS108" s="74"/>
      <c r="BT108" s="74"/>
      <c r="BU108" s="74"/>
      <c r="BV108" s="74"/>
      <c r="BW108" s="74">
        <f>[1]节奏总纲!BW108</f>
        <v>105</v>
      </c>
      <c r="BX108" s="74">
        <f>[1]节奏总纲!BX108</f>
        <v>56.108713498260869</v>
      </c>
      <c r="BY108" s="74">
        <f>[1]节奏总纲!BY108</f>
        <v>56.536952996213088</v>
      </c>
      <c r="BZ108" s="74">
        <f>[1]节奏总纲!BZ108</f>
        <v>57.028694970852825</v>
      </c>
      <c r="CA108" s="74">
        <f>[1]节奏总纲!CA108</f>
        <v>57.522396624597881</v>
      </c>
      <c r="CB108" s="74">
        <f>[1]节奏总纲!CB108</f>
        <v>58.077862645108048</v>
      </c>
      <c r="CC108" s="74">
        <f>[1]节奏总纲!CC108</f>
        <v>58.077862645108048</v>
      </c>
    </row>
    <row r="109" spans="6:81" x14ac:dyDescent="0.15">
      <c r="F109" s="4">
        <f>[1]节奏总纲!F109</f>
        <v>107</v>
      </c>
      <c r="G109" s="4">
        <f>[1]节奏总纲!G109</f>
        <v>1662.4929077375689</v>
      </c>
      <c r="N109" s="50">
        <f>[1]节奏总纲!N109</f>
        <v>116</v>
      </c>
      <c r="O109" s="4">
        <f>[1]节奏总纲!O109</f>
        <v>106</v>
      </c>
      <c r="P109" s="4">
        <f>[1]节奏总纲!P109</f>
        <v>1551.0937641066464</v>
      </c>
      <c r="Q109" s="4">
        <f>[1]节奏总纲!Q109</f>
        <v>1324.4789651706653</v>
      </c>
      <c r="R109" s="4">
        <f>[1]节奏总纲!R109</f>
        <v>1064.6707596828021</v>
      </c>
      <c r="S109" s="4">
        <f>[1]节奏总纲!S109</f>
        <v>764.3790069517554</v>
      </c>
      <c r="T109" s="4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f>[1]节奏总纲!AC109</f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f>[1]节奏总纲!AZ109</f>
        <v>106</v>
      </c>
      <c r="BA109" s="4">
        <f>[1]节奏总纲!BA109</f>
        <v>38.413296583913848</v>
      </c>
      <c r="BB109" s="4">
        <f>[1]节奏总纲!BB109</f>
        <v>39.925705028269732</v>
      </c>
      <c r="BC109" s="4">
        <f>[1]节奏总纲!BC109</f>
        <v>41.858478672651096</v>
      </c>
      <c r="BD109" s="4">
        <f>[1]节奏总纲!BD109</f>
        <v>44.585020086822361</v>
      </c>
      <c r="BE109" s="4">
        <f>[1]节奏总纲!BE109</f>
        <v>49.278250620755983</v>
      </c>
      <c r="BI109" s="74">
        <f>[1]节奏总纲!BI109</f>
        <v>106</v>
      </c>
      <c r="BJ109" s="74">
        <f>[1]节奏总纲!BJ109</f>
        <v>3.4999999999999978</v>
      </c>
      <c r="BK109" s="74">
        <f>[1]节奏总纲!BK109</f>
        <v>3.5699999999999976</v>
      </c>
      <c r="BL109" s="74">
        <f>[1]节奏总纲!BL109</f>
        <v>3.7099999999999977</v>
      </c>
      <c r="BM109" s="74">
        <f>[1]节奏总纲!BM109</f>
        <v>3.9899999999999971</v>
      </c>
      <c r="BN109" s="74">
        <f>[1]节奏总纲!BN109</f>
        <v>4.8999999999999968</v>
      </c>
      <c r="BO109" s="74"/>
      <c r="BP109" s="74"/>
      <c r="BQ109" s="74"/>
      <c r="BR109" s="74"/>
      <c r="BS109" s="74"/>
      <c r="BT109" s="74"/>
      <c r="BU109" s="74"/>
      <c r="BV109" s="74"/>
      <c r="BW109" s="74">
        <f>[1]节奏总纲!BW109</f>
        <v>106</v>
      </c>
      <c r="BX109" s="74">
        <f>[1]节奏总纲!BX109</f>
        <v>56.570364089495698</v>
      </c>
      <c r="BY109" s="74">
        <f>[1]节奏总纲!BY109</f>
        <v>57.029826574193862</v>
      </c>
      <c r="BZ109" s="74">
        <f>[1]节奏总纲!BZ109</f>
        <v>57.485837231091942</v>
      </c>
      <c r="CA109" s="74">
        <f>[1]节奏总纲!CA109</f>
        <v>58.008243903139835</v>
      </c>
      <c r="CB109" s="74">
        <f>[1]节奏总纲!CB109</f>
        <v>58.512079069363097</v>
      </c>
      <c r="CC109" s="74">
        <f>[1]节奏总纲!CC109</f>
        <v>58.512079069363097</v>
      </c>
    </row>
    <row r="110" spans="6:81" x14ac:dyDescent="0.15">
      <c r="F110" s="4">
        <f>[1]节奏总纲!F110</f>
        <v>108</v>
      </c>
      <c r="G110" s="4">
        <f>[1]节奏总纲!G110</f>
        <v>1781.8875536304624</v>
      </c>
      <c r="N110" s="50">
        <f>[1]节奏总纲!N110</f>
        <v>117</v>
      </c>
      <c r="O110" s="4">
        <f>[1]节奏总纲!O110</f>
        <v>107</v>
      </c>
      <c r="P110" s="4">
        <f>[1]节奏总纲!P110</f>
        <v>1662.4929077375689</v>
      </c>
      <c r="Q110" s="4">
        <f>[1]节奏总纲!Q110</f>
        <v>1418.9376967540152</v>
      </c>
      <c r="R110" s="4">
        <f>[1]节奏总纲!R110</f>
        <v>1141.6338797433884</v>
      </c>
      <c r="S110" s="4">
        <f>[1]节奏总纲!S110</f>
        <v>816.11776840837263</v>
      </c>
      <c r="T110" s="4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f>[1]节奏总纲!AC110</f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f>[1]节奏总纲!AZ110</f>
        <v>107</v>
      </c>
      <c r="BA110" s="4">
        <f>[1]节奏总纲!BA110</f>
        <v>38.475927110151773</v>
      </c>
      <c r="BB110" s="4">
        <f>[1]节奏总纲!BB110</f>
        <v>39.993245911660885</v>
      </c>
      <c r="BC110" s="4">
        <f>[1]节奏总纲!BC110</f>
        <v>41.925522364470666</v>
      </c>
      <c r="BD110" s="4">
        <f>[1]节奏总纲!BD110</f>
        <v>44.649658702582116</v>
      </c>
      <c r="BE110" s="4">
        <f>[1]节奏总纲!BE110</f>
        <v>49.340229957745592</v>
      </c>
      <c r="BI110" s="74">
        <f>[1]节奏总纲!BI110</f>
        <v>107</v>
      </c>
      <c r="BJ110" s="74">
        <f>[1]节奏总纲!BJ110</f>
        <v>3.4999999999999978</v>
      </c>
      <c r="BK110" s="74">
        <f>[1]节奏总纲!BK110</f>
        <v>3.5699999999999976</v>
      </c>
      <c r="BL110" s="74">
        <f>[1]节奏总纲!BL110</f>
        <v>3.7099999999999977</v>
      </c>
      <c r="BM110" s="74">
        <f>[1]节奏总纲!BM110</f>
        <v>3.9899999999999971</v>
      </c>
      <c r="BN110" s="74">
        <f>[1]节奏总纲!BN110</f>
        <v>4.8999999999999968</v>
      </c>
      <c r="BO110" s="74"/>
      <c r="BP110" s="74"/>
      <c r="BQ110" s="74"/>
      <c r="BR110" s="74"/>
      <c r="BS110" s="74"/>
      <c r="BT110" s="74"/>
      <c r="BU110" s="74"/>
      <c r="BV110" s="74"/>
      <c r="BW110" s="74">
        <f>[1]节奏总纲!BW110</f>
        <v>107</v>
      </c>
      <c r="BX110" s="74">
        <f>[1]节奏总纲!BX110</f>
        <v>57.056278080669266</v>
      </c>
      <c r="BY110" s="74">
        <f>[1]节奏总纲!BY110</f>
        <v>57.482847825450328</v>
      </c>
      <c r="BZ110" s="74">
        <f>[1]节奏总纲!BZ110</f>
        <v>57.977987660046658</v>
      </c>
      <c r="CA110" s="74">
        <f>[1]节奏总纲!CA110</f>
        <v>58.436970459928517</v>
      </c>
      <c r="CB110" s="74">
        <f>[1]节奏总纲!CB110</f>
        <v>58.970102918190015</v>
      </c>
      <c r="CC110" s="74">
        <f>[1]节奏总纲!CC110</f>
        <v>58.970102918190015</v>
      </c>
    </row>
    <row r="111" spans="6:81" x14ac:dyDescent="0.15">
      <c r="F111" s="4">
        <f>[1]节奏总纲!F111</f>
        <v>109</v>
      </c>
      <c r="G111" s="4">
        <f>[1]节奏总纲!G111</f>
        <v>1909.8515666673818</v>
      </c>
      <c r="N111" s="50">
        <f>[1]节奏总纲!N111</f>
        <v>118</v>
      </c>
      <c r="O111" s="4">
        <f>[1]节奏总纲!O111</f>
        <v>108</v>
      </c>
      <c r="P111" s="4">
        <f>[1]节奏总纲!P111</f>
        <v>1781.8875536304624</v>
      </c>
      <c r="Q111" s="4">
        <f>[1]节奏总纲!Q111</f>
        <v>1520.8410270235997</v>
      </c>
      <c r="R111" s="4">
        <f>[1]节奏总纲!R111</f>
        <v>1218.0983316617842</v>
      </c>
      <c r="S111" s="4">
        <f>[1]节奏总纲!S111</f>
        <v>871.69939123602228</v>
      </c>
      <c r="T111" s="4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f>[1]节奏总纲!AC111</f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f>[1]节奏总纲!AZ111</f>
        <v>108</v>
      </c>
      <c r="BA111" s="4">
        <f>[1]节奏总纲!BA111</f>
        <v>38.53855763638969</v>
      </c>
      <c r="BB111" s="4">
        <f>[1]节奏总纲!BB111</f>
        <v>40.052446592012309</v>
      </c>
      <c r="BC111" s="4">
        <f>[1]节奏总纲!BC111</f>
        <v>41.992566056290244</v>
      </c>
      <c r="BD111" s="4">
        <f>[1]节奏总纲!BD111</f>
        <v>44.71429731834187</v>
      </c>
      <c r="BE111" s="4">
        <f>[1]节奏总纲!BE111</f>
        <v>49.402209294735208</v>
      </c>
      <c r="BI111" s="74">
        <f>[1]节奏总纲!BI111</f>
        <v>108</v>
      </c>
      <c r="BJ111" s="74">
        <f>[1]节奏总纲!BJ111</f>
        <v>3.4999999999999978</v>
      </c>
      <c r="BK111" s="74">
        <f>[1]节奏总纲!BK111</f>
        <v>3.5699999999999976</v>
      </c>
      <c r="BL111" s="74">
        <f>[1]节奏总纲!BL111</f>
        <v>3.7099999999999977</v>
      </c>
      <c r="BM111" s="74">
        <f>[1]节奏总纲!BM111</f>
        <v>3.9899999999999971</v>
      </c>
      <c r="BN111" s="74">
        <f>[1]节奏总纲!BN111</f>
        <v>4.8999999999999968</v>
      </c>
      <c r="BO111" s="74"/>
      <c r="BP111" s="74"/>
      <c r="BQ111" s="74"/>
      <c r="BR111" s="74"/>
      <c r="BS111" s="74"/>
      <c r="BT111" s="74"/>
      <c r="BU111" s="74"/>
      <c r="BV111" s="74"/>
      <c r="BW111" s="74">
        <f>[1]节奏总纲!BW111</f>
        <v>108</v>
      </c>
      <c r="BX111" s="74">
        <f>[1]节奏总纲!BX111</f>
        <v>57.514368600997656</v>
      </c>
      <c r="BY111" s="74">
        <f>[1]节奏总纲!BY111</f>
        <v>57.971573149325678</v>
      </c>
      <c r="BZ111" s="74">
        <f>[1]节奏总纲!BZ111</f>
        <v>58.403392312856369</v>
      </c>
      <c r="CA111" s="74">
        <f>[1]节奏总纲!CA111</f>
        <v>58.897540390571457</v>
      </c>
      <c r="CB111" s="74">
        <f>[1]节奏总纲!CB111</f>
        <v>59.41663449571719</v>
      </c>
      <c r="CC111" s="74">
        <f>[1]节奏总纲!CC111</f>
        <v>59.41663449571719</v>
      </c>
    </row>
    <row r="112" spans="6:81" x14ac:dyDescent="0.15">
      <c r="F112" s="4">
        <f>[1]节奏总纲!F112</f>
        <v>110</v>
      </c>
      <c r="G112" s="4">
        <f>[1]节奏总纲!G112</f>
        <v>2047</v>
      </c>
      <c r="N112" s="50">
        <f>[1]节奏总纲!N112</f>
        <v>119</v>
      </c>
      <c r="O112" s="4">
        <f>[1]节奏总纲!O112</f>
        <v>109</v>
      </c>
      <c r="P112" s="4">
        <f>[1]节奏总纲!P112</f>
        <v>1909.8515666673818</v>
      </c>
      <c r="Q112" s="4">
        <f>[1]节奏总纲!Q112</f>
        <v>1624.7107277639418</v>
      </c>
      <c r="R112" s="4">
        <f>[1]节奏总纲!R112</f>
        <v>1301.5638426838207</v>
      </c>
      <c r="S112" s="4">
        <f>[1]节奏总纲!S112</f>
        <v>931.81657937701561</v>
      </c>
      <c r="T112" s="4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f>[1]节奏总纲!AC112</f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f>[1]节奏总纲!AZ112</f>
        <v>109</v>
      </c>
      <c r="BA112" s="4">
        <f>[1]节奏总纲!BA112</f>
        <v>38.601188162627608</v>
      </c>
      <c r="BB112" s="4">
        <f>[1]节奏总纲!BB112</f>
        <v>40.110720583137102</v>
      </c>
      <c r="BC112" s="4">
        <f>[1]节奏总纲!BC112</f>
        <v>42.051439554347354</v>
      </c>
      <c r="BD112" s="4">
        <f>[1]节奏总纲!BD112</f>
        <v>44.778935934101632</v>
      </c>
      <c r="BE112" s="4">
        <f>[1]节奏总纲!BE112</f>
        <v>49.464188631724817</v>
      </c>
      <c r="BI112" s="74">
        <f>[1]节奏总纲!BI112</f>
        <v>109</v>
      </c>
      <c r="BJ112" s="74">
        <f>[1]节奏总纲!BJ112</f>
        <v>3.4999999999999978</v>
      </c>
      <c r="BK112" s="74">
        <f>[1]节奏总纲!BK112</f>
        <v>3.5699999999999976</v>
      </c>
      <c r="BL112" s="74">
        <f>[1]节奏总纲!BL112</f>
        <v>3.7099999999999977</v>
      </c>
      <c r="BM112" s="74">
        <f>[1]节奏总纲!BM112</f>
        <v>3.9899999999999971</v>
      </c>
      <c r="BN112" s="74">
        <f>[1]节奏总纲!BN112</f>
        <v>4.8999999999999968</v>
      </c>
      <c r="BO112" s="74"/>
      <c r="BP112" s="74"/>
      <c r="BQ112" s="74"/>
      <c r="BR112" s="74"/>
      <c r="BS112" s="74"/>
      <c r="BT112" s="74"/>
      <c r="BU112" s="74"/>
      <c r="BV112" s="74"/>
      <c r="BW112" s="74">
        <f>[1]节奏总纲!BW112</f>
        <v>109</v>
      </c>
      <c r="BX112" s="74">
        <f>[1]节奏总纲!BX112</f>
        <v>58.004611321594084</v>
      </c>
      <c r="BY112" s="74">
        <f>[1]节奏总纲!BY112</f>
        <v>58.405793781313918</v>
      </c>
      <c r="BZ112" s="74">
        <f>[1]节奏总纲!BZ112</f>
        <v>58.86447642263726</v>
      </c>
      <c r="CA112" s="74">
        <f>[1]节奏总纲!CA112</f>
        <v>59.34185552053183</v>
      </c>
      <c r="CB112" s="74">
        <f>[1]节奏总纲!CB112</f>
        <v>59.895591141330719</v>
      </c>
      <c r="CC112" s="74">
        <f>[1]节奏总纲!CC112</f>
        <v>59.895591141330719</v>
      </c>
    </row>
    <row r="113" spans="6:81" x14ac:dyDescent="0.15">
      <c r="F113" s="4">
        <f>[1]节奏总纲!F113</f>
        <v>111</v>
      </c>
      <c r="G113" s="4">
        <f>[1]节奏总纲!G113</f>
        <v>2193.9920512743265</v>
      </c>
      <c r="N113" s="50">
        <f>[1]节奏总纲!N113</f>
        <v>120</v>
      </c>
      <c r="O113" s="4">
        <f>[1]节奏总纲!O113</f>
        <v>110</v>
      </c>
      <c r="P113" s="4">
        <f>[1]节奏总纲!P113</f>
        <v>2047</v>
      </c>
      <c r="Q113" s="4">
        <f>[1]节奏总纲!Q113</f>
        <v>1741.3829000000001</v>
      </c>
      <c r="R113" s="4">
        <f>[1]节奏总纲!R113</f>
        <v>1397.2821999999999</v>
      </c>
      <c r="S113" s="4">
        <f>[1]节奏总纲!S113</f>
        <v>1001.3924000000001</v>
      </c>
      <c r="T113" s="4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f>[1]节奏总纲!AC113</f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f>[1]节奏总纲!AZ113</f>
        <v>110</v>
      </c>
      <c r="BA113" s="4">
        <f>[1]节奏总纲!BA113</f>
        <v>38.663818688865533</v>
      </c>
      <c r="BB113" s="4">
        <f>[1]节奏总纲!BB113</f>
        <v>40.168994574261895</v>
      </c>
      <c r="BC113" s="4">
        <f>[1]节奏总纲!BC113</f>
        <v>42.109294145892463</v>
      </c>
      <c r="BD113" s="4">
        <f>[1]节奏总纲!BD113</f>
        <v>44.843574549861387</v>
      </c>
      <c r="BE113" s="4">
        <f>[1]节奏总纲!BE113</f>
        <v>49.526167968714425</v>
      </c>
      <c r="BI113" s="74">
        <f>[1]节奏总纲!BI113</f>
        <v>110</v>
      </c>
      <c r="BJ113" s="74">
        <f>[1]节奏总纲!BJ113</f>
        <v>3.4999999999999978</v>
      </c>
      <c r="BK113" s="74">
        <f>[1]节奏总纲!BK113</f>
        <v>3.5699999999999976</v>
      </c>
      <c r="BL113" s="74">
        <f>[1]节奏总纲!BL113</f>
        <v>3.7099999999999977</v>
      </c>
      <c r="BM113" s="74">
        <f>[1]节奏总纲!BM113</f>
        <v>3.9899999999999971</v>
      </c>
      <c r="BN113" s="74">
        <f>[1]节奏总纲!BN113</f>
        <v>4.8999999999999968</v>
      </c>
      <c r="BO113" s="74"/>
      <c r="BP113" s="74"/>
      <c r="BQ113" s="74"/>
      <c r="BR113" s="74"/>
      <c r="BS113" s="74"/>
      <c r="BT113" s="74"/>
      <c r="BU113" s="74"/>
      <c r="BV113" s="74"/>
      <c r="BW113" s="74">
        <f>[1]节奏总纲!BW113</f>
        <v>110</v>
      </c>
      <c r="BX113" s="74">
        <f>[1]节奏总纲!BX113</f>
        <v>58.459196425189646</v>
      </c>
      <c r="BY113" s="74">
        <f>[1]节奏总纲!BY113</f>
        <v>58.889188215849849</v>
      </c>
      <c r="BZ113" s="74">
        <f>[1]节奏总纲!BZ113</f>
        <v>59.339742830719779</v>
      </c>
      <c r="CA113" s="74">
        <f>[1]节奏总纲!CA113</f>
        <v>59.839943614471814</v>
      </c>
      <c r="CB113" s="74">
        <f>[1]节奏总纲!CB113</f>
        <v>60.373224714907948</v>
      </c>
      <c r="CC113" s="74">
        <f>[1]节奏总纲!CC113</f>
        <v>60.373224714907948</v>
      </c>
    </row>
    <row r="114" spans="6:81" x14ac:dyDescent="0.15">
      <c r="F114" s="4">
        <f>[1]节奏总纲!F114</f>
        <v>112</v>
      </c>
      <c r="G114" s="4">
        <f>[1]节奏总纲!G114</f>
        <v>2351.5342310339256</v>
      </c>
      <c r="N114" s="74">
        <f>[1]节奏总纲!N114</f>
        <v>121</v>
      </c>
      <c r="O114" s="74">
        <f>[1]节奏总纲!O114</f>
        <v>111</v>
      </c>
      <c r="P114" s="74">
        <f>[1]节奏总纲!P114</f>
        <v>2193.9920512743265</v>
      </c>
      <c r="Q114" s="74">
        <f>[1]节奏总纲!Q114</f>
        <v>1869.0618284805987</v>
      </c>
      <c r="R114" s="74">
        <f>[1]节奏总纲!R114</f>
        <v>1500.4711638665117</v>
      </c>
      <c r="S114" s="74">
        <f>[1]节奏总纲!S114</f>
        <v>1076.5918995603122</v>
      </c>
      <c r="T114" s="74">
        <f>[1]节奏总纲!T114</f>
        <v>583.16308722871599</v>
      </c>
      <c r="U114" s="74"/>
      <c r="V114" s="74">
        <f>[1]节奏总纲!V114</f>
        <v>111</v>
      </c>
      <c r="W114" s="74">
        <f>[1]节奏总纲!W114</f>
        <v>146.99205127432651</v>
      </c>
      <c r="X114" s="74">
        <f>[1]节奏总纲!X114</f>
        <v>127.67892848059864</v>
      </c>
      <c r="Y114" s="74">
        <f>[1]节奏总纲!Y114</f>
        <v>103.18896386651181</v>
      </c>
      <c r="Z114" s="74">
        <f>[1]节奏总纲!Z114</f>
        <v>75.19949956031212</v>
      </c>
      <c r="AA114" s="74">
        <f>[1]节奏总纲!AA114</f>
        <v>41.117487228716072</v>
      </c>
      <c r="AC114" s="4">
        <f>[1]节奏总纲!AC114</f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f>[1]节奏总纲!AZ114</f>
        <v>111</v>
      </c>
      <c r="BA114" s="4">
        <f>[1]节奏总纲!BA114</f>
        <v>38.72644921510345</v>
      </c>
      <c r="BB114" s="4">
        <f>[1]节奏总纲!BB114</f>
        <v>40.227268565386687</v>
      </c>
      <c r="BC114" s="4">
        <f>[1]节奏总纲!BC114</f>
        <v>42.167148737437572</v>
      </c>
      <c r="BD114" s="4">
        <f>[1]节奏总纲!BD114</f>
        <v>44.908213165621142</v>
      </c>
      <c r="BE114" s="4">
        <f>[1]节奏总纲!BE114</f>
        <v>49.588147305704041</v>
      </c>
      <c r="BI114" s="74">
        <f>[1]节奏总纲!BI114</f>
        <v>111</v>
      </c>
      <c r="BJ114" s="74">
        <f>[1]节奏总纲!BJ114</f>
        <v>3.4999999999999978</v>
      </c>
      <c r="BK114" s="74">
        <f>[1]节奏总纲!BK114</f>
        <v>3.5699999999999976</v>
      </c>
      <c r="BL114" s="74">
        <f>[1]节奏总纲!BL114</f>
        <v>3.7099999999999977</v>
      </c>
      <c r="BM114" s="74">
        <f>[1]节奏总纲!BM114</f>
        <v>3.9899999999999971</v>
      </c>
      <c r="BN114" s="74">
        <f>[1]节奏总纲!BN114</f>
        <v>4.8999999999999968</v>
      </c>
      <c r="BO114" s="74"/>
      <c r="BP114" s="74"/>
      <c r="BQ114" s="74"/>
      <c r="BR114" s="74"/>
      <c r="BS114" s="74"/>
      <c r="BT114" s="74"/>
      <c r="BU114" s="74"/>
      <c r="BV114" s="74"/>
      <c r="BW114" s="74">
        <f>[1]节奏总纲!BW114</f>
        <v>111</v>
      </c>
      <c r="BX114" s="74">
        <f>[1]节奏总纲!BX114</f>
        <v>58.946408675687671</v>
      </c>
      <c r="BY114" s="74">
        <f>[1]节奏总纲!BY114</f>
        <v>59.361287240722291</v>
      </c>
      <c r="BZ114" s="74">
        <f>[1]节奏总纲!BZ114</f>
        <v>59.832224211633438</v>
      </c>
      <c r="CA114" s="74">
        <f>[1]节奏总纲!CA114</f>
        <v>60.326839752914957</v>
      </c>
      <c r="CB114" s="74">
        <f>[1]节奏总纲!CB114</f>
        <v>60.881867647056097</v>
      </c>
      <c r="CC114" s="74">
        <f>[1]节奏总纲!CC114</f>
        <v>60.881867647056097</v>
      </c>
    </row>
    <row r="115" spans="6:81" x14ac:dyDescent="0.15">
      <c r="F115" s="4">
        <f>[1]节奏总纲!F115</f>
        <v>113</v>
      </c>
      <c r="G115" s="4">
        <f>[1]节奏总纲!G115</f>
        <v>2520.3837585303886</v>
      </c>
      <c r="N115" s="74">
        <f>[1]节奏总纲!N115</f>
        <v>122</v>
      </c>
      <c r="O115" s="74">
        <f>[1]节奏总纲!O115</f>
        <v>112</v>
      </c>
      <c r="P115" s="74">
        <f>[1]节奏总纲!P115</f>
        <v>2351.5342310339256</v>
      </c>
      <c r="Q115" s="74">
        <f>[1]节奏总纲!Q115</f>
        <v>2004.6829319564217</v>
      </c>
      <c r="R115" s="74">
        <f>[1]节奏总纲!R115</f>
        <v>1609.3900277196187</v>
      </c>
      <c r="S115" s="74">
        <f>[1]节奏总纲!S115</f>
        <v>1155.3087677069677</v>
      </c>
      <c r="T115" s="74">
        <f>[1]节奏总纲!T115</f>
        <v>623.15657122399034</v>
      </c>
      <c r="U115" s="74"/>
      <c r="V115" s="74">
        <f>[1]节奏总纲!V115</f>
        <v>112</v>
      </c>
      <c r="W115" s="74">
        <f>[1]节奏总纲!W115</f>
        <v>157.54217975959909</v>
      </c>
      <c r="X115" s="74">
        <f>[1]节奏总纲!X115</f>
        <v>135.62110347582302</v>
      </c>
      <c r="Y115" s="74">
        <f>[1]节奏总纲!Y115</f>
        <v>108.91886385310704</v>
      </c>
      <c r="Z115" s="74">
        <f>[1]节奏总纲!Z115</f>
        <v>78.716868146655543</v>
      </c>
      <c r="AA115" s="74">
        <f>[1]节奏总纲!AA115</f>
        <v>39.993483995274346</v>
      </c>
      <c r="AC115" s="4">
        <f>[1]节奏总纲!AC115</f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f>[1]节奏总纲!AZ115</f>
        <v>112</v>
      </c>
      <c r="BA115" s="4">
        <f>[1]节奏总纲!BA115</f>
        <v>38.789079741341368</v>
      </c>
      <c r="BB115" s="4">
        <f>[1]节奏总纲!BB115</f>
        <v>40.28554255651148</v>
      </c>
      <c r="BC115" s="4">
        <f>[1]节奏总纲!BC115</f>
        <v>42.225003328982673</v>
      </c>
      <c r="BD115" s="4">
        <f>[1]节奏总纲!BD115</f>
        <v>44.972851781380903</v>
      </c>
      <c r="BE115" s="4">
        <f>[1]节奏总纲!BE115</f>
        <v>49.65012664269365</v>
      </c>
      <c r="BI115" s="74">
        <f>[1]节奏总纲!BI115</f>
        <v>112</v>
      </c>
      <c r="BJ115" s="74">
        <f>[1]节奏总纲!BJ115</f>
        <v>3.4999999999999978</v>
      </c>
      <c r="BK115" s="74">
        <f>[1]节奏总纲!BK115</f>
        <v>3.5699999999999976</v>
      </c>
      <c r="BL115" s="74">
        <f>[1]节奏总纲!BL115</f>
        <v>3.7099999999999977</v>
      </c>
      <c r="BM115" s="74">
        <f>[1]节奏总纲!BM115</f>
        <v>3.9899999999999971</v>
      </c>
      <c r="BN115" s="74">
        <f>[1]节奏总纲!BN115</f>
        <v>4.8999999999999968</v>
      </c>
      <c r="BO115" s="74"/>
      <c r="BP115" s="74"/>
      <c r="BQ115" s="74"/>
      <c r="BR115" s="74"/>
      <c r="BS115" s="74"/>
      <c r="BT115" s="74"/>
      <c r="BU115" s="74"/>
      <c r="BV115" s="74"/>
      <c r="BW115" s="74">
        <f>[1]节奏总纲!BW115</f>
        <v>112</v>
      </c>
      <c r="BX115" s="74">
        <f>[1]节奏总纲!BX115</f>
        <v>59.404833394530556</v>
      </c>
      <c r="BY115" s="74">
        <f>[1]节奏总纲!BY115</f>
        <v>59.846737906797472</v>
      </c>
      <c r="BZ115" s="74">
        <f>[1]节奏总纲!BZ115</f>
        <v>60.304169527518312</v>
      </c>
      <c r="CA115" s="74">
        <f>[1]节奏总纲!CA115</f>
        <v>60.81372235837329</v>
      </c>
      <c r="CB115" s="74">
        <f>[1]节奏总纲!CB115</f>
        <v>61.325402417517608</v>
      </c>
      <c r="CC115" s="74">
        <f>[1]节奏总纲!CC115</f>
        <v>61.325402417517608</v>
      </c>
    </row>
    <row r="116" spans="6:81" x14ac:dyDescent="0.15">
      <c r="F116" s="4">
        <f>[1]节奏总纲!F116</f>
        <v>114</v>
      </c>
      <c r="G116" s="4">
        <f>[1]节奏总纲!G116</f>
        <v>2701.3522012628878</v>
      </c>
      <c r="N116" s="74">
        <f>[1]节奏总纲!N116</f>
        <v>123</v>
      </c>
      <c r="O116" s="74">
        <f>[1]节奏总纲!O116</f>
        <v>113</v>
      </c>
      <c r="P116" s="74">
        <f>[1]节奏总纲!P116</f>
        <v>2520.3837585303886</v>
      </c>
      <c r="Q116" s="74">
        <f>[1]节奏总纲!Q116</f>
        <v>2149.6353076505684</v>
      </c>
      <c r="R116" s="74">
        <f>[1]节奏总纲!R116</f>
        <v>1726.7149129691693</v>
      </c>
      <c r="S116" s="74">
        <f>[1]节奏总纲!S116</f>
        <v>1235.7441568074496</v>
      </c>
      <c r="T116" s="74">
        <f>[1]节奏总纲!T116</f>
        <v>665.63335062787564</v>
      </c>
      <c r="U116" s="74"/>
      <c r="V116" s="74">
        <f>[1]节奏总纲!V116</f>
        <v>113</v>
      </c>
      <c r="W116" s="74">
        <f>[1]节奏总纲!W116</f>
        <v>168.849527496463</v>
      </c>
      <c r="X116" s="74">
        <f>[1]节奏总纲!X116</f>
        <v>144.95237569414667</v>
      </c>
      <c r="Y116" s="74">
        <f>[1]节奏总纲!Y116</f>
        <v>117.32488524955056</v>
      </c>
      <c r="Z116" s="74">
        <f>[1]节奏总纲!Z116</f>
        <v>80.435389100481871</v>
      </c>
      <c r="AA116" s="74">
        <f>[1]节奏总纲!AA116</f>
        <v>42.476779403885303</v>
      </c>
      <c r="AC116" s="4">
        <f>[1]节奏总纲!AC116</f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f>[1]节奏总纲!AZ116</f>
        <v>113</v>
      </c>
      <c r="BA116" s="4">
        <f>[1]节奏总纲!BA116</f>
        <v>38.851710267579293</v>
      </c>
      <c r="BB116" s="4">
        <f>[1]节奏总纲!BB116</f>
        <v>40.343816547636273</v>
      </c>
      <c r="BC116" s="4">
        <f>[1]节奏总纲!BC116</f>
        <v>42.282857920527782</v>
      </c>
      <c r="BD116" s="4">
        <f>[1]节奏总纲!BD116</f>
        <v>45.032359480672049</v>
      </c>
      <c r="BE116" s="4">
        <f>[1]节奏总纲!BE116</f>
        <v>49.712105979683258</v>
      </c>
      <c r="BI116" s="74">
        <f>[1]节奏总纲!BI116</f>
        <v>113</v>
      </c>
      <c r="BJ116" s="74">
        <f>[1]节奏总纲!BJ116</f>
        <v>3.4999999999999978</v>
      </c>
      <c r="BK116" s="74">
        <f>[1]节奏总纲!BK116</f>
        <v>3.5699999999999976</v>
      </c>
      <c r="BL116" s="74">
        <f>[1]节奏总纲!BL116</f>
        <v>3.7099999999999977</v>
      </c>
      <c r="BM116" s="74">
        <f>[1]节奏总纲!BM116</f>
        <v>3.9899999999999971</v>
      </c>
      <c r="BN116" s="74">
        <f>[1]节奏总纲!BN116</f>
        <v>4.8999999999999968</v>
      </c>
      <c r="BO116" s="74"/>
      <c r="BP116" s="74"/>
      <c r="BQ116" s="74"/>
      <c r="BR116" s="74"/>
      <c r="BS116" s="74"/>
      <c r="BT116" s="74"/>
      <c r="BU116" s="74"/>
      <c r="BV116" s="74"/>
      <c r="BW116" s="74">
        <f>[1]节奏总纲!BW116</f>
        <v>113</v>
      </c>
      <c r="BX116" s="74">
        <f>[1]节奏总纲!BX116</f>
        <v>59.888345847910635</v>
      </c>
      <c r="BY116" s="74">
        <f>[1]节奏总纲!BY116</f>
        <v>60.315865619841162</v>
      </c>
      <c r="BZ116" s="74">
        <f>[1]节奏总纲!BZ116</f>
        <v>60.787957794339562</v>
      </c>
      <c r="CA116" s="74">
        <f>[1]节奏总纲!CA116</f>
        <v>61.268918714801863</v>
      </c>
      <c r="CB116" s="74">
        <f>[1]节奏总纲!CB116</f>
        <v>61.779418699074547</v>
      </c>
      <c r="CC116" s="74">
        <f>[1]节奏总纲!CC116</f>
        <v>61.779418699074547</v>
      </c>
    </row>
    <row r="117" spans="6:81" x14ac:dyDescent="0.15">
      <c r="F117" s="4">
        <f>[1]节奏总纲!F117</f>
        <v>115</v>
      </c>
      <c r="G117" s="4">
        <f>[1]节奏总纲!G117</f>
        <v>2895.3093757400989</v>
      </c>
      <c r="N117" s="74">
        <f>[1]节奏总纲!N117</f>
        <v>124</v>
      </c>
      <c r="O117" s="74">
        <f>[1]节奏总纲!O117</f>
        <v>114</v>
      </c>
      <c r="P117" s="74">
        <f>[1]节奏总纲!P117</f>
        <v>2701.3522012628878</v>
      </c>
      <c r="Q117" s="74">
        <f>[1]节奏总纲!Q117</f>
        <v>2304.5235628973696</v>
      </c>
      <c r="R117" s="74">
        <f>[1]节奏总纲!R117</f>
        <v>1846.3742295631837</v>
      </c>
      <c r="S117" s="74">
        <f>[1]节奏总纲!S117</f>
        <v>1319.3404150967945</v>
      </c>
      <c r="T117" s="74">
        <f>[1]节奏总纲!T117</f>
        <v>710.99589937239205</v>
      </c>
      <c r="U117" s="74"/>
      <c r="V117" s="74">
        <f>[1]节奏总纲!V117</f>
        <v>114</v>
      </c>
      <c r="W117" s="74">
        <f>[1]节奏总纲!W117</f>
        <v>180.96844273249917</v>
      </c>
      <c r="X117" s="74">
        <f>[1]节奏总纲!X117</f>
        <v>154.88825524680124</v>
      </c>
      <c r="Y117" s="74">
        <f>[1]节奏总纲!Y117</f>
        <v>119.6593165940144</v>
      </c>
      <c r="Z117" s="74">
        <f>[1]节奏总纲!Z117</f>
        <v>83.59625828934486</v>
      </c>
      <c r="AA117" s="74">
        <f>[1]节奏总纲!AA117</f>
        <v>45.362548744516403</v>
      </c>
      <c r="AC117" s="4">
        <f>[1]节奏总纲!AC117</f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f>[1]节奏总纲!AZ117</f>
        <v>114</v>
      </c>
      <c r="BA117" s="4">
        <f>[1]节奏总纲!BA117</f>
        <v>38.91434079381721</v>
      </c>
      <c r="BB117" s="4">
        <f>[1]节奏总纲!BB117</f>
        <v>40.402090538761065</v>
      </c>
      <c r="BC117" s="4">
        <f>[1]节奏总纲!BC117</f>
        <v>42.340712512072891</v>
      </c>
      <c r="BD117" s="4">
        <f>[1]节奏总纲!BD117</f>
        <v>45.088151688727308</v>
      </c>
      <c r="BE117" s="4">
        <f>[1]节奏总纲!BE117</f>
        <v>49.774085316672867</v>
      </c>
      <c r="BI117" s="74">
        <f>[1]节奏总纲!BI117</f>
        <v>114</v>
      </c>
      <c r="BJ117" s="74">
        <f>[1]节奏总纲!BJ117</f>
        <v>3.4999999999999978</v>
      </c>
      <c r="BK117" s="74">
        <f>[1]节奏总纲!BK117</f>
        <v>3.5699999999999976</v>
      </c>
      <c r="BL117" s="74">
        <f>[1]节奏总纲!BL117</f>
        <v>3.7099999999999977</v>
      </c>
      <c r="BM117" s="74">
        <f>[1]节奏总纲!BM117</f>
        <v>3.9899999999999971</v>
      </c>
      <c r="BN117" s="74">
        <f>[1]节奏总纲!BN117</f>
        <v>4.8999999999999968</v>
      </c>
      <c r="BO117" s="74"/>
      <c r="BP117" s="74"/>
      <c r="BQ117" s="74"/>
      <c r="BR117" s="74"/>
      <c r="BS117" s="74"/>
      <c r="BT117" s="74"/>
      <c r="BU117" s="74"/>
      <c r="BV117" s="74"/>
      <c r="BW117" s="74">
        <f>[1]节奏总纲!BW117</f>
        <v>114</v>
      </c>
      <c r="BX117" s="74">
        <f>[1]节奏总纲!BX117</f>
        <v>60.351265141991014</v>
      </c>
      <c r="BY117" s="74">
        <f>[1]节奏总纲!BY117</f>
        <v>60.79487602158224</v>
      </c>
      <c r="BZ117" s="74">
        <f>[1]节奏总纲!BZ117</f>
        <v>61.243116472404502</v>
      </c>
      <c r="CA117" s="74">
        <f>[1]节奏总纲!CA117</f>
        <v>61.715681191539097</v>
      </c>
      <c r="CB117" s="74">
        <f>[1]节奏总纲!CB117</f>
        <v>62.228360857153817</v>
      </c>
      <c r="CC117" s="74">
        <f>[1]节奏总纲!CC117</f>
        <v>62.228360857153817</v>
      </c>
    </row>
    <row r="118" spans="6:81" x14ac:dyDescent="0.15">
      <c r="F118" s="4">
        <f>[1]节奏总纲!F118</f>
        <v>116</v>
      </c>
      <c r="G118" s="4">
        <f>[1]节奏总纲!G118</f>
        <v>3103.1875282132928</v>
      </c>
      <c r="N118" s="74">
        <f>[1]节奏总纲!N118</f>
        <v>125</v>
      </c>
      <c r="O118" s="74">
        <f>[1]节奏总纲!O118</f>
        <v>115</v>
      </c>
      <c r="P118" s="74">
        <f>[1]节奏总纲!P118</f>
        <v>2895.3093757400989</v>
      </c>
      <c r="Q118" s="74">
        <f>[1]节奏总纲!Q118</f>
        <v>2463.0396859421021</v>
      </c>
      <c r="R118" s="74">
        <f>[1]节奏总纲!R118</f>
        <v>1969.9684992535633</v>
      </c>
      <c r="S118" s="74">
        <f>[1]节奏总纲!S118</f>
        <v>1407.1203566096881</v>
      </c>
      <c r="T118" s="74">
        <f>[1]节奏总纲!T118</f>
        <v>758.86058738147995</v>
      </c>
      <c r="U118" s="74"/>
      <c r="V118" s="74">
        <f>[1]节奏总纲!V118</f>
        <v>115</v>
      </c>
      <c r="W118" s="74">
        <f>[1]节奏总纲!W118</f>
        <v>193.95717447721108</v>
      </c>
      <c r="X118" s="74">
        <f>[1]节奏总纲!X118</f>
        <v>158.51612304473247</v>
      </c>
      <c r="Y118" s="74">
        <f>[1]节奏总纲!Y118</f>
        <v>123.59426969037963</v>
      </c>
      <c r="Z118" s="74">
        <f>[1]节奏总纲!Z118</f>
        <v>87.779941512893629</v>
      </c>
      <c r="AA118" s="74">
        <f>[1]节奏总纲!AA118</f>
        <v>47.864688009087899</v>
      </c>
      <c r="AC118" s="4">
        <f>[1]节奏总纲!AC118</f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f>[1]节奏总纲!AZ118</f>
        <v>115</v>
      </c>
      <c r="BA118" s="4">
        <f>[1]节奏总纲!BA118</f>
        <v>38.976971320055128</v>
      </c>
      <c r="BB118" s="4">
        <f>[1]节奏总纲!BB118</f>
        <v>40.460364529885858</v>
      </c>
      <c r="BC118" s="4">
        <f>[1]节奏总纲!BC118</f>
        <v>42.398567103617999</v>
      </c>
      <c r="BD118" s="4">
        <f>[1]节奏总纲!BD118</f>
        <v>45.143943896782567</v>
      </c>
      <c r="BE118" s="4">
        <f>[1]节奏总纲!BE118</f>
        <v>49.836064653662483</v>
      </c>
      <c r="BI118" s="74">
        <f>[1]节奏总纲!BI118</f>
        <v>115</v>
      </c>
      <c r="BJ118" s="74">
        <f>[1]节奏总纲!BJ118</f>
        <v>3.4999999999999978</v>
      </c>
      <c r="BK118" s="74">
        <f>[1]节奏总纲!BK118</f>
        <v>3.5699999999999976</v>
      </c>
      <c r="BL118" s="74">
        <f>[1]节奏总纲!BL118</f>
        <v>3.7099999999999977</v>
      </c>
      <c r="BM118" s="74">
        <f>[1]节奏总纲!BM118</f>
        <v>3.9899999999999971</v>
      </c>
      <c r="BN118" s="74">
        <f>[1]节奏总纲!BN118</f>
        <v>4.8999999999999968</v>
      </c>
      <c r="BO118" s="74"/>
      <c r="BP118" s="74"/>
      <c r="BQ118" s="74"/>
      <c r="BR118" s="74"/>
      <c r="BS118" s="74"/>
      <c r="BT118" s="74"/>
      <c r="BU118" s="74"/>
      <c r="BV118" s="74"/>
      <c r="BW118" s="74">
        <f>[1]节奏总纲!BW118</f>
        <v>115</v>
      </c>
      <c r="BX118" s="74">
        <f>[1]节奏总纲!BX118</f>
        <v>60.831133697131506</v>
      </c>
      <c r="BY118" s="74">
        <f>[1]节奏总纲!BY118</f>
        <v>61.24634276522368</v>
      </c>
      <c r="BZ118" s="74">
        <f>[1]节奏总纲!BZ118</f>
        <v>61.683465384084933</v>
      </c>
      <c r="CA118" s="74">
        <f>[1]节奏总纲!CA118</f>
        <v>62.159685532497839</v>
      </c>
      <c r="CB118" s="74">
        <f>[1]节奏总纲!CB118</f>
        <v>62.670432709865914</v>
      </c>
      <c r="CC118" s="74">
        <f>[1]节奏总纲!CC118</f>
        <v>62.670432709865914</v>
      </c>
    </row>
    <row r="119" spans="6:81" x14ac:dyDescent="0.15">
      <c r="F119" s="4">
        <f>[1]节奏总纲!F119</f>
        <v>117</v>
      </c>
      <c r="G119" s="4">
        <f>[1]节奏总纲!G119</f>
        <v>3325.985815475135</v>
      </c>
      <c r="N119" s="74">
        <f>[1]节奏总纲!N119</f>
        <v>126</v>
      </c>
      <c r="O119" s="74">
        <f>[1]节奏总纲!O119</f>
        <v>116</v>
      </c>
      <c r="P119" s="74">
        <f>[1]节奏总纲!P119</f>
        <v>3103.1875282132928</v>
      </c>
      <c r="Q119" s="74">
        <f>[1]节奏总纲!Q119</f>
        <v>2636.7784427228348</v>
      </c>
      <c r="R119" s="74">
        <f>[1]节奏总纲!R119</f>
        <v>2108.9262441737537</v>
      </c>
      <c r="S119" s="74">
        <f>[1]节奏总纲!S119</f>
        <v>1509.0800949701243</v>
      </c>
      <c r="T119" s="74">
        <f>[1]节奏总纲!T119</f>
        <v>813.34545114470404</v>
      </c>
      <c r="U119" s="74"/>
      <c r="V119" s="74">
        <f>[1]节奏总纲!V119</f>
        <v>116</v>
      </c>
      <c r="W119" s="74">
        <f>[1]节奏总纲!W119</f>
        <v>207.87815247319395</v>
      </c>
      <c r="X119" s="74">
        <f>[1]节奏总纲!X119</f>
        <v>173.73875678073273</v>
      </c>
      <c r="Y119" s="74">
        <f>[1]节奏总纲!Y119</f>
        <v>138.95774492019041</v>
      </c>
      <c r="Z119" s="74">
        <f>[1]节奏总纲!Z119</f>
        <v>101.95973836043618</v>
      </c>
      <c r="AA119" s="74">
        <f>[1]节奏总纲!AA119</f>
        <v>54.484863763224098</v>
      </c>
      <c r="AC119" s="4">
        <f>[1]节奏总纲!AC119</f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f>[1]节奏总纲!AZ119</f>
        <v>116</v>
      </c>
      <c r="BA119" s="4">
        <f>[1]节奏总纲!BA119</f>
        <v>39.034165367506482</v>
      </c>
      <c r="BB119" s="4">
        <f>[1]节奏总纲!BB119</f>
        <v>40.518638521010644</v>
      </c>
      <c r="BC119" s="4">
        <f>[1]节奏总纲!BC119</f>
        <v>42.456421695163108</v>
      </c>
      <c r="BD119" s="4">
        <f>[1]节奏总纲!BD119</f>
        <v>45.199736104837825</v>
      </c>
      <c r="BE119" s="4">
        <f>[1]节奏总纲!BE119</f>
        <v>49.898043990652091</v>
      </c>
      <c r="BI119" s="74">
        <f>[1]节奏总纲!BI119</f>
        <v>116</v>
      </c>
      <c r="BJ119" s="74">
        <f>[1]节奏总纲!BJ119</f>
        <v>3.4999999999999978</v>
      </c>
      <c r="BK119" s="74">
        <f>[1]节奏总纲!BK119</f>
        <v>3.5699999999999976</v>
      </c>
      <c r="BL119" s="74">
        <f>[1]节奏总纲!BL119</f>
        <v>3.7099999999999977</v>
      </c>
      <c r="BM119" s="74">
        <f>[1]节奏总纲!BM119</f>
        <v>3.9899999999999971</v>
      </c>
      <c r="BN119" s="74">
        <f>[1]节奏总纲!BN119</f>
        <v>4.8999999999999968</v>
      </c>
      <c r="BO119" s="74"/>
      <c r="BP119" s="74"/>
      <c r="BQ119" s="74"/>
      <c r="BR119" s="74"/>
      <c r="BS119" s="74"/>
      <c r="BT119" s="74"/>
      <c r="BU119" s="74"/>
      <c r="BV119" s="74"/>
      <c r="BW119" s="74">
        <f>[1]节奏总纲!BW119</f>
        <v>116</v>
      </c>
      <c r="BX119" s="74">
        <f>[1]节奏总纲!BX119</f>
        <v>61.298477193800437</v>
      </c>
      <c r="BY119" s="74">
        <f>[1]节奏总纲!BY119</f>
        <v>61.71059773831081</v>
      </c>
      <c r="BZ119" s="74">
        <f>[1]节奏总纲!BZ119</f>
        <v>62.154284734329579</v>
      </c>
      <c r="CA119" s="74">
        <f>[1]节奏总纲!CA119</f>
        <v>62.630528781601228</v>
      </c>
      <c r="CB119" s="74">
        <f>[1]节奏总纲!CB119</f>
        <v>63.150055056035825</v>
      </c>
      <c r="CC119" s="74">
        <f>[1]节奏总纲!CC119</f>
        <v>63.150055056035825</v>
      </c>
    </row>
    <row r="120" spans="6:81" x14ac:dyDescent="0.15">
      <c r="F120" s="4">
        <f>[1]节奏总纲!F120</f>
        <v>118</v>
      </c>
      <c r="G120" s="4">
        <f>[1]节奏总纲!G120</f>
        <v>3564.7751072609281</v>
      </c>
      <c r="N120" s="74">
        <f>[1]节奏总纲!N120</f>
        <v>127</v>
      </c>
      <c r="O120" s="74">
        <f>[1]节奏总纲!O120</f>
        <v>117</v>
      </c>
      <c r="P120" s="74">
        <f>[1]节奏总纲!P120</f>
        <v>3325.985815475135</v>
      </c>
      <c r="Q120" s="74">
        <f>[1]节奏总纲!Q120</f>
        <v>2826.7553445723174</v>
      </c>
      <c r="R120" s="74">
        <f>[1]节奏总纲!R120</f>
        <v>2262.6681502677343</v>
      </c>
      <c r="S120" s="74">
        <f>[1]节奏总纲!S120</f>
        <v>1618.0920992286531</v>
      </c>
      <c r="T120" s="74">
        <f>[1]节奏总纲!T120</f>
        <v>873.07127656222303</v>
      </c>
      <c r="U120" s="74"/>
      <c r="V120" s="74">
        <f>[1]节奏总纲!V120</f>
        <v>117</v>
      </c>
      <c r="W120" s="74">
        <f>[1]节奏总纲!W120</f>
        <v>222.79828726184223</v>
      </c>
      <c r="X120" s="74">
        <f>[1]节奏总纲!X120</f>
        <v>189.9769018494826</v>
      </c>
      <c r="Y120" s="74">
        <f>[1]节奏总纲!Y120</f>
        <v>153.74190609398056</v>
      </c>
      <c r="Z120" s="74">
        <f>[1]节奏总纲!Z120</f>
        <v>109.0120042585288</v>
      </c>
      <c r="AA120" s="74">
        <f>[1]节奏总纲!AA120</f>
        <v>59.72582541751899</v>
      </c>
      <c r="AC120" s="4">
        <f>[1]节奏总纲!AC120</f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f>[1]节奏总纲!AZ120</f>
        <v>117</v>
      </c>
      <c r="BA120" s="4">
        <f>[1]节奏总纲!BA120</f>
        <v>39.088198074219406</v>
      </c>
      <c r="BB120" s="4">
        <f>[1]节奏总纲!BB120</f>
        <v>40.576912512135436</v>
      </c>
      <c r="BC120" s="4">
        <f>[1]节奏总纲!BC120</f>
        <v>42.51427628670821</v>
      </c>
      <c r="BD120" s="4">
        <f>[1]节奏总纲!BD120</f>
        <v>45.255528312893091</v>
      </c>
      <c r="BE120" s="4">
        <f>[1]节奏总纲!BE120</f>
        <v>49.9600233276417</v>
      </c>
      <c r="BI120" s="74">
        <f>[1]节奏总纲!BI120</f>
        <v>117</v>
      </c>
      <c r="BJ120" s="74">
        <f>[1]节奏总纲!BJ120</f>
        <v>3.4999999999999978</v>
      </c>
      <c r="BK120" s="74">
        <f>[1]节奏总纲!BK120</f>
        <v>3.5699999999999976</v>
      </c>
      <c r="BL120" s="74">
        <f>[1]节奏总纲!BL120</f>
        <v>3.7099999999999977</v>
      </c>
      <c r="BM120" s="74">
        <f>[1]节奏总纲!BM120</f>
        <v>3.9899999999999971</v>
      </c>
      <c r="BN120" s="74">
        <f>[1]节奏总纲!BN120</f>
        <v>4.8999999999999968</v>
      </c>
      <c r="BO120" s="74"/>
      <c r="BP120" s="74"/>
      <c r="BQ120" s="74"/>
      <c r="BR120" s="74"/>
      <c r="BS120" s="74"/>
      <c r="BT120" s="74"/>
      <c r="BU120" s="74"/>
      <c r="BV120" s="74"/>
      <c r="BW120" s="74">
        <f>[1]节奏总纲!BW120</f>
        <v>117</v>
      </c>
      <c r="BX120" s="74">
        <f>[1]节奏总纲!BX120</f>
        <v>61.774756475513705</v>
      </c>
      <c r="BY120" s="74">
        <f>[1]节奏总纲!BY120</f>
        <v>62.188581397582936</v>
      </c>
      <c r="BZ120" s="74">
        <f>[1]节奏总纲!BZ120</f>
        <v>62.627597957455222</v>
      </c>
      <c r="CA120" s="74">
        <f>[1]节奏总纲!CA120</f>
        <v>63.115741365011118</v>
      </c>
      <c r="CB120" s="74">
        <f>[1]节奏总纲!CB120</f>
        <v>63.626729194306485</v>
      </c>
      <c r="CC120" s="74">
        <f>[1]节奏总纲!CC120</f>
        <v>63.626729194306485</v>
      </c>
    </row>
    <row r="121" spans="6:81" x14ac:dyDescent="0.15">
      <c r="F121" s="4">
        <f>[1]节奏总纲!F121</f>
        <v>119</v>
      </c>
      <c r="G121" s="4">
        <f>[1]节奏总纲!G121</f>
        <v>3820.7031333347636</v>
      </c>
      <c r="N121" s="74">
        <f>[1]节奏总纲!N121</f>
        <v>128</v>
      </c>
      <c r="O121" s="74">
        <f>[1]节奏总纲!O121</f>
        <v>118</v>
      </c>
      <c r="P121" s="74">
        <f>[1]节奏总纲!P121</f>
        <v>3564.7751072609281</v>
      </c>
      <c r="Q121" s="74">
        <f>[1]节奏总纲!Q121</f>
        <v>3030.4153186825147</v>
      </c>
      <c r="R121" s="74">
        <f>[1]节奏总纲!R121</f>
        <v>2426.1859380017877</v>
      </c>
      <c r="S121" s="74">
        <f>[1]节奏总纲!S121</f>
        <v>1737.4713872789764</v>
      </c>
      <c r="T121" s="74">
        <f>[1]节奏总纲!T121</f>
        <v>936.10994316671975</v>
      </c>
      <c r="U121" s="74"/>
      <c r="V121" s="74">
        <f>[1]节奏总纲!V121</f>
        <v>118</v>
      </c>
      <c r="W121" s="74">
        <f>[1]节奏总纲!W121</f>
        <v>238.78929178579301</v>
      </c>
      <c r="X121" s="74">
        <f>[1]节奏总纲!X121</f>
        <v>203.65997411019725</v>
      </c>
      <c r="Y121" s="74">
        <f>[1]节奏总纲!Y121</f>
        <v>163.5177877340534</v>
      </c>
      <c r="Z121" s="74">
        <f>[1]节奏总纲!Z121</f>
        <v>119.37928805032334</v>
      </c>
      <c r="AA121" s="74">
        <f>[1]节奏总纲!AA121</f>
        <v>63.038666604496711</v>
      </c>
      <c r="AC121" s="4">
        <f>[1]节奏总纲!AC121</f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f>[1]节奏总纲!AZ121</f>
        <v>118</v>
      </c>
      <c r="BA121" s="4">
        <f>[1]节奏总纲!BA121</f>
        <v>39.14223078093233</v>
      </c>
      <c r="BB121" s="4">
        <f>[1]节奏总纲!BB121</f>
        <v>40.635186503260229</v>
      </c>
      <c r="BC121" s="4">
        <f>[1]节奏总纲!BC121</f>
        <v>42.572130878253319</v>
      </c>
      <c r="BD121" s="4">
        <f>[1]节奏总纲!BD121</f>
        <v>45.31132052094835</v>
      </c>
      <c r="BE121" s="4">
        <f>[1]节奏总纲!BE121</f>
        <v>50.018998195299922</v>
      </c>
      <c r="BI121" s="74">
        <f>[1]节奏总纲!BI121</f>
        <v>118</v>
      </c>
      <c r="BJ121" s="74">
        <f>[1]节奏总纲!BJ121</f>
        <v>3.4999999999999978</v>
      </c>
      <c r="BK121" s="74">
        <f>[1]节奏总纲!BK121</f>
        <v>3.5699999999999976</v>
      </c>
      <c r="BL121" s="74">
        <f>[1]节奏总纲!BL121</f>
        <v>3.7099999999999977</v>
      </c>
      <c r="BM121" s="74">
        <f>[1]节奏总纲!BM121</f>
        <v>3.9899999999999971</v>
      </c>
      <c r="BN121" s="74">
        <f>[1]节奏总纲!BN121</f>
        <v>4.8999999999999968</v>
      </c>
      <c r="BO121" s="74"/>
      <c r="BP121" s="74"/>
      <c r="BQ121" s="74"/>
      <c r="BR121" s="74"/>
      <c r="BS121" s="74"/>
      <c r="BT121" s="74"/>
      <c r="BU121" s="74"/>
      <c r="BV121" s="74"/>
      <c r="BW121" s="74">
        <f>[1]节奏总纲!BW121</f>
        <v>118</v>
      </c>
      <c r="BX121" s="74">
        <f>[1]节奏总纲!BX121</f>
        <v>62.246455046493132</v>
      </c>
      <c r="BY121" s="74">
        <f>[1]节奏总纲!BY121</f>
        <v>62.6588254638406</v>
      </c>
      <c r="BZ121" s="74">
        <f>[1]节奏总纲!BZ121</f>
        <v>63.11320815441082</v>
      </c>
      <c r="CA121" s="74">
        <f>[1]节奏总纲!CA121</f>
        <v>63.592126738180539</v>
      </c>
      <c r="CB121" s="74">
        <f>[1]节奏总纲!CB121</f>
        <v>64.112208257096498</v>
      </c>
      <c r="CC121" s="74">
        <f>[1]节奏总纲!CC121</f>
        <v>64.112208257096498</v>
      </c>
    </row>
    <row r="122" spans="6:81" x14ac:dyDescent="0.15">
      <c r="F122" s="4">
        <f>[1]节奏总纲!F122</f>
        <v>120</v>
      </c>
      <c r="G122" s="4">
        <f>[1]节奏总纲!G122</f>
        <v>4095</v>
      </c>
      <c r="N122" s="74">
        <f>[1]节奏总纲!N122</f>
        <v>129</v>
      </c>
      <c r="O122" s="74">
        <f>[1]节奏总纲!O122</f>
        <v>119</v>
      </c>
      <c r="P122" s="74">
        <f>[1]节奏总纲!P122</f>
        <v>3820.7031333347636</v>
      </c>
      <c r="Q122" s="74">
        <f>[1]节奏总纲!Q122</f>
        <v>3250.2721555278836</v>
      </c>
      <c r="R122" s="74">
        <f>[1]节奏总纲!R122</f>
        <v>2604.5733259943081</v>
      </c>
      <c r="S122" s="74">
        <f>[1]节奏总纲!S122</f>
        <v>1863.3569181273642</v>
      </c>
      <c r="T122" s="74">
        <f>[1]节奏总纲!T122</f>
        <v>1000.260080307041</v>
      </c>
      <c r="U122" s="74"/>
      <c r="V122" s="74">
        <f>[1]节奏总纲!V122</f>
        <v>119</v>
      </c>
      <c r="W122" s="74">
        <f>[1]节奏总纲!W122</f>
        <v>255.92802607383555</v>
      </c>
      <c r="X122" s="74">
        <f>[1]节奏总纲!X122</f>
        <v>219.85683684536889</v>
      </c>
      <c r="Y122" s="74">
        <f>[1]节奏总纲!Y122</f>
        <v>178.38738799252042</v>
      </c>
      <c r="Z122" s="74">
        <f>[1]节奏总纲!Z122</f>
        <v>125.88553084838782</v>
      </c>
      <c r="AA122" s="74">
        <f>[1]节奏总纲!AA122</f>
        <v>64.150137140321249</v>
      </c>
      <c r="AC122" s="4">
        <f>[1]节奏总纲!AC122</f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f>[1]节奏总纲!AZ122</f>
        <v>119</v>
      </c>
      <c r="BA122" s="4">
        <f>[1]节奏总纲!BA122</f>
        <v>39.196263487645254</v>
      </c>
      <c r="BB122" s="4">
        <f>[1]节奏总纲!BB122</f>
        <v>40.693460494385022</v>
      </c>
      <c r="BC122" s="4">
        <f>[1]节奏总纲!BC122</f>
        <v>42.629985469798427</v>
      </c>
      <c r="BD122" s="4">
        <f>[1]节奏总纲!BD122</f>
        <v>45.367112729003608</v>
      </c>
      <c r="BE122" s="4">
        <f>[1]节奏总纲!BE122</f>
        <v>50.072514238398277</v>
      </c>
      <c r="BI122" s="74">
        <f>[1]节奏总纲!BI122</f>
        <v>119</v>
      </c>
      <c r="BJ122" s="74">
        <f>[1]节奏总纲!BJ122</f>
        <v>3.4999999999999978</v>
      </c>
      <c r="BK122" s="74">
        <f>[1]节奏总纲!BK122</f>
        <v>3.5699999999999976</v>
      </c>
      <c r="BL122" s="74">
        <f>[1]节奏总纲!BL122</f>
        <v>3.7099999999999977</v>
      </c>
      <c r="BM122" s="74">
        <f>[1]节奏总纲!BM122</f>
        <v>3.9899999999999971</v>
      </c>
      <c r="BN122" s="74">
        <f>[1]节奏总纲!BN122</f>
        <v>4.8999999999999968</v>
      </c>
      <c r="BO122" s="74"/>
      <c r="BP122" s="74"/>
      <c r="BQ122" s="74"/>
      <c r="BR122" s="74"/>
      <c r="BS122" s="74"/>
      <c r="BT122" s="74"/>
      <c r="BU122" s="74"/>
      <c r="BV122" s="74"/>
      <c r="BW122" s="74">
        <f>[1]节奏总纲!BW122</f>
        <v>119</v>
      </c>
      <c r="BX122" s="74">
        <f>[1]节奏总纲!BX122</f>
        <v>62.719198446077925</v>
      </c>
      <c r="BY122" s="74">
        <f>[1]节奏总纲!BY122</f>
        <v>63.143850498495951</v>
      </c>
      <c r="BZ122" s="74">
        <f>[1]节奏总纲!BZ122</f>
        <v>63.587780384292174</v>
      </c>
      <c r="CA122" s="74">
        <f>[1]节奏总纲!CA122</f>
        <v>64.081643983802394</v>
      </c>
      <c r="CB122" s="74">
        <f>[1]节奏总纲!CB122</f>
        <v>64.554656492906943</v>
      </c>
      <c r="CC122" s="74">
        <f>[1]节奏总纲!CC122</f>
        <v>64.554656492906943</v>
      </c>
    </row>
    <row r="123" spans="6:81" x14ac:dyDescent="0.15">
      <c r="F123" s="4">
        <f>[1]节奏总纲!F123</f>
        <v>121</v>
      </c>
      <c r="G123" s="4">
        <f>[1]节奏总纲!G123</f>
        <v>4388.9841025486576</v>
      </c>
      <c r="N123" s="74">
        <f>[1]节奏总纲!N123</f>
        <v>130</v>
      </c>
      <c r="O123" s="74">
        <f>[1]节奏总纲!O123</f>
        <v>120</v>
      </c>
      <c r="P123" s="74">
        <f>[1]节奏总纲!P123</f>
        <v>4095</v>
      </c>
      <c r="Q123" s="74">
        <f>[1]节奏总纲!Q123</f>
        <v>3486.0735</v>
      </c>
      <c r="R123" s="74">
        <f>[1]节奏总纲!R123</f>
        <v>2791.971</v>
      </c>
      <c r="S123" s="74">
        <f>[1]节奏总纲!S123</f>
        <v>1988.5319999999999</v>
      </c>
      <c r="T123" s="74">
        <f>[1]节奏总纲!T123</f>
        <v>1067.9759999999999</v>
      </c>
      <c r="U123" s="74"/>
      <c r="V123" s="74">
        <f>[1]节奏总纲!V123</f>
        <v>120</v>
      </c>
      <c r="W123" s="74">
        <f>[1]节奏总纲!W123</f>
        <v>274.29686666523639</v>
      </c>
      <c r="X123" s="74">
        <f>[1]节奏总纲!X123</f>
        <v>235.8013444721164</v>
      </c>
      <c r="Y123" s="74">
        <f>[1]节奏总纲!Y123</f>
        <v>187.3976740056919</v>
      </c>
      <c r="Z123" s="74">
        <f>[1]节奏总纲!Z123</f>
        <v>125.1750818726357</v>
      </c>
      <c r="AA123" s="74">
        <f>[1]节奏总纲!AA123</f>
        <v>67.715919692958892</v>
      </c>
      <c r="AC123" s="4">
        <f>[1]节奏总纲!AC123</f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f>[1]节奏总纲!AZ123</f>
        <v>120</v>
      </c>
      <c r="BA123" s="4">
        <f>[1]节奏总纲!BA123</f>
        <v>39.250296194358178</v>
      </c>
      <c r="BB123" s="4">
        <f>[1]节奏总纲!BB123</f>
        <v>40.751734485509814</v>
      </c>
      <c r="BC123" s="4">
        <f>[1]节奏总纲!BC123</f>
        <v>42.687840061343536</v>
      </c>
      <c r="BD123" s="4">
        <f>[1]节奏总纲!BD123</f>
        <v>45.422904937058867</v>
      </c>
      <c r="BE123" s="4">
        <f>[1]节奏总纲!BE123</f>
        <v>50.126030281496639</v>
      </c>
      <c r="BI123" s="74">
        <f>[1]节奏总纲!BI123</f>
        <v>120</v>
      </c>
      <c r="BJ123" s="74">
        <f>[1]节奏总纲!BJ123</f>
        <v>3.4999999999999978</v>
      </c>
      <c r="BK123" s="74">
        <f>[1]节奏总纲!BK123</f>
        <v>3.5699999999999976</v>
      </c>
      <c r="BL123" s="74">
        <f>[1]节奏总纲!BL123</f>
        <v>3.7099999999999977</v>
      </c>
      <c r="BM123" s="74">
        <f>[1]节奏总纲!BM123</f>
        <v>3.9899999999999971</v>
      </c>
      <c r="BN123" s="74">
        <f>[1]节奏总纲!BN123</f>
        <v>4.8999999999999968</v>
      </c>
      <c r="BO123" s="74"/>
      <c r="BP123" s="74"/>
      <c r="BQ123" s="74"/>
      <c r="BR123" s="74"/>
      <c r="BS123" s="74"/>
      <c r="BT123" s="74"/>
      <c r="BU123" s="74"/>
      <c r="BV123" s="74"/>
      <c r="BW123" s="74">
        <f>[1]节奏总纲!BW123</f>
        <v>120</v>
      </c>
      <c r="BX123" s="74">
        <f>[1]节奏总纲!BX123</f>
        <v>63.195184230627639</v>
      </c>
      <c r="BY123" s="74">
        <f>[1]节奏总纲!BY123</f>
        <v>63.614335426471264</v>
      </c>
      <c r="BZ123" s="74">
        <f>[1]节奏总纲!BZ123</f>
        <v>64.074598905166155</v>
      </c>
      <c r="CA123" s="74">
        <f>[1]节奏总纲!CA123</f>
        <v>64.513314878136029</v>
      </c>
      <c r="CB123" s="74">
        <f>[1]节奏总纲!CB123</f>
        <v>65.018752205023816</v>
      </c>
      <c r="CC123" s="74">
        <f>[1]节奏总纲!CC123</f>
        <v>65.018752205023816</v>
      </c>
    </row>
    <row r="124" spans="6:81" x14ac:dyDescent="0.15">
      <c r="F124" s="4">
        <f>[1]节奏总纲!F124</f>
        <v>122</v>
      </c>
      <c r="G124" s="4">
        <f>[1]节奏总纲!G124</f>
        <v>4704.0684620678521</v>
      </c>
      <c r="N124" s="74">
        <f>[1]节奏总纲!N124</f>
        <v>131</v>
      </c>
      <c r="O124" s="74">
        <f>[1]节奏总纲!O124</f>
        <v>121</v>
      </c>
      <c r="P124" s="74">
        <f>[1]节奏总纲!P124</f>
        <v>4388.9841025486576</v>
      </c>
      <c r="Q124" s="74">
        <f>[1]节奏总纲!Q124</f>
        <v>3731.5142839868686</v>
      </c>
      <c r="R124" s="74">
        <f>[1]节奏总纲!R124</f>
        <v>2978.8035103997736</v>
      </c>
      <c r="S124" s="74">
        <f>[1]节奏总纲!S124</f>
        <v>2122.0738135822758</v>
      </c>
      <c r="T124" s="74">
        <f>[1]节奏总纲!T124</f>
        <v>1143.3303587139253</v>
      </c>
      <c r="U124" s="74"/>
      <c r="V124" s="74">
        <f>[1]节奏总纲!V124</f>
        <v>121</v>
      </c>
      <c r="W124" s="74">
        <f>[1]节奏总纲!W124</f>
        <v>293.98410254865757</v>
      </c>
      <c r="X124" s="74">
        <f>[1]节奏总纲!X124</f>
        <v>245.44078398686861</v>
      </c>
      <c r="Y124" s="74">
        <f>[1]节奏总纲!Y124</f>
        <v>186.83251039977358</v>
      </c>
      <c r="Z124" s="74">
        <f>[1]节奏总纲!Z124</f>
        <v>133.54181358227584</v>
      </c>
      <c r="AA124" s="74">
        <f>[1]节奏总纲!AA124</f>
        <v>75.354358713925421</v>
      </c>
      <c r="AC124" s="4">
        <f>[1]节奏总纲!AC124</f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f>[1]节奏总纲!AZ124</f>
        <v>121</v>
      </c>
      <c r="BA124" s="4">
        <f>[1]节奏总纲!BA124</f>
        <v>39.304328901071102</v>
      </c>
      <c r="BB124" s="4">
        <f>[1]节奏总纲!BB124</f>
        <v>40.810008476634607</v>
      </c>
      <c r="BC124" s="4">
        <f>[1]节奏总纲!BC124</f>
        <v>42.745694652888645</v>
      </c>
      <c r="BD124" s="4">
        <f>[1]节奏总纲!BD124</f>
        <v>45.478697145114126</v>
      </c>
      <c r="BE124" s="4">
        <f>[1]节奏总纲!BE124</f>
        <v>50.179546324595002</v>
      </c>
      <c r="BI124" s="74">
        <f>[1]节奏总纲!BI124</f>
        <v>121</v>
      </c>
      <c r="BJ124" s="74">
        <f>[1]节奏总纲!BJ124</f>
        <v>3.4999999999999978</v>
      </c>
      <c r="BK124" s="74">
        <f>[1]节奏总纲!BK124</f>
        <v>3.5699999999999976</v>
      </c>
      <c r="BL124" s="74">
        <f>[1]节奏总纲!BL124</f>
        <v>3.7099999999999977</v>
      </c>
      <c r="BM124" s="74">
        <f>[1]节奏总纲!BM124</f>
        <v>3.9899999999999971</v>
      </c>
      <c r="BN124" s="74">
        <f>[1]节奏总纲!BN124</f>
        <v>4.8999999999999968</v>
      </c>
      <c r="BO124" s="74"/>
      <c r="BP124" s="74"/>
      <c r="BQ124" s="74"/>
      <c r="BR124" s="74"/>
      <c r="BS124" s="74"/>
      <c r="BT124" s="74"/>
      <c r="BU124" s="74"/>
      <c r="BV124" s="74"/>
      <c r="BW124" s="74">
        <f>[1]节奏总纲!BW124</f>
        <v>121</v>
      </c>
      <c r="BX124" s="74">
        <f>[1]节奏总纲!BX124</f>
        <v>63.664443944555515</v>
      </c>
      <c r="BY124" s="74">
        <f>[1]节奏总纲!BY124</f>
        <v>64.08992124447893</v>
      </c>
      <c r="BZ124" s="74">
        <f>[1]节奏总纲!BZ124</f>
        <v>64.504131448162894</v>
      </c>
      <c r="CA124" s="74">
        <f>[1]节奏总纲!CA124</f>
        <v>64.973838755872734</v>
      </c>
      <c r="CB124" s="74">
        <f>[1]节奏总纲!CB124</f>
        <v>65.467913166257659</v>
      </c>
      <c r="CC124" s="74">
        <f>[1]节奏总纲!CC124</f>
        <v>65.467913166257659</v>
      </c>
    </row>
    <row r="125" spans="6:81" x14ac:dyDescent="0.15">
      <c r="F125" s="4">
        <f>[1]节奏总纲!F125</f>
        <v>123</v>
      </c>
      <c r="G125" s="4">
        <f>[1]节奏总纲!G125</f>
        <v>5041.7675170607781</v>
      </c>
      <c r="N125" s="74">
        <f>[1]节奏总纲!N125</f>
        <v>132</v>
      </c>
      <c r="O125" s="74">
        <f>[1]节奏总纲!O125</f>
        <v>122</v>
      </c>
      <c r="P125" s="74">
        <f>[1]节奏总纲!P125</f>
        <v>4704.0684620678521</v>
      </c>
      <c r="Q125" s="74">
        <f>[1]节奏总纲!Q125</f>
        <v>3989.5204626797454</v>
      </c>
      <c r="R125" s="74">
        <f>[1]节奏总纲!R125</f>
        <v>3183.7135351275219</v>
      </c>
      <c r="S125" s="74">
        <f>[1]节奏总纲!S125</f>
        <v>2271.1242534863591</v>
      </c>
      <c r="T125" s="74">
        <f>[1]节奏总纲!T125</f>
        <v>1223.9986138300551</v>
      </c>
      <c r="U125" s="74"/>
      <c r="V125" s="74">
        <f>[1]节奏总纲!V125</f>
        <v>122</v>
      </c>
      <c r="W125" s="74">
        <f>[1]节奏总纲!W125</f>
        <v>315.08435951919455</v>
      </c>
      <c r="X125" s="74">
        <f>[1]节奏总纲!X125</f>
        <v>258.0061786928768</v>
      </c>
      <c r="Y125" s="74">
        <f>[1]节奏总纲!Y125</f>
        <v>204.91002472774835</v>
      </c>
      <c r="Z125" s="74">
        <f>[1]节奏总纲!Z125</f>
        <v>149.05043990408331</v>
      </c>
      <c r="AA125" s="74">
        <f>[1]节奏总纲!AA125</f>
        <v>80.668255116129785</v>
      </c>
      <c r="AC125" s="4">
        <f>[1]节奏总纲!AC125</f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f>[1]节奏总纲!AZ125</f>
        <v>122</v>
      </c>
      <c r="BA125" s="4">
        <f>[1]节奏总纲!BA125</f>
        <v>39.358361607784026</v>
      </c>
      <c r="BB125" s="4">
        <f>[1]节奏总纲!BB125</f>
        <v>40.8682824677594</v>
      </c>
      <c r="BC125" s="4">
        <f>[1]节奏总纲!BC125</f>
        <v>42.803549244433754</v>
      </c>
      <c r="BD125" s="4">
        <f>[1]节奏总纲!BD125</f>
        <v>45.534489353169384</v>
      </c>
      <c r="BE125" s="4">
        <f>[1]节奏总纲!BE125</f>
        <v>50.233062367693357</v>
      </c>
      <c r="BI125" s="74">
        <f>[1]节奏总纲!BI125</f>
        <v>122</v>
      </c>
      <c r="BJ125" s="74">
        <f>[1]节奏总纲!BJ125</f>
        <v>3.4999999999999978</v>
      </c>
      <c r="BK125" s="74">
        <f>[1]节奏总纲!BK125</f>
        <v>3.5699999999999976</v>
      </c>
      <c r="BL125" s="74">
        <f>[1]节奏总纲!BL125</f>
        <v>3.7099999999999977</v>
      </c>
      <c r="BM125" s="74">
        <f>[1]节奏总纲!BM125</f>
        <v>3.9899999999999971</v>
      </c>
      <c r="BN125" s="74">
        <f>[1]节奏总纲!BN125</f>
        <v>4.8999999999999968</v>
      </c>
      <c r="BO125" s="74"/>
      <c r="BP125" s="74"/>
      <c r="BQ125" s="74"/>
      <c r="BR125" s="74"/>
      <c r="BS125" s="74"/>
      <c r="BT125" s="74"/>
      <c r="BU125" s="74"/>
      <c r="BV125" s="74"/>
      <c r="BW125" s="74">
        <f>[1]节奏总纲!BW125</f>
        <v>122</v>
      </c>
      <c r="BX125" s="74">
        <f>[1]节奏总纲!BX125</f>
        <v>64.144650363204718</v>
      </c>
      <c r="BY125" s="74">
        <f>[1]节奏总纲!BY125</f>
        <v>64.534793164008732</v>
      </c>
      <c r="BZ125" s="74">
        <f>[1]节奏总纲!BZ125</f>
        <v>64.975224641839446</v>
      </c>
      <c r="CA125" s="74">
        <f>[1]节奏总纲!CA125</f>
        <v>65.421609454055499</v>
      </c>
      <c r="CB125" s="74">
        <f>[1]节奏总纲!CB125</f>
        <v>65.948748404290441</v>
      </c>
      <c r="CC125" s="74">
        <f>[1]节奏总纲!CC125</f>
        <v>65.948748404290441</v>
      </c>
    </row>
    <row r="126" spans="6:81" x14ac:dyDescent="0.15">
      <c r="F126" s="4">
        <f>[1]节奏总纲!F126</f>
        <v>124</v>
      </c>
      <c r="G126" s="4">
        <f>[1]节奏总纲!G126</f>
        <v>5403.704402525771</v>
      </c>
      <c r="N126" s="74">
        <f>[1]节奏总纲!N126</f>
        <v>133</v>
      </c>
      <c r="O126" s="74">
        <f>[1]节奏总纲!O126</f>
        <v>123</v>
      </c>
      <c r="P126" s="74">
        <f>[1]节奏总纲!P126</f>
        <v>5041.7675170607781</v>
      </c>
      <c r="Q126" s="74">
        <f>[1]节奏总纲!Q126</f>
        <v>4275.9230312192458</v>
      </c>
      <c r="R126" s="74">
        <f>[1]节奏总纲!R126</f>
        <v>3419.8309068223257</v>
      </c>
      <c r="S126" s="74">
        <f>[1]节奏总纲!S126</f>
        <v>2442.7363620159467</v>
      </c>
      <c r="T126" s="74">
        <f>[1]节奏总纲!T126</f>
        <v>1316.4054987045693</v>
      </c>
      <c r="U126" s="74"/>
      <c r="V126" s="74">
        <f>[1]节奏总纲!V126</f>
        <v>123</v>
      </c>
      <c r="W126" s="74">
        <f>[1]节奏总纲!W126</f>
        <v>337.69905499292599</v>
      </c>
      <c r="X126" s="74">
        <f>[1]节奏总纲!X126</f>
        <v>286.40256853950041</v>
      </c>
      <c r="Y126" s="74">
        <f>[1]节奏总纲!Y126</f>
        <v>236.11737169480375</v>
      </c>
      <c r="Z126" s="74">
        <f>[1]节奏总纲!Z126</f>
        <v>171.61210852958766</v>
      </c>
      <c r="AA126" s="74">
        <f>[1]节奏总纲!AA126</f>
        <v>92.406884874514162</v>
      </c>
      <c r="AC126" s="4">
        <f>[1]节奏总纲!AC126</f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f>[1]节奏总纲!AZ126</f>
        <v>123</v>
      </c>
      <c r="BA126" s="4">
        <f>[1]节奏总纲!BA126</f>
        <v>39.41239431449695</v>
      </c>
      <c r="BB126" s="4">
        <f>[1]节奏总纲!BB126</f>
        <v>40.926556458884193</v>
      </c>
      <c r="BC126" s="4">
        <f>[1]节奏总纲!BC126</f>
        <v>42.861403835978855</v>
      </c>
      <c r="BD126" s="4">
        <f>[1]节奏总纲!BD126</f>
        <v>45.590281561224643</v>
      </c>
      <c r="BE126" s="4">
        <f>[1]节奏总纲!BE126</f>
        <v>50.286578410791719</v>
      </c>
      <c r="BI126" s="74">
        <f>[1]节奏总纲!BI126</f>
        <v>123</v>
      </c>
      <c r="BJ126" s="74">
        <f>[1]节奏总纲!BJ126</f>
        <v>3.4999999999999978</v>
      </c>
      <c r="BK126" s="74">
        <f>[1]节奏总纲!BK126</f>
        <v>3.5699999999999976</v>
      </c>
      <c r="BL126" s="74">
        <f>[1]节奏总纲!BL126</f>
        <v>3.7099999999999977</v>
      </c>
      <c r="BM126" s="74">
        <f>[1]节奏总纲!BM126</f>
        <v>3.9899999999999971</v>
      </c>
      <c r="BN126" s="74">
        <f>[1]节奏总纲!BN126</f>
        <v>4.8999999999999968</v>
      </c>
      <c r="BO126" s="74"/>
      <c r="BP126" s="74"/>
      <c r="BQ126" s="74"/>
      <c r="BR126" s="74"/>
      <c r="BS126" s="74"/>
      <c r="BT126" s="74"/>
      <c r="BU126" s="74"/>
      <c r="BV126" s="74"/>
      <c r="BW126" s="74">
        <f>[1]节奏总纲!BW126</f>
        <v>123</v>
      </c>
      <c r="BX126" s="74">
        <f>[1]节奏总纲!BX126</f>
        <v>64.610477430073331</v>
      </c>
      <c r="BY126" s="74">
        <f>[1]节奏总纲!BY126</f>
        <v>65.024741214672602</v>
      </c>
      <c r="BZ126" s="74">
        <f>[1]节奏总纲!BZ126</f>
        <v>65.447726095039712</v>
      </c>
      <c r="CA126" s="74">
        <f>[1]节奏总纲!CA126</f>
        <v>65.933069314785968</v>
      </c>
      <c r="CB126" s="74">
        <f>[1]节奏总纲!CB126</f>
        <v>66.431751354934946</v>
      </c>
      <c r="CC126" s="74">
        <f>[1]节奏总纲!CC126</f>
        <v>66.431751354934946</v>
      </c>
    </row>
    <row r="127" spans="6:81" x14ac:dyDescent="0.15">
      <c r="F127" s="4">
        <f>[1]节奏总纲!F127</f>
        <v>125</v>
      </c>
      <c r="G127" s="4">
        <f>[1]节奏总纲!G127</f>
        <v>5791.6187514801986</v>
      </c>
      <c r="N127" s="74">
        <f>[1]节奏总纲!N127</f>
        <v>134</v>
      </c>
      <c r="O127" s="74">
        <f>[1]节奏总纲!O127</f>
        <v>124</v>
      </c>
      <c r="P127" s="74">
        <f>[1]节奏总纲!P127</f>
        <v>5403.704402525771</v>
      </c>
      <c r="Q127" s="74">
        <f>[1]节奏总纲!Q127</f>
        <v>4591.5276308261473</v>
      </c>
      <c r="R127" s="74">
        <f>[1]节奏总纲!R127</f>
        <v>3671.276771076009</v>
      </c>
      <c r="S127" s="74">
        <f>[1]节奏总纲!S127</f>
        <v>2624.0388578665143</v>
      </c>
      <c r="T127" s="74">
        <f>[1]节奏总纲!T127</f>
        <v>1415.7705534617521</v>
      </c>
      <c r="U127" s="74"/>
      <c r="V127" s="74">
        <f>[1]节奏总纲!V127</f>
        <v>124</v>
      </c>
      <c r="W127" s="74">
        <f>[1]节奏总纲!W127</f>
        <v>361.93688546499288</v>
      </c>
      <c r="X127" s="74">
        <f>[1]节奏总纲!X127</f>
        <v>315.6045996069015</v>
      </c>
      <c r="Y127" s="74">
        <f>[1]节奏总纲!Y127</f>
        <v>251.44586425368334</v>
      </c>
      <c r="Z127" s="74">
        <f>[1]节奏总纲!Z127</f>
        <v>181.30249585056754</v>
      </c>
      <c r="AA127" s="74">
        <f>[1]节奏总纲!AA127</f>
        <v>99.365054757182861</v>
      </c>
      <c r="AC127" s="4">
        <f>[1]节奏总纲!AC127</f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f>[1]节奏总纲!AZ127</f>
        <v>124</v>
      </c>
      <c r="BA127" s="4">
        <f>[1]节奏总纲!BA127</f>
        <v>39.466427021209874</v>
      </c>
      <c r="BB127" s="4">
        <f>[1]节奏总纲!BB127</f>
        <v>40.984830450008978</v>
      </c>
      <c r="BC127" s="4">
        <f>[1]节奏总纲!BC127</f>
        <v>42.919258427523964</v>
      </c>
      <c r="BD127" s="4">
        <f>[1]节奏总纲!BD127</f>
        <v>45.646073769279901</v>
      </c>
      <c r="BE127" s="4">
        <f>[1]节奏总纲!BE127</f>
        <v>50.340094453890082</v>
      </c>
      <c r="BI127" s="74">
        <f>[1]节奏总纲!BI127</f>
        <v>124</v>
      </c>
      <c r="BJ127" s="74">
        <f>[1]节奏总纲!BJ127</f>
        <v>3.4999999999999978</v>
      </c>
      <c r="BK127" s="74">
        <f>[1]节奏总纲!BK127</f>
        <v>3.5699999999999976</v>
      </c>
      <c r="BL127" s="74">
        <f>[1]节奏总纲!BL127</f>
        <v>3.7099999999999977</v>
      </c>
      <c r="BM127" s="74">
        <f>[1]节奏总纲!BM127</f>
        <v>3.9899999999999971</v>
      </c>
      <c r="BN127" s="74">
        <f>[1]节奏总纲!BN127</f>
        <v>4.8999999999999968</v>
      </c>
      <c r="BO127" s="74"/>
      <c r="BP127" s="74"/>
      <c r="BQ127" s="74"/>
      <c r="BR127" s="74"/>
      <c r="BS127" s="74"/>
      <c r="BT127" s="74"/>
      <c r="BU127" s="74"/>
      <c r="BV127" s="74"/>
      <c r="BW127" s="74">
        <f>[1]节奏总纲!BW127</f>
        <v>124</v>
      </c>
      <c r="BX127" s="74">
        <f>[1]节奏总纲!BX127</f>
        <v>65.094839190509248</v>
      </c>
      <c r="BY127" s="74">
        <f>[1]节奏总纲!BY127</f>
        <v>65.495043356939604</v>
      </c>
      <c r="BZ127" s="74">
        <f>[1]节奏总纲!BZ127</f>
        <v>65.947319695259623</v>
      </c>
      <c r="CA127" s="74">
        <f>[1]节奏总纲!CA127</f>
        <v>66.409155912065103</v>
      </c>
      <c r="CB127" s="74">
        <f>[1]节奏总纲!CB127</f>
        <v>66.943644127984214</v>
      </c>
      <c r="CC127" s="74">
        <f>[1]节奏总纲!CC127</f>
        <v>66.943644127984214</v>
      </c>
    </row>
    <row r="128" spans="6:81" x14ac:dyDescent="0.15">
      <c r="F128" s="4">
        <f>[1]节奏总纲!F128</f>
        <v>126</v>
      </c>
      <c r="G128" s="4">
        <f>[1]节奏总纲!G128</f>
        <v>6207.3750564265865</v>
      </c>
      <c r="N128" s="74">
        <f>[1]节奏总纲!N128</f>
        <v>135</v>
      </c>
      <c r="O128" s="74">
        <f>[1]节奏总纲!O128</f>
        <v>125</v>
      </c>
      <c r="P128" s="74">
        <f>[1]节奏总纲!P128</f>
        <v>5791.6187514801986</v>
      </c>
      <c r="Q128" s="74">
        <f>[1]节奏总纲!Q128</f>
        <v>4918.821805632133</v>
      </c>
      <c r="R128" s="74">
        <f>[1]节奏总纲!R128</f>
        <v>3940.0382366319791</v>
      </c>
      <c r="S128" s="74">
        <f>[1]节奏总纲!S128</f>
        <v>2816.4641988448207</v>
      </c>
      <c r="T128" s="74">
        <f>[1]节奏总纲!T128</f>
        <v>1509.8750085108877</v>
      </c>
      <c r="U128" s="74"/>
      <c r="V128" s="74">
        <f>[1]节奏总纲!V128</f>
        <v>125</v>
      </c>
      <c r="W128" s="74">
        <f>[1]节奏总纲!W128</f>
        <v>387.91434895442762</v>
      </c>
      <c r="X128" s="74">
        <f>[1]节奏总纲!X128</f>
        <v>327.29417480598568</v>
      </c>
      <c r="Y128" s="74">
        <f>[1]节奏总纲!Y128</f>
        <v>268.76146555597006</v>
      </c>
      <c r="Z128" s="74">
        <f>[1]节奏总纲!Z128</f>
        <v>192.42534097830639</v>
      </c>
      <c r="AA128" s="74">
        <f>[1]节奏总纲!AA128</f>
        <v>94.104455049135595</v>
      </c>
      <c r="AC128" s="4">
        <f>[1]节奏总纲!AC128</f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f>[1]节奏总纲!AZ128</f>
        <v>125</v>
      </c>
      <c r="BA128" s="4">
        <f>[1]节奏总纲!BA128</f>
        <v>39.520459727922798</v>
      </c>
      <c r="BB128" s="4">
        <f>[1]节奏总纲!BB128</f>
        <v>41.037193447861313</v>
      </c>
      <c r="BC128" s="4">
        <f>[1]节奏总纲!BC128</f>
        <v>42.977113019069073</v>
      </c>
      <c r="BD128" s="4">
        <f>[1]节奏总纲!BD128</f>
        <v>45.701865977335167</v>
      </c>
      <c r="BE128" s="4">
        <f>[1]节奏总纲!BE128</f>
        <v>50.393610496988437</v>
      </c>
      <c r="BI128" s="74">
        <f>[1]节奏总纲!BI128</f>
        <v>125</v>
      </c>
      <c r="BJ128" s="74">
        <f>[1]节奏总纲!BJ128</f>
        <v>3.4999999999999978</v>
      </c>
      <c r="BK128" s="74">
        <f>[1]节奏总纲!BK128</f>
        <v>3.5699999999999976</v>
      </c>
      <c r="BL128" s="74">
        <f>[1]节奏总纲!BL128</f>
        <v>3.7099999999999977</v>
      </c>
      <c r="BM128" s="74">
        <f>[1]节奏总纲!BM128</f>
        <v>3.9899999999999971</v>
      </c>
      <c r="BN128" s="74">
        <f>[1]节奏总纲!BN128</f>
        <v>4.8999999999999968</v>
      </c>
      <c r="BO128" s="74"/>
      <c r="BP128" s="74"/>
      <c r="BQ128" s="74"/>
      <c r="BR128" s="74"/>
      <c r="BS128" s="74"/>
      <c r="BT128" s="74"/>
      <c r="BU128" s="74"/>
      <c r="BV128" s="74"/>
      <c r="BW128" s="74">
        <f>[1]节奏总纲!BW128</f>
        <v>125</v>
      </c>
      <c r="BX128" s="74">
        <f>[1]节奏总纲!BX128</f>
        <v>65.557283526381681</v>
      </c>
      <c r="BY128" s="74">
        <f>[1]节奏总纲!BY128</f>
        <v>65.98276486592421</v>
      </c>
      <c r="BZ128" s="74">
        <f>[1]节奏总纲!BZ128</f>
        <v>66.4159903320772</v>
      </c>
      <c r="CA128" s="74">
        <f>[1]节奏总纲!CA128</f>
        <v>66.904808743128513</v>
      </c>
      <c r="CB128" s="74">
        <f>[1]节奏总纲!CB128</f>
        <v>67.370305760801529</v>
      </c>
      <c r="CC128" s="74">
        <f>[1]节奏总纲!CC128</f>
        <v>67.370305760801529</v>
      </c>
    </row>
    <row r="129" spans="6:81" x14ac:dyDescent="0.15">
      <c r="F129" s="4">
        <f>[1]节奏总纲!F129</f>
        <v>127</v>
      </c>
      <c r="G129" s="4">
        <f>[1]节奏总纲!G129</f>
        <v>6652.971630950271</v>
      </c>
      <c r="N129" s="74">
        <f>[1]节奏总纲!N129</f>
        <v>136</v>
      </c>
      <c r="O129" s="74">
        <f>[1]节奏总纲!O129</f>
        <v>126</v>
      </c>
      <c r="P129" s="74">
        <f>[1]节奏总纲!P129</f>
        <v>6207.3750564265865</v>
      </c>
      <c r="Q129" s="74">
        <f>[1]节奏总纲!Q129</f>
        <v>5279.3724854908123</v>
      </c>
      <c r="R129" s="74">
        <f>[1]节奏总纲!R129</f>
        <v>4225.9809384152195</v>
      </c>
      <c r="S129" s="74">
        <f>[1]节奏总纲!S129</f>
        <v>3006.8524773330387</v>
      </c>
      <c r="T129" s="74">
        <f>[1]节奏总纲!T129</f>
        <v>1610.1930896370566</v>
      </c>
      <c r="U129" s="74"/>
      <c r="V129" s="74">
        <f>[1]节奏总纲!V129</f>
        <v>126</v>
      </c>
      <c r="W129" s="74">
        <f>[1]节奏总纲!W129</f>
        <v>415.7563049463879</v>
      </c>
      <c r="X129" s="74">
        <f>[1]节奏总纲!X129</f>
        <v>360.55067985867936</v>
      </c>
      <c r="Y129" s="74">
        <f>[1]节奏总纲!Y129</f>
        <v>285.94270178324041</v>
      </c>
      <c r="Z129" s="74">
        <f>[1]节奏总纲!Z129</f>
        <v>190.38827848821802</v>
      </c>
      <c r="AA129" s="74">
        <f>[1]节奏总纲!AA129</f>
        <v>100.31808112616886</v>
      </c>
      <c r="AC129" s="4">
        <f>[1]节奏总纲!AC129</f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f>[1]节奏总纲!AZ129</f>
        <v>126</v>
      </c>
      <c r="BA129" s="4">
        <f>[1]节奏总纲!BA129</f>
        <v>39.574492434635722</v>
      </c>
      <c r="BB129" s="4">
        <f>[1]节奏总纲!BB129</f>
        <v>41.087476216725996</v>
      </c>
      <c r="BC129" s="4">
        <f>[1]节奏总纲!BC129</f>
        <v>43.030177309109042</v>
      </c>
      <c r="BD129" s="4">
        <f>[1]节奏总纲!BD129</f>
        <v>45.757658185390426</v>
      </c>
      <c r="BE129" s="4">
        <f>[1]节奏总纲!BE129</f>
        <v>50.447126540086799</v>
      </c>
      <c r="BI129" s="74">
        <f>[1]节奏总纲!BI129</f>
        <v>126</v>
      </c>
      <c r="BJ129" s="74">
        <f>[1]节奏总纲!BJ129</f>
        <v>3.4999999999999978</v>
      </c>
      <c r="BK129" s="74">
        <f>[1]节奏总纲!BK129</f>
        <v>3.5699999999999976</v>
      </c>
      <c r="BL129" s="74">
        <f>[1]节奏总纲!BL129</f>
        <v>3.7099999999999977</v>
      </c>
      <c r="BM129" s="74">
        <f>[1]节奏总纲!BM129</f>
        <v>3.9899999999999971</v>
      </c>
      <c r="BN129" s="74">
        <f>[1]节奏总纲!BN129</f>
        <v>4.8999999999999968</v>
      </c>
      <c r="BO129" s="74"/>
      <c r="BP129" s="74"/>
      <c r="BQ129" s="74"/>
      <c r="BR129" s="74"/>
      <c r="BS129" s="74"/>
      <c r="BT129" s="74"/>
      <c r="BU129" s="74"/>
      <c r="BV129" s="74"/>
      <c r="BW129" s="74">
        <f>[1]节奏总纲!BW129</f>
        <v>126</v>
      </c>
      <c r="BX129" s="74">
        <f>[1]节奏总纲!BX129</f>
        <v>66.045736622847244</v>
      </c>
      <c r="BY129" s="74">
        <f>[1]节奏总纲!BY129</f>
        <v>66.44946074184756</v>
      </c>
      <c r="BZ129" s="74">
        <f>[1]节奏总纲!BZ129</f>
        <v>66.907014743381254</v>
      </c>
      <c r="CA129" s="74">
        <f>[1]节奏总纲!CA129</f>
        <v>67.341591574598297</v>
      </c>
      <c r="CB129" s="74">
        <f>[1]节奏总纲!CB129</f>
        <v>67.816988171637291</v>
      </c>
      <c r="CC129" s="74">
        <f>[1]节奏总纲!CC129</f>
        <v>67.816988171637291</v>
      </c>
    </row>
    <row r="130" spans="6:81" x14ac:dyDescent="0.15">
      <c r="F130" s="4">
        <f>[1]节奏总纲!F130</f>
        <v>128</v>
      </c>
      <c r="G130" s="4">
        <f>[1]节奏总纲!G130</f>
        <v>7130.5502145218443</v>
      </c>
      <c r="N130" s="74">
        <f>[1]节奏总纲!N130</f>
        <v>137</v>
      </c>
      <c r="O130" s="74">
        <f>[1]节奏总纲!O130</f>
        <v>127</v>
      </c>
      <c r="P130" s="74">
        <f>[1]节奏总纲!P130</f>
        <v>6652.971630950271</v>
      </c>
      <c r="Q130" s="74">
        <f>[1]节奏总纲!Q130</f>
        <v>5658.3523721232059</v>
      </c>
      <c r="R130" s="74">
        <f>[1]节奏总纲!R130</f>
        <v>4508.7188742949984</v>
      </c>
      <c r="S130" s="74">
        <f>[1]节奏总纲!S130</f>
        <v>3203.4058403025556</v>
      </c>
      <c r="T130" s="74">
        <f>[1]节奏总纲!T130</f>
        <v>1719.793166600645</v>
      </c>
      <c r="U130" s="74"/>
      <c r="V130" s="74">
        <f>[1]节奏总纲!V130</f>
        <v>127</v>
      </c>
      <c r="W130" s="74">
        <f>[1]节奏总纲!W130</f>
        <v>445.59657452368447</v>
      </c>
      <c r="X130" s="74">
        <f>[1]节奏总纲!X130</f>
        <v>378.97988663239357</v>
      </c>
      <c r="Y130" s="74">
        <f>[1]节奏总纲!Y130</f>
        <v>282.73793587977889</v>
      </c>
      <c r="Z130" s="74">
        <f>[1]节奏总纲!Z130</f>
        <v>196.55336296951691</v>
      </c>
      <c r="AA130" s="74">
        <f>[1]节奏总纲!AA130</f>
        <v>109.60007696358844</v>
      </c>
      <c r="AC130" s="4">
        <f>[1]节奏总纲!AC130</f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f>[1]节奏总纲!AZ130</f>
        <v>127</v>
      </c>
      <c r="BA130" s="4">
        <f>[1]节奏总纲!BA130</f>
        <v>39.628525141348646</v>
      </c>
      <c r="BB130" s="4">
        <f>[1]节奏总纲!BB130</f>
        <v>41.137758985590679</v>
      </c>
      <c r="BC130" s="4">
        <f>[1]节奏总纲!BC130</f>
        <v>43.080106253688569</v>
      </c>
      <c r="BD130" s="4">
        <f>[1]节奏总纲!BD130</f>
        <v>45.813450393445684</v>
      </c>
      <c r="BE130" s="4">
        <f>[1]节奏总纲!BE130</f>
        <v>50.500642583185162</v>
      </c>
      <c r="BI130" s="74">
        <f>[1]节奏总纲!BI130</f>
        <v>127</v>
      </c>
      <c r="BJ130" s="74">
        <f>[1]节奏总纲!BJ130</f>
        <v>3.4999999999999978</v>
      </c>
      <c r="BK130" s="74">
        <f>[1]节奏总纲!BK130</f>
        <v>3.5699999999999976</v>
      </c>
      <c r="BL130" s="74">
        <f>[1]节奏总纲!BL130</f>
        <v>3.7099999999999977</v>
      </c>
      <c r="BM130" s="74">
        <f>[1]节奏总纲!BM130</f>
        <v>3.9899999999999971</v>
      </c>
      <c r="BN130" s="74">
        <f>[1]节奏总纲!BN130</f>
        <v>4.8999999999999968</v>
      </c>
      <c r="BO130" s="74"/>
      <c r="BP130" s="74"/>
      <c r="BQ130" s="74"/>
      <c r="BR130" s="74"/>
      <c r="BS130" s="74"/>
      <c r="BT130" s="74"/>
      <c r="BU130" s="74"/>
      <c r="BV130" s="74"/>
      <c r="BW130" s="74">
        <f>[1]节奏总纲!BW130</f>
        <v>127</v>
      </c>
      <c r="BX130" s="74">
        <f>[1]节奏总纲!BX130</f>
        <v>66.504847055084383</v>
      </c>
      <c r="BY130" s="74">
        <f>[1]节奏总纲!BY130</f>
        <v>66.937552520119667</v>
      </c>
      <c r="BZ130" s="74">
        <f>[1]节奏总纲!BZ130</f>
        <v>67.339276425805934</v>
      </c>
      <c r="CA130" s="74">
        <f>[1]节奏总纲!CA130</f>
        <v>67.779184324795935</v>
      </c>
      <c r="CB130" s="74">
        <f>[1]节奏总纲!CB130</f>
        <v>68.263631118638116</v>
      </c>
      <c r="CC130" s="74">
        <f>[1]节奏总纲!CC130</f>
        <v>68.263631118638116</v>
      </c>
    </row>
    <row r="131" spans="6:81" x14ac:dyDescent="0.15">
      <c r="F131" s="4">
        <f>[1]节奏总纲!F131</f>
        <v>129</v>
      </c>
      <c r="G131" s="4">
        <f>[1]节奏总纲!G131</f>
        <v>7642.4062666695281</v>
      </c>
      <c r="N131" s="74">
        <f>[1]节奏总纲!N131</f>
        <v>138</v>
      </c>
      <c r="O131" s="74">
        <f>[1]节奏总纲!O131</f>
        <v>128</v>
      </c>
      <c r="P131" s="74">
        <f>[1]节奏总纲!P131</f>
        <v>7130.5502145218443</v>
      </c>
      <c r="Q131" s="74">
        <f>[1]节奏总纲!Q131</f>
        <v>6036.010756592741</v>
      </c>
      <c r="R131" s="74">
        <f>[1]节奏总纲!R131</f>
        <v>4805.9908445877236</v>
      </c>
      <c r="S131" s="74">
        <f>[1]节奏总纲!S131</f>
        <v>3419.0988278632244</v>
      </c>
      <c r="T131" s="74">
        <f>[1]节奏总纲!T131</f>
        <v>1838.9689003251838</v>
      </c>
      <c r="U131" s="74"/>
      <c r="V131" s="74">
        <f>[1]节奏总纲!V131</f>
        <v>128</v>
      </c>
      <c r="W131" s="74">
        <f>[1]节奏总纲!W131</f>
        <v>477.57858357157329</v>
      </c>
      <c r="X131" s="74">
        <f>[1]节奏总纲!X131</f>
        <v>377.65838446953512</v>
      </c>
      <c r="Y131" s="74">
        <f>[1]节奏总纲!Y131</f>
        <v>297.2719702927252</v>
      </c>
      <c r="Z131" s="74">
        <f>[1]节奏总纲!Z131</f>
        <v>215.69298756066883</v>
      </c>
      <c r="AA131" s="74">
        <f>[1]节奏总纲!AA131</f>
        <v>119.17573372453876</v>
      </c>
      <c r="AC131" s="4">
        <f>[1]节奏总纲!AC131</f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f>[1]节奏总纲!AZ131</f>
        <v>128</v>
      </c>
      <c r="BA131" s="4">
        <f>[1]节奏总纲!BA131</f>
        <v>39.68255784806157</v>
      </c>
      <c r="BB131" s="4">
        <f>[1]节奏总纲!BB131</f>
        <v>41.188041754455355</v>
      </c>
      <c r="BC131" s="4">
        <f>[1]节奏总纲!BC131</f>
        <v>43.130035198268104</v>
      </c>
      <c r="BD131" s="4">
        <f>[1]节奏总纲!BD131</f>
        <v>45.869242601500943</v>
      </c>
      <c r="BE131" s="4">
        <f>[1]节奏总纲!BE131</f>
        <v>50.554158626283517</v>
      </c>
      <c r="BI131" s="74">
        <f>[1]节奏总纲!BI131</f>
        <v>128</v>
      </c>
      <c r="BJ131" s="74">
        <f>[1]节奏总纲!BJ131</f>
        <v>3.4999999999999978</v>
      </c>
      <c r="BK131" s="74">
        <f>[1]节奏总纲!BK131</f>
        <v>3.5699999999999976</v>
      </c>
      <c r="BL131" s="74">
        <f>[1]节奏总纲!BL131</f>
        <v>3.7099999999999977</v>
      </c>
      <c r="BM131" s="74">
        <f>[1]节奏总纲!BM131</f>
        <v>3.9899999999999971</v>
      </c>
      <c r="BN131" s="74">
        <f>[1]节奏总纲!BN131</f>
        <v>4.8999999999999968</v>
      </c>
      <c r="BO131" s="74"/>
      <c r="BP131" s="74"/>
      <c r="BQ131" s="74"/>
      <c r="BR131" s="74"/>
      <c r="BS131" s="74"/>
      <c r="BT131" s="74"/>
      <c r="BU131" s="74"/>
      <c r="BV131" s="74"/>
      <c r="BW131" s="74">
        <f>[1]节奏总纲!BW131</f>
        <v>128</v>
      </c>
      <c r="BX131" s="74">
        <f>[1]节奏总纲!BX131</f>
        <v>66.996909432729709</v>
      </c>
      <c r="BY131" s="74">
        <f>[1]节奏总纲!BY131</f>
        <v>67.366421618366019</v>
      </c>
      <c r="BZ131" s="74">
        <f>[1]节奏总纲!BZ131</f>
        <v>67.780493532013153</v>
      </c>
      <c r="CA131" s="74">
        <f>[1]节奏总纲!CA131</f>
        <v>68.224205790273416</v>
      </c>
      <c r="CB131" s="74">
        <f>[1]节奏总纲!CB131</f>
        <v>68.722305062357819</v>
      </c>
      <c r="CC131" s="74">
        <f>[1]节奏总纲!CC131</f>
        <v>68.722305062357819</v>
      </c>
    </row>
    <row r="132" spans="6:81" x14ac:dyDescent="0.15">
      <c r="F132" s="4">
        <f>[1]节奏总纲!F132</f>
        <v>130</v>
      </c>
      <c r="G132" s="4">
        <f>[1]节奏总纲!G132</f>
        <v>8191</v>
      </c>
      <c r="N132" s="74">
        <f>[1]节奏总纲!N132</f>
        <v>139</v>
      </c>
      <c r="O132" s="74">
        <f>[1]节奏总纲!O132</f>
        <v>129</v>
      </c>
      <c r="P132" s="74">
        <f>[1]节奏总纲!P132</f>
        <v>7642.4062666695281</v>
      </c>
      <c r="Q132" s="74">
        <f>[1]节奏总纲!Q132</f>
        <v>6469.2969047357556</v>
      </c>
      <c r="R132" s="74">
        <f>[1]节奏总纲!R132</f>
        <v>5159.388470628599</v>
      </c>
      <c r="S132" s="74">
        <f>[1]节奏总纲!S132</f>
        <v>3676.7616548947103</v>
      </c>
      <c r="T132" s="74">
        <f>[1]节奏总纲!T132</f>
        <v>1975.5620199340731</v>
      </c>
      <c r="U132" s="74"/>
      <c r="V132" s="74">
        <f>[1]节奏总纲!V132</f>
        <v>129</v>
      </c>
      <c r="W132" s="74">
        <f>[1]节奏总纲!W132</f>
        <v>511.85605214768384</v>
      </c>
      <c r="X132" s="74">
        <f>[1]节奏总纲!X132</f>
        <v>433.28614814301454</v>
      </c>
      <c r="Y132" s="74">
        <f>[1]节奏总纲!Y132</f>
        <v>353.39762604087537</v>
      </c>
      <c r="Z132" s="74">
        <f>[1]节奏总纲!Z132</f>
        <v>257.6628270314859</v>
      </c>
      <c r="AA132" s="74">
        <f>[1]节奏总纲!AA132</f>
        <v>136.59311960888931</v>
      </c>
      <c r="AC132" s="4">
        <f>[1]节奏总纲!AC132</f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f>[1]节奏总纲!AZ132</f>
        <v>129</v>
      </c>
      <c r="BA132" s="4">
        <f>[1]节奏总纲!BA132</f>
        <v>39.736590554774494</v>
      </c>
      <c r="BB132" s="4">
        <f>[1]节奏总纲!BB132</f>
        <v>41.238324523320038</v>
      </c>
      <c r="BC132" s="4">
        <f>[1]节奏总纲!BC132</f>
        <v>43.179964142847631</v>
      </c>
      <c r="BD132" s="4">
        <f>[1]节奏总纲!BD132</f>
        <v>45.925034809556202</v>
      </c>
      <c r="BE132" s="4">
        <f>[1]节奏总纲!BE132</f>
        <v>50.607674669381879</v>
      </c>
      <c r="BI132" s="74">
        <f>[1]节奏总纲!BI132</f>
        <v>129</v>
      </c>
      <c r="BJ132" s="74">
        <f>[1]节奏总纲!BJ132</f>
        <v>3.4999999999999978</v>
      </c>
      <c r="BK132" s="74">
        <f>[1]节奏总纲!BK132</f>
        <v>3.5699999999999976</v>
      </c>
      <c r="BL132" s="74">
        <f>[1]节奏总纲!BL132</f>
        <v>3.7099999999999977</v>
      </c>
      <c r="BM132" s="74">
        <f>[1]节奏总纲!BM132</f>
        <v>3.9899999999999971</v>
      </c>
      <c r="BN132" s="74">
        <f>[1]节奏总纲!BN132</f>
        <v>4.8999999999999968</v>
      </c>
      <c r="BO132" s="74"/>
      <c r="BP132" s="74"/>
      <c r="BQ132" s="74"/>
      <c r="BR132" s="74"/>
      <c r="BS132" s="74"/>
      <c r="BT132" s="74"/>
      <c r="BU132" s="74"/>
      <c r="BV132" s="74"/>
      <c r="BW132" s="74">
        <f>[1]节奏总纲!BW132</f>
        <v>129</v>
      </c>
      <c r="BX132" s="74">
        <f>[1]节奏总纲!BX132</f>
        <v>67.453153062113969</v>
      </c>
      <c r="BY132" s="74">
        <f>[1]节奏总纲!BY132</f>
        <v>67.848740705467691</v>
      </c>
      <c r="BZ132" s="74">
        <f>[1]节奏总纲!BZ132</f>
        <v>68.263642627369293</v>
      </c>
      <c r="CA132" s="74">
        <f>[1]节奏总纲!CA132</f>
        <v>68.720041734936714</v>
      </c>
      <c r="CB132" s="74">
        <f>[1]节奏总纲!CB132</f>
        <v>69.214384865866279</v>
      </c>
      <c r="CC132" s="74">
        <f>[1]节奏总纲!CC132</f>
        <v>69.214384865866279</v>
      </c>
    </row>
    <row r="133" spans="6:81" x14ac:dyDescent="0.15">
      <c r="F133" s="4">
        <f>[1]节奏总纲!F133</f>
        <v>131</v>
      </c>
      <c r="G133" s="4">
        <f>[1]节奏总纲!G133</f>
        <v>8778.9682050973151</v>
      </c>
      <c r="N133" s="74">
        <f>[1]节奏总纲!N133</f>
        <v>140</v>
      </c>
      <c r="O133" s="74">
        <f>[1]节奏总纲!O133</f>
        <v>130</v>
      </c>
      <c r="P133" s="74">
        <f>[1]节奏总纲!P133</f>
        <v>8191</v>
      </c>
      <c r="Q133" s="74">
        <f>[1]节奏总纲!Q133</f>
        <v>6941.8725000000004</v>
      </c>
      <c r="R133" s="74">
        <f>[1]节奏总纲!R133</f>
        <v>5542.0306</v>
      </c>
      <c r="S133" s="74">
        <f>[1]节奏总纲!S133</f>
        <v>3951.3384000000001</v>
      </c>
      <c r="T133" s="74">
        <f>[1]节奏总纲!T133</f>
        <v>2124.7454000000002</v>
      </c>
      <c r="U133" s="74"/>
      <c r="V133" s="74">
        <f>[1]节奏总纲!V133</f>
        <v>130</v>
      </c>
      <c r="W133" s="74">
        <f>[1]节奏总纲!W133</f>
        <v>548.59373333047188</v>
      </c>
      <c r="X133" s="74">
        <f>[1]节奏总纲!X133</f>
        <v>472.57559526424484</v>
      </c>
      <c r="Y133" s="74">
        <f>[1]节奏总纲!Y133</f>
        <v>382.6421293714011</v>
      </c>
      <c r="Z133" s="74">
        <f>[1]节奏总纲!Z133</f>
        <v>274.57674510528977</v>
      </c>
      <c r="AA133" s="74">
        <f>[1]节奏总纲!AA133</f>
        <v>149.18338006592717</v>
      </c>
      <c r="AC133" s="4">
        <f>[1]节奏总纲!AC133</f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f>[1]节奏总纲!AZ133</f>
        <v>130</v>
      </c>
      <c r="BA133" s="4">
        <f>[1]节奏总纲!BA133</f>
        <v>39.790623261487418</v>
      </c>
      <c r="BB133" s="4">
        <f>[1]节奏总纲!BB133</f>
        <v>41.288607292184714</v>
      </c>
      <c r="BC133" s="4">
        <f>[1]节奏总纲!BC133</f>
        <v>43.229893087427158</v>
      </c>
      <c r="BD133" s="4">
        <f>[1]节奏总纲!BD133</f>
        <v>45.98082701761146</v>
      </c>
      <c r="BE133" s="4">
        <f>[1]节奏总纲!BE133</f>
        <v>50.661190712480241</v>
      </c>
      <c r="BI133" s="74">
        <f>[1]节奏总纲!BI133</f>
        <v>130</v>
      </c>
      <c r="BJ133" s="74">
        <f>[1]节奏总纲!BJ133</f>
        <v>3.4999999999999978</v>
      </c>
      <c r="BK133" s="74">
        <f>[1]节奏总纲!BK133</f>
        <v>3.5699999999999976</v>
      </c>
      <c r="BL133" s="74">
        <f>[1]节奏总纲!BL133</f>
        <v>3.7099999999999977</v>
      </c>
      <c r="BM133" s="74">
        <f>[1]节奏总纲!BM133</f>
        <v>3.9899999999999971</v>
      </c>
      <c r="BN133" s="74">
        <f>[1]节奏总纲!BN133</f>
        <v>4.8999999999999968</v>
      </c>
      <c r="BO133" s="74"/>
      <c r="BP133" s="74"/>
      <c r="BQ133" s="74"/>
      <c r="BR133" s="74"/>
      <c r="BS133" s="74"/>
      <c r="BT133" s="74"/>
      <c r="BU133" s="74"/>
      <c r="BV133" s="74"/>
      <c r="BW133" s="74">
        <f>[1]节奏总纲!BW133</f>
        <v>130</v>
      </c>
      <c r="BX133" s="74">
        <f>[1]节奏总纲!BX133</f>
        <v>67.941693450092984</v>
      </c>
      <c r="BY133" s="74">
        <f>[1]节奏总纲!BY133</f>
        <v>68.323959633193709</v>
      </c>
      <c r="BZ133" s="74">
        <f>[1]节奏总纲!BZ133</f>
        <v>68.754536673852911</v>
      </c>
      <c r="CA133" s="74">
        <f>[1]节奏总纲!CA133</f>
        <v>69.214741439167099</v>
      </c>
      <c r="CB133" s="74">
        <f>[1]节奏总纲!CB133</f>
        <v>69.710697401213693</v>
      </c>
      <c r="CC133" s="74">
        <f>[1]节奏总纲!CC133</f>
        <v>69.710697401213693</v>
      </c>
    </row>
    <row r="134" spans="6:81" x14ac:dyDescent="0.15">
      <c r="F134" s="4">
        <f>[1]节奏总纲!F134</f>
        <v>132</v>
      </c>
      <c r="G134" s="4">
        <f>[1]节奏总纲!G134</f>
        <v>9409.1369241357042</v>
      </c>
      <c r="N134" s="74">
        <f>[1]节奏总纲!N134</f>
        <v>141</v>
      </c>
      <c r="O134" s="74">
        <f>[1]节奏总纲!O134</f>
        <v>131</v>
      </c>
      <c r="P134" s="74">
        <f>[1]节奏总纲!P134</f>
        <v>8778.9682050973151</v>
      </c>
      <c r="Q134" s="74">
        <f>[1]节奏总纲!Q134</f>
        <v>7443.6871411020138</v>
      </c>
      <c r="R134" s="74">
        <f>[1]节奏总纲!R134</f>
        <v>5945.117268491902</v>
      </c>
      <c r="S134" s="74">
        <f>[1]节奏总纲!S134</f>
        <v>4244.6311271645518</v>
      </c>
      <c r="T134" s="74">
        <f>[1]节奏总纲!T134</f>
        <v>2275.5085587612239</v>
      </c>
      <c r="U134" s="74"/>
      <c r="V134" s="74">
        <f>[1]节奏总纲!V134</f>
        <v>131</v>
      </c>
      <c r="W134" s="74">
        <f>[1]节奏总纲!W134</f>
        <v>587.96820509731515</v>
      </c>
      <c r="X134" s="74">
        <f>[1]节奏总纲!X134</f>
        <v>501.81464110201341</v>
      </c>
      <c r="Y134" s="74">
        <f>[1]节奏总纲!Y134</f>
        <v>403.08666849190195</v>
      </c>
      <c r="Z134" s="74">
        <f>[1]节奏总纲!Z134</f>
        <v>293.29272716455171</v>
      </c>
      <c r="AA134" s="74">
        <f>[1]节奏总纲!AA134</f>
        <v>150.76315876122362</v>
      </c>
      <c r="AC134" s="4">
        <f>[1]节奏总纲!AC134</f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f>[1]节奏总纲!AZ134</f>
        <v>131</v>
      </c>
      <c r="BA134" s="4">
        <f>[1]节奏总纲!BA134</f>
        <v>39.844655968200342</v>
      </c>
      <c r="BB134" s="4">
        <f>[1]节奏总纲!BB134</f>
        <v>41.338890061049398</v>
      </c>
      <c r="BC134" s="4">
        <f>[1]节奏总纲!BC134</f>
        <v>43.279822032006692</v>
      </c>
      <c r="BD134" s="4">
        <f>[1]节奏总纲!BD134</f>
        <v>46.031609894814238</v>
      </c>
      <c r="BE134" s="4">
        <f>[1]节奏总纲!BE134</f>
        <v>50.714706755578604</v>
      </c>
      <c r="BI134" s="74">
        <f>[1]节奏总纲!BI134</f>
        <v>131</v>
      </c>
      <c r="BJ134" s="74">
        <f>[1]节奏总纲!BJ134</f>
        <v>3.4999999999999978</v>
      </c>
      <c r="BK134" s="74">
        <f>[1]节奏总纲!BK134</f>
        <v>3.5699999999999976</v>
      </c>
      <c r="BL134" s="74">
        <f>[1]节奏总纲!BL134</f>
        <v>3.7099999999999977</v>
      </c>
      <c r="BM134" s="74">
        <f>[1]节奏总纲!BM134</f>
        <v>3.9899999999999971</v>
      </c>
      <c r="BN134" s="74">
        <f>[1]节奏总纲!BN134</f>
        <v>4.8999999999999968</v>
      </c>
      <c r="BO134" s="74"/>
      <c r="BP134" s="74"/>
      <c r="BQ134" s="74"/>
      <c r="BR134" s="74"/>
      <c r="BS134" s="74"/>
      <c r="BT134" s="74"/>
      <c r="BU134" s="74"/>
      <c r="BV134" s="74"/>
      <c r="BW134" s="74">
        <f>[1]节奏总纲!BW134</f>
        <v>131</v>
      </c>
      <c r="BX134" s="74">
        <f>[1]节奏总纲!BX134</f>
        <v>68.402186838509962</v>
      </c>
      <c r="BY134" s="74">
        <f>[1]节奏总纲!BY134</f>
        <v>68.806795553848815</v>
      </c>
      <c r="BZ134" s="74">
        <f>[1]节奏总纲!BZ134</f>
        <v>69.234824229174819</v>
      </c>
      <c r="CA134" s="74">
        <f>[1]节奏总纲!CA134</f>
        <v>69.702613670489626</v>
      </c>
      <c r="CB134" s="74">
        <f>[1]节奏总纲!CB134</f>
        <v>70.183493178644127</v>
      </c>
      <c r="CC134" s="74">
        <f>[1]节奏总纲!CC134</f>
        <v>70.183493178644127</v>
      </c>
    </row>
    <row r="135" spans="6:81" x14ac:dyDescent="0.15">
      <c r="F135" s="4">
        <f>[1]节奏总纲!F135</f>
        <v>133</v>
      </c>
      <c r="G135" s="4">
        <f>[1]节奏总纲!G135</f>
        <v>10084.535034121556</v>
      </c>
      <c r="N135" s="74">
        <f>[1]节奏总纲!N135</f>
        <v>142</v>
      </c>
      <c r="O135" s="74">
        <f>[1]节奏总纲!O135</f>
        <v>132</v>
      </c>
      <c r="P135" s="74">
        <f>[1]节奏总纲!P135</f>
        <v>9409.1369241357042</v>
      </c>
      <c r="Q135" s="74">
        <f>[1]节奏总纲!Q135</f>
        <v>7983.6526801291457</v>
      </c>
      <c r="R135" s="74">
        <f>[1]节奏总纲!R135</f>
        <v>6385.9812304109018</v>
      </c>
      <c r="S135" s="74">
        <f>[1]节奏总纲!S135</f>
        <v>4544.6131343575453</v>
      </c>
      <c r="T135" s="74">
        <f>[1]节奏总纲!T135</f>
        <v>2431.3209811966663</v>
      </c>
      <c r="U135" s="74"/>
      <c r="V135" s="74">
        <f>[1]节奏总纲!V135</f>
        <v>132</v>
      </c>
      <c r="W135" s="74">
        <f>[1]节奏总纲!W135</f>
        <v>630.1687190383891</v>
      </c>
      <c r="X135" s="74">
        <f>[1]节奏总纲!X135</f>
        <v>539.96553902713185</v>
      </c>
      <c r="Y135" s="74">
        <f>[1]节奏总纲!Y135</f>
        <v>440.86396191899985</v>
      </c>
      <c r="Z135" s="74">
        <f>[1]节奏总纲!Z135</f>
        <v>299.98200719299348</v>
      </c>
      <c r="AA135" s="74">
        <f>[1]节奏总纲!AA135</f>
        <v>155.81242243544239</v>
      </c>
      <c r="AC135" s="4">
        <f>[1]节奏总纲!AC135</f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f>[1]节奏总纲!AZ135</f>
        <v>132</v>
      </c>
      <c r="BA135" s="4">
        <f>[1]节奏总纲!BA135</f>
        <v>39.898688674913267</v>
      </c>
      <c r="BB135" s="4">
        <f>[1]节奏总纲!BB135</f>
        <v>41.389172829914081</v>
      </c>
      <c r="BC135" s="4">
        <f>[1]节奏总纲!BC135</f>
        <v>43.329750976586219</v>
      </c>
      <c r="BD135" s="4">
        <f>[1]节奏总纲!BD135</f>
        <v>46.079770001861057</v>
      </c>
      <c r="BE135" s="4">
        <f>[1]节奏总纲!BE135</f>
        <v>50.768222798676959</v>
      </c>
      <c r="BI135" s="74">
        <f>[1]节奏总纲!BI135</f>
        <v>132</v>
      </c>
      <c r="BJ135" s="74">
        <f>[1]节奏总纲!BJ135</f>
        <v>3.4999999999999978</v>
      </c>
      <c r="BK135" s="74">
        <f>[1]节奏总纲!BK135</f>
        <v>3.5699999999999976</v>
      </c>
      <c r="BL135" s="74">
        <f>[1]节奏总纲!BL135</f>
        <v>3.7099999999999977</v>
      </c>
      <c r="BM135" s="74">
        <f>[1]节奏总纲!BM135</f>
        <v>3.9899999999999971</v>
      </c>
      <c r="BN135" s="74">
        <f>[1]节奏总纲!BN135</f>
        <v>4.8999999999999968</v>
      </c>
      <c r="BO135" s="74"/>
      <c r="BP135" s="74"/>
      <c r="BQ135" s="74"/>
      <c r="BR135" s="74"/>
      <c r="BS135" s="74"/>
      <c r="BT135" s="74"/>
      <c r="BU135" s="74"/>
      <c r="BV135" s="74"/>
      <c r="BW135" s="74">
        <f>[1]节奏总纲!BW135</f>
        <v>132</v>
      </c>
      <c r="BX135" s="74">
        <f>[1]节奏总纲!BX135</f>
        <v>68.887255337837544</v>
      </c>
      <c r="BY135" s="74">
        <f>[1]节奏总纲!BY135</f>
        <v>69.282090336127212</v>
      </c>
      <c r="BZ135" s="74">
        <f>[1]节奏总纲!BZ135</f>
        <v>69.723722100118692</v>
      </c>
      <c r="CA135" s="74">
        <f>[1]节奏总纲!CA135</f>
        <v>70.174284544754997</v>
      </c>
      <c r="CB135" s="74">
        <f>[1]节奏总纲!CB135</f>
        <v>70.631595403974814</v>
      </c>
      <c r="CC135" s="74">
        <f>[1]节奏总纲!CC135</f>
        <v>70.631595403974814</v>
      </c>
    </row>
    <row r="136" spans="6:81" x14ac:dyDescent="0.15">
      <c r="F136" s="4">
        <f>[1]节奏总纲!F136</f>
        <v>134</v>
      </c>
      <c r="G136" s="4">
        <f>[1]节奏总纲!G136</f>
        <v>10808.408805051544</v>
      </c>
      <c r="N136" s="74">
        <f>[1]节奏总纲!N136</f>
        <v>143</v>
      </c>
      <c r="O136" s="74">
        <f>[1]节奏总纲!O136</f>
        <v>133</v>
      </c>
      <c r="P136" s="74">
        <f>[1]节奏总纲!P136</f>
        <v>10084.535034121556</v>
      </c>
      <c r="Q136" s="74">
        <f>[1]节奏总纲!Q136</f>
        <v>8562.7786974726132</v>
      </c>
      <c r="R136" s="74">
        <f>[1]节奏总纲!R136</f>
        <v>6827.2302181002942</v>
      </c>
      <c r="S136" s="74">
        <f>[1]节奏总纲!S136</f>
        <v>4847.6359909022322</v>
      </c>
      <c r="T136" s="74">
        <f>[1]节奏总纲!T136</f>
        <v>2595.759317782889</v>
      </c>
      <c r="U136" s="74"/>
      <c r="V136" s="74">
        <f>[1]节奏总纲!V136</f>
        <v>133</v>
      </c>
      <c r="W136" s="74">
        <f>[1]节奏总纲!W136</f>
        <v>675.39810998585199</v>
      </c>
      <c r="X136" s="74">
        <f>[1]节奏总纲!X136</f>
        <v>579.12601734346754</v>
      </c>
      <c r="Y136" s="74">
        <f>[1]节奏总纲!Y136</f>
        <v>441.24898768939238</v>
      </c>
      <c r="Z136" s="74">
        <f>[1]节奏总纲!Z136</f>
        <v>303.02285654468687</v>
      </c>
      <c r="AA136" s="74">
        <f>[1]节奏总纲!AA136</f>
        <v>164.4383365862227</v>
      </c>
      <c r="AC136" s="4">
        <f>[1]节奏总纲!AC136</f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f>[1]节奏总纲!AZ136</f>
        <v>133</v>
      </c>
      <c r="BA136" s="4">
        <f>[1]节奏总纲!BA136</f>
        <v>39.952721381626191</v>
      </c>
      <c r="BB136" s="4">
        <f>[1]节奏总纲!BB136</f>
        <v>41.439455598778757</v>
      </c>
      <c r="BC136" s="4">
        <f>[1]节奏总纲!BC136</f>
        <v>43.379679921165753</v>
      </c>
      <c r="BD136" s="4">
        <f>[1]节奏总纲!BD136</f>
        <v>46.127930108907876</v>
      </c>
      <c r="BE136" s="4">
        <f>[1]节奏总纲!BE136</f>
        <v>50.821738841775321</v>
      </c>
      <c r="BI136" s="74">
        <f>[1]节奏总纲!BI136</f>
        <v>133</v>
      </c>
      <c r="BJ136" s="74">
        <f>[1]节奏总纲!BJ136</f>
        <v>3.4999999999999978</v>
      </c>
      <c r="BK136" s="74">
        <f>[1]节奏总纲!BK136</f>
        <v>3.5699999999999976</v>
      </c>
      <c r="BL136" s="74">
        <f>[1]节奏总纲!BL136</f>
        <v>3.7099999999999977</v>
      </c>
      <c r="BM136" s="74">
        <f>[1]节奏总纲!BM136</f>
        <v>3.9899999999999971</v>
      </c>
      <c r="BN136" s="74">
        <f>[1]节奏总纲!BN136</f>
        <v>4.8999999999999968</v>
      </c>
      <c r="BO136" s="74"/>
      <c r="BP136" s="74"/>
      <c r="BQ136" s="74"/>
      <c r="BR136" s="74"/>
      <c r="BS136" s="74"/>
      <c r="BT136" s="74"/>
      <c r="BU136" s="74"/>
      <c r="BV136" s="74"/>
      <c r="BW136" s="74">
        <f>[1]节奏总纲!BW136</f>
        <v>133</v>
      </c>
      <c r="BX136" s="74">
        <f>[1]节奏总纲!BX136</f>
        <v>69.351933936401693</v>
      </c>
      <c r="BY136" s="74">
        <f>[1]节奏总纲!BY136</f>
        <v>69.763758437872809</v>
      </c>
      <c r="BZ136" s="74">
        <f>[1]节奏总纲!BZ136</f>
        <v>70.18416857784301</v>
      </c>
      <c r="CA136" s="74">
        <f>[1]节奏总纲!CA136</f>
        <v>70.61001750564904</v>
      </c>
      <c r="CB136" s="74">
        <f>[1]节奏总纲!CB136</f>
        <v>71.090343829912982</v>
      </c>
      <c r="CC136" s="74">
        <f>[1]节奏总纲!CC136</f>
        <v>71.090343829912982</v>
      </c>
    </row>
    <row r="137" spans="6:81" x14ac:dyDescent="0.15">
      <c r="F137" s="4">
        <f>[1]节奏总纲!F137</f>
        <v>135</v>
      </c>
      <c r="G137" s="4">
        <f>[1]节奏总纲!G137</f>
        <v>11584.237502960397</v>
      </c>
      <c r="N137" s="74">
        <f>[1]节奏总纲!N137</f>
        <v>144</v>
      </c>
      <c r="O137" s="74">
        <f>[1]节奏总纲!O137</f>
        <v>134</v>
      </c>
      <c r="P137" s="74">
        <f>[1]节奏总纲!P137</f>
        <v>10808.408805051544</v>
      </c>
      <c r="Q137" s="74">
        <f>[1]节奏总纲!Q137</f>
        <v>9151.4797352371424</v>
      </c>
      <c r="R137" s="74">
        <f>[1]节奏总纲!R137</f>
        <v>7283.7866937242361</v>
      </c>
      <c r="S137" s="74">
        <f>[1]节奏总纲!S137</f>
        <v>5175.0661358586794</v>
      </c>
      <c r="T137" s="74">
        <f>[1]节奏总纲!T137</f>
        <v>2775.5993811372364</v>
      </c>
      <c r="U137" s="74"/>
      <c r="V137" s="74">
        <f>[1]节奏总纲!V137</f>
        <v>134</v>
      </c>
      <c r="W137" s="74">
        <f>[1]节奏总纲!W137</f>
        <v>723.87377092998759</v>
      </c>
      <c r="X137" s="74">
        <f>[1]节奏总纲!X137</f>
        <v>588.70103776452925</v>
      </c>
      <c r="Y137" s="74">
        <f>[1]节奏总纲!Y137</f>
        <v>456.55647562394188</v>
      </c>
      <c r="Z137" s="74">
        <f>[1]节奏总纲!Z137</f>
        <v>327.43014495644729</v>
      </c>
      <c r="AA137" s="74">
        <f>[1]节奏总纲!AA137</f>
        <v>179.84006335434742</v>
      </c>
      <c r="AC137" s="4">
        <f>[1]节奏总纲!AC137</f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f>[1]节奏总纲!AZ137</f>
        <v>134</v>
      </c>
      <c r="BA137" s="4">
        <f>[1]节奏总纲!BA137</f>
        <v>40.005827399112476</v>
      </c>
      <c r="BB137" s="4">
        <f>[1]节奏总纲!BB137</f>
        <v>41.48973836764344</v>
      </c>
      <c r="BC137" s="4">
        <f>[1]节奏总纲!BC137</f>
        <v>43.42960886574528</v>
      </c>
      <c r="BD137" s="4">
        <f>[1]节奏总纲!BD137</f>
        <v>46.176090215954694</v>
      </c>
      <c r="BE137" s="4">
        <f>[1]节奏总纲!BE137</f>
        <v>50.875254884873684</v>
      </c>
      <c r="BI137" s="74">
        <f>[1]节奏总纲!BI137</f>
        <v>134</v>
      </c>
      <c r="BJ137" s="74">
        <f>[1]节奏总纲!BJ137</f>
        <v>3.4999999999999978</v>
      </c>
      <c r="BK137" s="74">
        <f>[1]节奏总纲!BK137</f>
        <v>3.5699999999999976</v>
      </c>
      <c r="BL137" s="74">
        <f>[1]节奏总纲!BL137</f>
        <v>3.7099999999999977</v>
      </c>
      <c r="BM137" s="74">
        <f>[1]节奏总纲!BM137</f>
        <v>3.9899999999999971</v>
      </c>
      <c r="BN137" s="74">
        <f>[1]节奏总纲!BN137</f>
        <v>4.8999999999999968</v>
      </c>
      <c r="BO137" s="74"/>
      <c r="BP137" s="74"/>
      <c r="BQ137" s="74"/>
      <c r="BR137" s="74"/>
      <c r="BS137" s="74"/>
      <c r="BT137" s="74"/>
      <c r="BU137" s="74"/>
      <c r="BV137" s="74"/>
      <c r="BW137" s="74">
        <f>[1]节奏总纲!BW137</f>
        <v>134</v>
      </c>
      <c r="BX137" s="74">
        <f>[1]节奏总纲!BX137</f>
        <v>69.833579581329417</v>
      </c>
      <c r="BY137" s="74">
        <f>[1]节奏总纲!BY137</f>
        <v>70.219043358665743</v>
      </c>
      <c r="BZ137" s="74">
        <f>[1]节奏总纲!BZ137</f>
        <v>70.621840083786836</v>
      </c>
      <c r="CA137" s="74">
        <f>[1]节奏总纲!CA137</f>
        <v>71.069891702784773</v>
      </c>
      <c r="CB137" s="74">
        <f>[1]节奏总纲!CB137</f>
        <v>71.537462736334334</v>
      </c>
      <c r="CC137" s="74">
        <f>[1]节奏总纲!CC137</f>
        <v>71.537462736334334</v>
      </c>
    </row>
    <row r="138" spans="6:81" x14ac:dyDescent="0.15">
      <c r="F138" s="4">
        <f>[1]节奏总纲!F138</f>
        <v>136</v>
      </c>
      <c r="G138" s="4">
        <f>[1]节奏总纲!G138</f>
        <v>12415.750112853173</v>
      </c>
      <c r="N138" s="74">
        <f>[1]节奏总纲!N138</f>
        <v>145</v>
      </c>
      <c r="O138" s="74">
        <f>[1]节奏总纲!O138</f>
        <v>135</v>
      </c>
      <c r="P138" s="74">
        <f>[1]节奏总纲!P138</f>
        <v>11584.237502960397</v>
      </c>
      <c r="Q138" s="74">
        <f>[1]节奏总纲!Q138</f>
        <v>9796.789656253608</v>
      </c>
      <c r="R138" s="74">
        <f>[1]节奏总纲!R138</f>
        <v>7796.1918394923478</v>
      </c>
      <c r="S138" s="74">
        <f>[1]节奏总纲!S138</f>
        <v>5548.8497639180305</v>
      </c>
      <c r="T138" s="74">
        <f>[1]节奏总纲!T138</f>
        <v>2979.465885761414</v>
      </c>
      <c r="U138" s="74"/>
      <c r="V138" s="74">
        <f>[1]节奏总纲!V138</f>
        <v>135</v>
      </c>
      <c r="W138" s="74">
        <f>[1]节奏总纲!W138</f>
        <v>775.82869790885343</v>
      </c>
      <c r="X138" s="74">
        <f>[1]节奏总纲!X138</f>
        <v>645.30992101646552</v>
      </c>
      <c r="Y138" s="74">
        <f>[1]节奏总纲!Y138</f>
        <v>512.40514576811165</v>
      </c>
      <c r="Z138" s="74">
        <f>[1]节奏总纲!Z138</f>
        <v>373.78362805935103</v>
      </c>
      <c r="AA138" s="74">
        <f>[1]节奏总纲!AA138</f>
        <v>203.86650462417765</v>
      </c>
      <c r="AC138" s="4">
        <f>[1]节奏总纲!AC138</f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f>[1]节奏总纲!AZ138</f>
        <v>135</v>
      </c>
      <c r="BA138" s="4">
        <f>[1]节奏总纲!BA138</f>
        <v>40.052446592012309</v>
      </c>
      <c r="BB138" s="4">
        <f>[1]节奏总纲!BB138</f>
        <v>41.540021136508116</v>
      </c>
      <c r="BC138" s="4">
        <f>[1]节奏总纲!BC138</f>
        <v>43.479537810324814</v>
      </c>
      <c r="BD138" s="4">
        <f>[1]节奏总纲!BD138</f>
        <v>46.224250323001513</v>
      </c>
      <c r="BE138" s="4">
        <f>[1]节奏总纲!BE138</f>
        <v>50.928770927972039</v>
      </c>
      <c r="BI138" s="74">
        <f>[1]节奏总纲!BI138</f>
        <v>135</v>
      </c>
      <c r="BJ138" s="74">
        <f>[1]节奏总纲!BJ138</f>
        <v>3.4999999999999978</v>
      </c>
      <c r="BK138" s="74">
        <f>[1]节奏总纲!BK138</f>
        <v>3.5699999999999976</v>
      </c>
      <c r="BL138" s="74">
        <f>[1]节奏总纲!BL138</f>
        <v>3.7099999999999977</v>
      </c>
      <c r="BM138" s="74">
        <f>[1]节奏总纲!BM138</f>
        <v>3.9899999999999971</v>
      </c>
      <c r="BN138" s="74">
        <f>[1]节奏总纲!BN138</f>
        <v>4.8999999999999968</v>
      </c>
      <c r="BO138" s="74"/>
      <c r="BP138" s="74"/>
      <c r="BQ138" s="74"/>
      <c r="BR138" s="74"/>
      <c r="BS138" s="74"/>
      <c r="BT138" s="74"/>
      <c r="BU138" s="74"/>
      <c r="BV138" s="74"/>
      <c r="BW138" s="74">
        <f>[1]节奏总纲!BW138</f>
        <v>135</v>
      </c>
      <c r="BX138" s="74">
        <f>[1]节奏总纲!BX138</f>
        <v>70.302380180961919</v>
      </c>
      <c r="BY138" s="74">
        <f>[1]节奏总纲!BY138</f>
        <v>70.68300638407095</v>
      </c>
      <c r="BZ138" s="74">
        <f>[1]节奏总纲!BZ138</f>
        <v>71.09773107342663</v>
      </c>
      <c r="CA138" s="74">
        <f>[1]节奏总纲!CA138</f>
        <v>71.534542692944868</v>
      </c>
      <c r="CB138" s="74">
        <f>[1]节奏总纲!CB138</f>
        <v>72.038312955064598</v>
      </c>
      <c r="CC138" s="74">
        <f>[1]节奏总纲!CC138</f>
        <v>72.038312955064598</v>
      </c>
    </row>
    <row r="139" spans="6:81" x14ac:dyDescent="0.15">
      <c r="F139" s="4">
        <f>[1]节奏总纲!F139</f>
        <v>137</v>
      </c>
      <c r="G139" s="4">
        <f>[1]节奏总纲!G139</f>
        <v>13306.943261900544</v>
      </c>
      <c r="N139" s="74">
        <f>[1]节奏总纲!N139</f>
        <v>146</v>
      </c>
      <c r="O139" s="74">
        <f>[1]节奏总纲!O139</f>
        <v>136</v>
      </c>
      <c r="P139" s="74">
        <f>[1]节奏总纲!P139</f>
        <v>12415.750112853173</v>
      </c>
      <c r="Q139" s="74">
        <f>[1]节奏总纲!Q139</f>
        <v>10507.449320507641</v>
      </c>
      <c r="R139" s="74">
        <f>[1]节奏总纲!R139</f>
        <v>8384.3560512097483</v>
      </c>
      <c r="S139" s="74">
        <f>[1]节奏总纲!S139</f>
        <v>5967.009504237235</v>
      </c>
      <c r="T139" s="74">
        <f>[1]节奏总纲!T139</f>
        <v>3204.5051041274041</v>
      </c>
      <c r="U139" s="74"/>
      <c r="V139" s="74">
        <f>[1]节奏总纲!V139</f>
        <v>136</v>
      </c>
      <c r="W139" s="74">
        <f>[1]节奏总纲!W139</f>
        <v>831.5126098927758</v>
      </c>
      <c r="X139" s="74">
        <f>[1]节奏总纲!X139</f>
        <v>710.65966425403349</v>
      </c>
      <c r="Y139" s="74">
        <f>[1]节奏总纲!Y139</f>
        <v>588.16421171740058</v>
      </c>
      <c r="Z139" s="74">
        <f>[1]节奏总纲!Z139</f>
        <v>418.1597403192045</v>
      </c>
      <c r="AA139" s="74">
        <f>[1]节奏总纲!AA139</f>
        <v>225.03921836599011</v>
      </c>
      <c r="AC139" s="4">
        <f>[1]节奏总纲!AC139</f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f>[1]节奏总纲!AZ139</f>
        <v>136</v>
      </c>
      <c r="BA139" s="4">
        <f>[1]节奏总纲!BA139</f>
        <v>40.099065784912149</v>
      </c>
      <c r="BB139" s="4">
        <f>[1]节奏总纲!BB139</f>
        <v>41.590303905372799</v>
      </c>
      <c r="BC139" s="4">
        <f>[1]节奏总纲!BC139</f>
        <v>43.529466754904341</v>
      </c>
      <c r="BD139" s="4">
        <f>[1]节奏总纲!BD139</f>
        <v>46.272410430048332</v>
      </c>
      <c r="BE139" s="4">
        <f>[1]节奏总纲!BE139</f>
        <v>50.982286971070401</v>
      </c>
      <c r="BI139" s="74">
        <f>[1]节奏总纲!BI139</f>
        <v>136</v>
      </c>
      <c r="BJ139" s="74">
        <f>[1]节奏总纲!BJ139</f>
        <v>3.4999999999999978</v>
      </c>
      <c r="BK139" s="74">
        <f>[1]节奏总纲!BK139</f>
        <v>3.5699999999999976</v>
      </c>
      <c r="BL139" s="74">
        <f>[1]节奏总纲!BL139</f>
        <v>3.7099999999999977</v>
      </c>
      <c r="BM139" s="74">
        <f>[1]节奏总纲!BM139</f>
        <v>3.9899999999999971</v>
      </c>
      <c r="BN139" s="74">
        <f>[1]节奏总纲!BN139</f>
        <v>4.8999999999999968</v>
      </c>
      <c r="BO139" s="74"/>
      <c r="BP139" s="74"/>
      <c r="BQ139" s="74"/>
      <c r="BR139" s="74"/>
      <c r="BS139" s="74"/>
      <c r="BT139" s="74"/>
      <c r="BU139" s="74"/>
      <c r="BV139" s="74"/>
      <c r="BW139" s="74">
        <f>[1]节奏总纲!BW139</f>
        <v>136</v>
      </c>
      <c r="BX139" s="74">
        <f>[1]节奏总纲!BX139</f>
        <v>70.780650969721208</v>
      </c>
      <c r="BY139" s="74">
        <f>[1]节奏总纲!BY139</f>
        <v>71.167672232752054</v>
      </c>
      <c r="BZ139" s="74">
        <f>[1]节奏总纲!BZ139</f>
        <v>71.585162950829655</v>
      </c>
      <c r="CA139" s="74">
        <f>[1]节奏总纲!CA139</f>
        <v>72.046994133534497</v>
      </c>
      <c r="CB139" s="74">
        <f>[1]节奏总纲!CB139</f>
        <v>72.52201443082113</v>
      </c>
      <c r="CC139" s="74">
        <f>[1]节奏总纲!CC139</f>
        <v>72.52201443082113</v>
      </c>
    </row>
    <row r="140" spans="6:81" x14ac:dyDescent="0.15">
      <c r="F140" s="4">
        <f>[1]节奏总纲!F140</f>
        <v>138</v>
      </c>
      <c r="G140" s="4">
        <f>[1]节奏总纲!G140</f>
        <v>14262.10042904369</v>
      </c>
      <c r="N140" s="74">
        <f>[1]节奏总纲!N140</f>
        <v>147</v>
      </c>
      <c r="O140" s="74">
        <f>[1]节奏总纲!O140</f>
        <v>137</v>
      </c>
      <c r="P140" s="74">
        <f>[1]节奏总纲!P140</f>
        <v>13306.943261900544</v>
      </c>
      <c r="Q140" s="74">
        <f>[1]节奏总纲!Q140</f>
        <v>11274.973025808331</v>
      </c>
      <c r="R140" s="74">
        <f>[1]节奏总纲!R140</f>
        <v>8995.4936450447676</v>
      </c>
      <c r="S140" s="74">
        <f>[1]节奏总纲!S140</f>
        <v>6407.293180605112</v>
      </c>
      <c r="T140" s="74">
        <f>[1]节奏总纲!T140</f>
        <v>3438.5141388751008</v>
      </c>
      <c r="U140" s="74"/>
      <c r="V140" s="74">
        <f>[1]节奏总纲!V140</f>
        <v>137</v>
      </c>
      <c r="W140" s="74">
        <f>[1]节奏总纲!W140</f>
        <v>891.19314904737075</v>
      </c>
      <c r="X140" s="74">
        <f>[1]节奏总纲!X140</f>
        <v>767.52370530068947</v>
      </c>
      <c r="Y140" s="74">
        <f>[1]节奏总纲!Y140</f>
        <v>611.13759383501929</v>
      </c>
      <c r="Z140" s="74">
        <f>[1]节奏总纲!Z140</f>
        <v>440.28367636787698</v>
      </c>
      <c r="AA140" s="74">
        <f>[1]节奏总纲!AA140</f>
        <v>234.00903474769666</v>
      </c>
      <c r="AC140" s="4">
        <f>[1]节奏总纲!AC140</f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f>[1]节奏总纲!AZ140</f>
        <v>137</v>
      </c>
      <c r="BA140" s="4">
        <f>[1]节奏总纲!BA140</f>
        <v>40.145684977811982</v>
      </c>
      <c r="BB140" s="4">
        <f>[1]节奏总纲!BB140</f>
        <v>41.640586674237483</v>
      </c>
      <c r="BC140" s="4">
        <f>[1]节奏总纲!BC140</f>
        <v>43.579395699483875</v>
      </c>
      <c r="BD140" s="4">
        <f>[1]节奏总纲!BD140</f>
        <v>46.320570537095151</v>
      </c>
      <c r="BE140" s="4">
        <f>[1]节奏总纲!BE140</f>
        <v>51.030916192165336</v>
      </c>
      <c r="BI140" s="74">
        <f>[1]节奏总纲!BI140</f>
        <v>137</v>
      </c>
      <c r="BJ140" s="74">
        <f>[1]节奏总纲!BJ140</f>
        <v>3.4999999999999978</v>
      </c>
      <c r="BK140" s="74">
        <f>[1]节奏总纲!BK140</f>
        <v>3.5699999999999976</v>
      </c>
      <c r="BL140" s="74">
        <f>[1]节奏总纲!BL140</f>
        <v>3.7099999999999977</v>
      </c>
      <c r="BM140" s="74">
        <f>[1]节奏总纲!BM140</f>
        <v>3.9899999999999971</v>
      </c>
      <c r="BN140" s="74">
        <f>[1]节奏总纲!BN140</f>
        <v>4.8999999999999968</v>
      </c>
      <c r="BO140" s="74"/>
      <c r="BP140" s="74"/>
      <c r="BQ140" s="74"/>
      <c r="BR140" s="74"/>
      <c r="BS140" s="74"/>
      <c r="BT140" s="74"/>
      <c r="BU140" s="74"/>
      <c r="BV140" s="74"/>
      <c r="BW140" s="74">
        <f>[1]节奏总纲!BW140</f>
        <v>137</v>
      </c>
      <c r="BX140" s="74">
        <f>[1]节奏总纲!BX140</f>
        <v>71.253511678983699</v>
      </c>
      <c r="BY140" s="74">
        <f>[1]节奏总纲!BY140</f>
        <v>71.64472716890711</v>
      </c>
      <c r="BZ140" s="74">
        <f>[1]节奏总纲!BZ140</f>
        <v>72.079220511445328</v>
      </c>
      <c r="CA140" s="74">
        <f>[1]节奏总纲!CA140</f>
        <v>72.52016913289016</v>
      </c>
      <c r="CB140" s="74">
        <f>[1]节奏总纲!CB140</f>
        <v>73.021610706471975</v>
      </c>
      <c r="CC140" s="74">
        <f>[1]节奏总纲!CC140</f>
        <v>73.021610706471975</v>
      </c>
    </row>
    <row r="141" spans="6:81" x14ac:dyDescent="0.15">
      <c r="F141" s="4">
        <f>[1]节奏总纲!F141</f>
        <v>139</v>
      </c>
      <c r="G141" s="4">
        <f>[1]节奏总纲!G141</f>
        <v>15285.812533339058</v>
      </c>
      <c r="N141" s="74">
        <f>[1]节奏总纲!N141</f>
        <v>148</v>
      </c>
      <c r="O141" s="74">
        <f>[1]节奏总纲!O141</f>
        <v>138</v>
      </c>
      <c r="P141" s="74">
        <f>[1]节奏总纲!P141</f>
        <v>14262.10042904369</v>
      </c>
      <c r="Q141" s="74">
        <f>[1]节奏总纲!Q141</f>
        <v>12084.27769352872</v>
      </c>
      <c r="R141" s="74">
        <f>[1]节奏总纲!R141</f>
        <v>9648.3109402480568</v>
      </c>
      <c r="S141" s="74">
        <f>[1]节奏总纲!S141</f>
        <v>6871.4799867132497</v>
      </c>
      <c r="T141" s="74">
        <f>[1]节奏总纲!T141</f>
        <v>3671.064650435846</v>
      </c>
      <c r="U141" s="74"/>
      <c r="V141" s="74">
        <f>[1]节奏总纲!V141</f>
        <v>138</v>
      </c>
      <c r="W141" s="74">
        <f>[1]节奏总纲!W141</f>
        <v>955.15716714314658</v>
      </c>
      <c r="X141" s="74">
        <f>[1]节奏总纲!X141</f>
        <v>809.30466772038926</v>
      </c>
      <c r="Y141" s="74">
        <f>[1]节奏总纲!Y141</f>
        <v>652.81729520328918</v>
      </c>
      <c r="Z141" s="74">
        <f>[1]节奏总纲!Z141</f>
        <v>464.18680610813772</v>
      </c>
      <c r="AA141" s="74">
        <f>[1]节奏总纲!AA141</f>
        <v>232.55051156074524</v>
      </c>
      <c r="AC141" s="4">
        <f>[1]节奏总纲!AC141</f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f>[1]节奏总纲!AZ141</f>
        <v>138</v>
      </c>
      <c r="BA141" s="4">
        <f>[1]节奏总纲!BA141</f>
        <v>40.192304170711814</v>
      </c>
      <c r="BB141" s="4">
        <f>[1]节奏总纲!BB141</f>
        <v>41.690869443102159</v>
      </c>
      <c r="BC141" s="4">
        <f>[1]节奏总纲!BC141</f>
        <v>43.629324644063402</v>
      </c>
      <c r="BD141" s="4">
        <f>[1]节奏总纲!BD141</f>
        <v>46.368730644141969</v>
      </c>
      <c r="BE141" s="4">
        <f>[1]节奏总纲!BE141</f>
        <v>51.077127728003028</v>
      </c>
      <c r="BI141" s="74">
        <f>[1]节奏总纲!BI141</f>
        <v>138</v>
      </c>
      <c r="BJ141" s="74">
        <f>[1]节奏总纲!BJ141</f>
        <v>3.4999999999999978</v>
      </c>
      <c r="BK141" s="74">
        <f>[1]节奏总纲!BK141</f>
        <v>3.5699999999999976</v>
      </c>
      <c r="BL141" s="74">
        <f>[1]节奏总纲!BL141</f>
        <v>3.7099999999999977</v>
      </c>
      <c r="BM141" s="74">
        <f>[1]节奏总纲!BM141</f>
        <v>3.9899999999999971</v>
      </c>
      <c r="BN141" s="74">
        <f>[1]节奏总纲!BN141</f>
        <v>4.8999999999999968</v>
      </c>
      <c r="BO141" s="74"/>
      <c r="BP141" s="74"/>
      <c r="BQ141" s="74"/>
      <c r="BR141" s="74"/>
      <c r="BS141" s="74"/>
      <c r="BT141" s="74"/>
      <c r="BU141" s="74"/>
      <c r="BV141" s="74"/>
      <c r="BW141" s="74">
        <f>[1]节奏总纲!BW141</f>
        <v>138</v>
      </c>
      <c r="BX141" s="74">
        <f>[1]节奏总纲!BX141</f>
        <v>71.728454603344318</v>
      </c>
      <c r="BY141" s="74">
        <f>[1]节奏总纲!BY141</f>
        <v>72.127736001811627</v>
      </c>
      <c r="BZ141" s="74">
        <f>[1]节奏总纲!BZ141</f>
        <v>72.546944450679874</v>
      </c>
      <c r="CA141" s="74">
        <f>[1]节奏总纲!CA141</f>
        <v>73.016455431801333</v>
      </c>
      <c r="CB141" s="74">
        <f>[1]节奏总纲!CB141</f>
        <v>73.453766032826792</v>
      </c>
      <c r="CC141" s="74">
        <f>[1]节奏总纲!CC141</f>
        <v>73.453766032826792</v>
      </c>
    </row>
    <row r="142" spans="6:81" x14ac:dyDescent="0.15">
      <c r="F142" s="4">
        <f>[1]节奏总纲!F142</f>
        <v>140</v>
      </c>
      <c r="G142" s="4">
        <f>[1]节奏总纲!G142</f>
        <v>16383</v>
      </c>
      <c r="N142" s="74">
        <f>[1]节奏总纲!N142</f>
        <v>149</v>
      </c>
      <c r="O142" s="74">
        <f>[1]节奏总纲!O142</f>
        <v>139</v>
      </c>
      <c r="P142" s="74">
        <f>[1]节奏总纲!P142</f>
        <v>15285.812533339058</v>
      </c>
      <c r="Q142" s="74">
        <f>[1]节奏总纲!Q142</f>
        <v>12957.783284511519</v>
      </c>
      <c r="R142" s="74">
        <f>[1]节奏总纲!R142</f>
        <v>10342.380760057207</v>
      </c>
      <c r="S142" s="74">
        <f>[1]节奏总纲!S142</f>
        <v>7335.6614347494142</v>
      </c>
      <c r="T142" s="74">
        <f>[1]节奏总纲!T142</f>
        <v>3920.8109148014687</v>
      </c>
      <c r="U142" s="74"/>
      <c r="V142" s="74">
        <f>[1]节奏总纲!V142</f>
        <v>139</v>
      </c>
      <c r="W142" s="74">
        <f>[1]节奏总纲!W142</f>
        <v>1023.7121042953677</v>
      </c>
      <c r="X142" s="74">
        <f>[1]节奏总纲!X142</f>
        <v>873.50559098279882</v>
      </c>
      <c r="Y142" s="74">
        <f>[1]节奏总纲!Y142</f>
        <v>694.06981980915043</v>
      </c>
      <c r="Z142" s="74">
        <f>[1]节奏总纲!Z142</f>
        <v>464.18144803616451</v>
      </c>
      <c r="AA142" s="74">
        <f>[1]节奏总纲!AA142</f>
        <v>249.74626436562266</v>
      </c>
      <c r="AC142" s="4">
        <f>[1]节奏总纲!AC142</f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f>[1]节奏总纲!AZ142</f>
        <v>139</v>
      </c>
      <c r="BA142" s="4">
        <f>[1]节奏总纲!BA142</f>
        <v>40.238923363611647</v>
      </c>
      <c r="BB142" s="4">
        <f>[1]节奏总纲!BB142</f>
        <v>41.741152211966842</v>
      </c>
      <c r="BC142" s="4">
        <f>[1]节奏总纲!BC142</f>
        <v>43.679253588642929</v>
      </c>
      <c r="BD142" s="4">
        <f>[1]节奏总纲!BD142</f>
        <v>46.416890751188788</v>
      </c>
      <c r="BE142" s="4">
        <f>[1]节奏总纲!BE142</f>
        <v>51.12333926384072</v>
      </c>
      <c r="BI142" s="74">
        <f>[1]节奏总纲!BI142</f>
        <v>139</v>
      </c>
      <c r="BJ142" s="74">
        <f>[1]节奏总纲!BJ142</f>
        <v>3.4999999999999978</v>
      </c>
      <c r="BK142" s="74">
        <f>[1]节奏总纲!BK142</f>
        <v>3.5699999999999976</v>
      </c>
      <c r="BL142" s="74">
        <f>[1]节奏总纲!BL142</f>
        <v>3.7099999999999977</v>
      </c>
      <c r="BM142" s="74">
        <f>[1]节奏总纲!BM142</f>
        <v>3.9899999999999971</v>
      </c>
      <c r="BN142" s="74">
        <f>[1]节奏总纲!BN142</f>
        <v>4.8999999999999968</v>
      </c>
      <c r="BO142" s="74"/>
      <c r="BP142" s="74"/>
      <c r="BQ142" s="74"/>
      <c r="BR142" s="74"/>
      <c r="BS142" s="74"/>
      <c r="BT142" s="74"/>
      <c r="BU142" s="74"/>
      <c r="BV142" s="74"/>
      <c r="BW142" s="74">
        <f>[1]节奏总纲!BW142</f>
        <v>139</v>
      </c>
      <c r="BX142" s="74">
        <f>[1]节奏总纲!BX142</f>
        <v>72.205314824634726</v>
      </c>
      <c r="BY142" s="74">
        <f>[1]节奏总纲!BY142</f>
        <v>72.597116346388717</v>
      </c>
      <c r="BZ142" s="74">
        <f>[1]节奏总纲!BZ142</f>
        <v>73.038235529163615</v>
      </c>
      <c r="CA142" s="74">
        <f>[1]节奏总纲!CA142</f>
        <v>73.447756321697511</v>
      </c>
      <c r="CB142" s="74">
        <f>[1]节奏总纲!CB142</f>
        <v>73.91787672283759</v>
      </c>
      <c r="CC142" s="74">
        <f>[1]节奏总纲!CC142</f>
        <v>73.91787672283759</v>
      </c>
    </row>
    <row r="143" spans="6:81" x14ac:dyDescent="0.15">
      <c r="F143" s="4">
        <f>[1]节奏总纲!F143</f>
        <v>141</v>
      </c>
      <c r="G143" s="4">
        <f>[1]节奏总纲!G143</f>
        <v>17558.936410194601</v>
      </c>
      <c r="N143" s="74">
        <f>[1]节奏总纲!N143</f>
        <v>150</v>
      </c>
      <c r="O143" s="74">
        <f>[1]节奏总纲!O143</f>
        <v>140</v>
      </c>
      <c r="P143" s="74">
        <f>[1]节奏总纲!P143</f>
        <v>16383</v>
      </c>
      <c r="Q143" s="74">
        <f>[1]节奏总纲!Q143</f>
        <v>13881.315900000001</v>
      </c>
      <c r="R143" s="74">
        <f>[1]节奏总纲!R143</f>
        <v>11037.2271</v>
      </c>
      <c r="S143" s="74">
        <f>[1]节奏总纲!S143</f>
        <v>7827.7974000000004</v>
      </c>
      <c r="T143" s="74">
        <f>[1]节奏总纲!T143</f>
        <v>4192.4097000000002</v>
      </c>
      <c r="U143" s="74"/>
      <c r="V143" s="74">
        <f>[1]节奏总纲!V143</f>
        <v>140</v>
      </c>
      <c r="W143" s="74">
        <f>[1]节奏总纲!W143</f>
        <v>1097.1874666609419</v>
      </c>
      <c r="X143" s="74">
        <f>[1]节奏总纲!X143</f>
        <v>923.53261548848241</v>
      </c>
      <c r="Y143" s="74">
        <f>[1]节奏总纲!Y143</f>
        <v>694.84633994279284</v>
      </c>
      <c r="Z143" s="74">
        <f>[1]节奏总纲!Z143</f>
        <v>492.1359652505862</v>
      </c>
      <c r="AA143" s="74">
        <f>[1]节奏总纲!AA143</f>
        <v>271.59878519853146</v>
      </c>
      <c r="AC143" s="4">
        <f>[1]节奏总纲!AC143</f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f>[1]节奏总纲!AZ143</f>
        <v>140</v>
      </c>
      <c r="BA143" s="4">
        <f>[1]节奏总纲!BA143</f>
        <v>40.28554255651148</v>
      </c>
      <c r="BB143" s="4">
        <f>[1]节奏总纲!BB143</f>
        <v>41.791434980831518</v>
      </c>
      <c r="BC143" s="4">
        <f>[1]节奏总纲!BC143</f>
        <v>43.729182533222463</v>
      </c>
      <c r="BD143" s="4">
        <f>[1]节奏总纲!BD143</f>
        <v>46.465050858235607</v>
      </c>
      <c r="BE143" s="4">
        <f>[1]节奏总纲!BE143</f>
        <v>51.169550799678412</v>
      </c>
      <c r="BI143" s="74">
        <f>[1]节奏总纲!BI143</f>
        <v>140</v>
      </c>
      <c r="BJ143" s="74">
        <f>[1]节奏总纲!BJ143</f>
        <v>3.4999999999999978</v>
      </c>
      <c r="BK143" s="74">
        <f>[1]节奏总纲!BK143</f>
        <v>3.5699999999999976</v>
      </c>
      <c r="BL143" s="74">
        <f>[1]节奏总纲!BL143</f>
        <v>3.7099999999999977</v>
      </c>
      <c r="BM143" s="74">
        <f>[1]节奏总纲!BM143</f>
        <v>3.9899999999999971</v>
      </c>
      <c r="BN143" s="74">
        <f>[1]节奏总纲!BN143</f>
        <v>4.8999999999999968</v>
      </c>
      <c r="BO143" s="74"/>
      <c r="BP143" s="74"/>
      <c r="BQ143" s="74"/>
      <c r="BR143" s="74"/>
      <c r="BS143" s="74"/>
      <c r="BT143" s="74"/>
      <c r="BU143" s="74"/>
      <c r="BV143" s="74"/>
      <c r="BW143" s="74">
        <f>[1]节奏总纲!BW143</f>
        <v>140</v>
      </c>
      <c r="BX143" s="74">
        <f>[1]节奏总纲!BX143</f>
        <v>72.676975898343528</v>
      </c>
      <c r="BY143" s="74">
        <f>[1]节奏总纲!BY143</f>
        <v>73.080733134525161</v>
      </c>
      <c r="BZ143" s="74">
        <f>[1]节奏总纲!BZ143</f>
        <v>73.468653197407107</v>
      </c>
      <c r="CA143" s="74">
        <f>[1]节奏总纲!CA143</f>
        <v>73.905031554605898</v>
      </c>
      <c r="CB143" s="74">
        <f>[1]节奏总纲!CB143</f>
        <v>74.365384246573853</v>
      </c>
      <c r="CC143" s="74">
        <f>[1]节奏总纲!CC143</f>
        <v>74.365384246573853</v>
      </c>
    </row>
    <row r="144" spans="6:81" x14ac:dyDescent="0.15">
      <c r="F144" s="4">
        <f>[1]节奏总纲!F144</f>
        <v>142</v>
      </c>
      <c r="G144" s="4">
        <f>[1]节奏总纲!G144</f>
        <v>18819.273848271412</v>
      </c>
      <c r="N144" s="74">
        <f>[1]节奏总纲!N144</f>
        <v>151</v>
      </c>
      <c r="O144" s="74">
        <f>[1]节奏总纲!O144</f>
        <v>141</v>
      </c>
      <c r="P144" s="74">
        <f>[1]节奏总纲!P144</f>
        <v>17558.936410194601</v>
      </c>
      <c r="Q144" s="74">
        <f>[1]节奏总纲!Q144</f>
        <v>14839.057160255457</v>
      </c>
      <c r="R144" s="74">
        <f>[1]节奏总纲!R144</f>
        <v>11789.069905804656</v>
      </c>
      <c r="S144" s="74">
        <f>[1]节奏总纲!S144</f>
        <v>8380.8803485858825</v>
      </c>
      <c r="T144" s="74">
        <f>[1]节奏总纲!T144</f>
        <v>4489.820040086759</v>
      </c>
      <c r="U144" s="74"/>
      <c r="V144" s="74">
        <f>[1]节奏总纲!V144</f>
        <v>141</v>
      </c>
      <c r="W144" s="74">
        <f>[1]节奏总纲!W144</f>
        <v>1175.9364101946012</v>
      </c>
      <c r="X144" s="74">
        <f>[1]节奏总纲!X144</f>
        <v>957.74126025545593</v>
      </c>
      <c r="Y144" s="74">
        <f>[1]节奏总纲!Y144</f>
        <v>751.84280580465565</v>
      </c>
      <c r="Z144" s="74">
        <f>[1]节奏总纲!Z144</f>
        <v>553.08294858588215</v>
      </c>
      <c r="AA144" s="74">
        <f>[1]节奏总纲!AA144</f>
        <v>297.41034008675888</v>
      </c>
      <c r="AC144" s="4">
        <f>[1]节奏总纲!AC144</f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f>[1]节奏总纲!AZ144</f>
        <v>141</v>
      </c>
      <c r="BA144" s="4">
        <f>[1]节奏总纲!BA144</f>
        <v>40.332161749411313</v>
      </c>
      <c r="BB144" s="4">
        <f>[1]节奏总纲!BB144</f>
        <v>41.841717749696201</v>
      </c>
      <c r="BC144" s="4">
        <f>[1]节奏总纲!BC144</f>
        <v>43.77911147780199</v>
      </c>
      <c r="BD144" s="4">
        <f>[1]节奏总纲!BD144</f>
        <v>46.513210965282425</v>
      </c>
      <c r="BE144" s="4">
        <f>[1]节奏总纲!BE144</f>
        <v>51.215762335516104</v>
      </c>
      <c r="BI144" s="74">
        <f>[1]节奏总纲!BI144</f>
        <v>141</v>
      </c>
      <c r="BJ144" s="74">
        <f>[1]节奏总纲!BJ144</f>
        <v>3.4999999999999978</v>
      </c>
      <c r="BK144" s="74">
        <f>[1]节奏总纲!BK144</f>
        <v>3.5699999999999976</v>
      </c>
      <c r="BL144" s="74">
        <f>[1]节奏总纲!BL144</f>
        <v>3.7099999999999977</v>
      </c>
      <c r="BM144" s="74">
        <f>[1]节奏总纲!BM144</f>
        <v>3.9899999999999971</v>
      </c>
      <c r="BN144" s="74">
        <f>[1]节奏总纲!BN144</f>
        <v>4.8999999999999968</v>
      </c>
      <c r="BO144" s="74"/>
      <c r="BP144" s="74"/>
      <c r="BQ144" s="74"/>
      <c r="BR144" s="74"/>
      <c r="BS144" s="74"/>
      <c r="BT144" s="74"/>
      <c r="BU144" s="74"/>
      <c r="BV144" s="74"/>
      <c r="BW144" s="74">
        <f>[1]节奏总纲!BW144</f>
        <v>141</v>
      </c>
      <c r="BX144" s="74">
        <f>[1]节奏总纲!BX144</f>
        <v>73.157776302859972</v>
      </c>
      <c r="BY144" s="74">
        <f>[1]节奏总纲!BY144</f>
        <v>73.525682689904926</v>
      </c>
      <c r="BZ144" s="74">
        <f>[1]节奏总纲!BZ144</f>
        <v>73.934376924737577</v>
      </c>
      <c r="CA144" s="74">
        <f>[1]节奏总纲!CA144</f>
        <v>74.362219724987099</v>
      </c>
      <c r="CB144" s="74">
        <f>[1]节奏总纲!CB144</f>
        <v>74.843246220121955</v>
      </c>
      <c r="CC144" s="74">
        <f>[1]节奏总纲!CC144</f>
        <v>74.843246220121955</v>
      </c>
    </row>
    <row r="145" spans="6:81" x14ac:dyDescent="0.15">
      <c r="F145" s="4">
        <f>[1]节奏总纲!F145</f>
        <v>143</v>
      </c>
      <c r="G145" s="4">
        <f>[1]节奏总纲!G145</f>
        <v>20170.070068243116</v>
      </c>
      <c r="N145" s="74">
        <f>[1]节奏总纲!N145</f>
        <v>152</v>
      </c>
      <c r="O145" s="74">
        <f>[1]节奏总纲!O145</f>
        <v>142</v>
      </c>
      <c r="P145" s="74">
        <f>[1]节奏总纲!P145</f>
        <v>18819.273848271412</v>
      </c>
      <c r="Q145" s="74">
        <f>[1]节奏总纲!Q145</f>
        <v>15904.16832917417</v>
      </c>
      <c r="R145" s="74">
        <f>[1]节奏总纲!R145</f>
        <v>12667.253227271489</v>
      </c>
      <c r="S145" s="74">
        <f>[1]节奏总纲!S145</f>
        <v>9003.140609013044</v>
      </c>
      <c r="T145" s="74">
        <f>[1]节奏总纲!T145</f>
        <v>4823.3798873119622</v>
      </c>
      <c r="U145" s="74"/>
      <c r="V145" s="74">
        <f>[1]节奏总纲!V145</f>
        <v>142</v>
      </c>
      <c r="W145" s="74">
        <f>[1]节奏总纲!W145</f>
        <v>1260.3374380768109</v>
      </c>
      <c r="X145" s="74">
        <f>[1]节奏总纲!X145</f>
        <v>1065.1111689187128</v>
      </c>
      <c r="Y145" s="74">
        <f>[1]节奏总纲!Y145</f>
        <v>878.18332146683315</v>
      </c>
      <c r="Z145" s="74">
        <f>[1]节奏总纲!Z145</f>
        <v>622.26026042716148</v>
      </c>
      <c r="AA145" s="74">
        <f>[1]节奏总纲!AA145</f>
        <v>333.55984722520316</v>
      </c>
      <c r="AC145" s="4">
        <f>[1]节奏总纲!AC145</f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f>[1]节奏总纲!AZ145</f>
        <v>142</v>
      </c>
      <c r="BA145" s="4">
        <f>[1]节奏总纲!BA145</f>
        <v>40.378780942311145</v>
      </c>
      <c r="BB145" s="4">
        <f>[1]节奏总纲!BB145</f>
        <v>41.892000518560877</v>
      </c>
      <c r="BC145" s="4">
        <f>[1]节奏总纲!BC145</f>
        <v>43.829040422381524</v>
      </c>
      <c r="BD145" s="4">
        <f>[1]节奏总纲!BD145</f>
        <v>46.561371072329244</v>
      </c>
      <c r="BE145" s="4">
        <f>[1]节奏总纲!BE145</f>
        <v>51.261973871353796</v>
      </c>
      <c r="BI145" s="74">
        <f>[1]节奏总纲!BI145</f>
        <v>142</v>
      </c>
      <c r="BJ145" s="74">
        <f>[1]节奏总纲!BJ145</f>
        <v>3.4999999999999978</v>
      </c>
      <c r="BK145" s="74">
        <f>[1]节奏总纲!BK145</f>
        <v>3.5699999999999976</v>
      </c>
      <c r="BL145" s="74">
        <f>[1]节奏总纲!BL145</f>
        <v>3.7099999999999977</v>
      </c>
      <c r="BM145" s="74">
        <f>[1]节奏总纲!BM145</f>
        <v>3.9899999999999971</v>
      </c>
      <c r="BN145" s="74">
        <f>[1]节奏总纲!BN145</f>
        <v>4.8999999999999968</v>
      </c>
      <c r="BO145" s="74"/>
      <c r="BP145" s="74"/>
      <c r="BQ145" s="74"/>
      <c r="BR145" s="74"/>
      <c r="BS145" s="74"/>
      <c r="BT145" s="74"/>
      <c r="BU145" s="74"/>
      <c r="BV145" s="74"/>
      <c r="BW145" s="74">
        <f>[1]节奏总纲!BW145</f>
        <v>142</v>
      </c>
      <c r="BX145" s="74">
        <f>[1]节奏总纲!BX145</f>
        <v>73.626200589019419</v>
      </c>
      <c r="BY145" s="74">
        <f>[1]节奏总纲!BY145</f>
        <v>74.017737097591251</v>
      </c>
      <c r="BZ145" s="74">
        <f>[1]节奏总纲!BZ145</f>
        <v>74.413599457823011</v>
      </c>
      <c r="CA145" s="74">
        <f>[1]节奏总纲!CA145</f>
        <v>74.862125874890182</v>
      </c>
      <c r="CB145" s="74">
        <f>[1]节奏总纲!CB145</f>
        <v>75.327870415328007</v>
      </c>
      <c r="CC145" s="74">
        <f>[1]节奏总纲!CC145</f>
        <v>75.327870415328007</v>
      </c>
    </row>
    <row r="146" spans="6:81" x14ac:dyDescent="0.15">
      <c r="F146" s="4">
        <f>[1]节奏总纲!F146</f>
        <v>144</v>
      </c>
      <c r="G146" s="4">
        <f>[1]节奏总纲!G146</f>
        <v>21617.817610103088</v>
      </c>
      <c r="N146" s="74">
        <f>[1]节奏总纲!N146</f>
        <v>153</v>
      </c>
      <c r="O146" s="74">
        <f>[1]节奏总纲!O146</f>
        <v>143</v>
      </c>
      <c r="P146" s="74">
        <f>[1]节奏总纲!P146</f>
        <v>20170.070068243116</v>
      </c>
      <c r="Q146" s="74">
        <f>[1]节奏总纲!Q146</f>
        <v>17065.896284740498</v>
      </c>
      <c r="R146" s="74">
        <f>[1]节奏总纲!R146</f>
        <v>13594.62722599586</v>
      </c>
      <c r="S146" s="74">
        <f>[1]节奏总纲!S146</f>
        <v>9669.5315907157492</v>
      </c>
      <c r="T146" s="74">
        <f>[1]节奏总纲!T146</f>
        <v>5185.7250145453054</v>
      </c>
      <c r="U146" s="74"/>
      <c r="V146" s="74">
        <f>[1]节奏总纲!V146</f>
        <v>143</v>
      </c>
      <c r="W146" s="74">
        <f>[1]节奏总纲!W146</f>
        <v>1350.796219971704</v>
      </c>
      <c r="X146" s="74">
        <f>[1]节奏总纲!X146</f>
        <v>1161.7279555663281</v>
      </c>
      <c r="Y146" s="74">
        <f>[1]节奏总纲!Y146</f>
        <v>927.37399872437163</v>
      </c>
      <c r="Z146" s="74">
        <f>[1]节奏总纲!Z146</f>
        <v>666.39098170270518</v>
      </c>
      <c r="AA146" s="74">
        <f>[1]节奏总纲!AA146</f>
        <v>362.34512723334319</v>
      </c>
      <c r="AC146" s="4">
        <f>[1]节奏总纲!AC146</f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f>[1]节奏总纲!AZ146</f>
        <v>143</v>
      </c>
      <c r="BA146" s="4">
        <f>[1]节奏总纲!BA146</f>
        <v>40.425400135210978</v>
      </c>
      <c r="BB146" s="4">
        <f>[1]节奏总纲!BB146</f>
        <v>41.94228328742556</v>
      </c>
      <c r="BC146" s="4">
        <f>[1]节奏总纲!BC146</f>
        <v>43.878969366961051</v>
      </c>
      <c r="BD146" s="4">
        <f>[1]节奏总纲!BD146</f>
        <v>46.609531179376063</v>
      </c>
      <c r="BE146" s="4">
        <f>[1]节奏总纲!BE146</f>
        <v>51.308185407191495</v>
      </c>
      <c r="BI146" s="74">
        <f>[1]节奏总纲!BI146</f>
        <v>143</v>
      </c>
      <c r="BJ146" s="74">
        <f>[1]节奏总纲!BJ146</f>
        <v>3.4999999999999978</v>
      </c>
      <c r="BK146" s="74">
        <f>[1]节奏总纲!BK146</f>
        <v>3.5699999999999976</v>
      </c>
      <c r="BL146" s="74">
        <f>[1]节奏总纲!BL146</f>
        <v>3.7099999999999977</v>
      </c>
      <c r="BM146" s="74">
        <f>[1]节奏总纲!BM146</f>
        <v>3.9899999999999971</v>
      </c>
      <c r="BN146" s="74">
        <f>[1]节奏总纲!BN146</f>
        <v>4.8999999999999968</v>
      </c>
      <c r="BO146" s="74"/>
      <c r="BP146" s="74"/>
      <c r="BQ146" s="74"/>
      <c r="BR146" s="74"/>
      <c r="BS146" s="74"/>
      <c r="BT146" s="74"/>
      <c r="BU146" s="74"/>
      <c r="BV146" s="74"/>
      <c r="BW146" s="74">
        <f>[1]节奏总纲!BW146</f>
        <v>143</v>
      </c>
      <c r="BX146" s="74">
        <f>[1]节奏总纲!BX146</f>
        <v>74.110883090832957</v>
      </c>
      <c r="BY146" s="74">
        <f>[1]节奏总纲!BY146</f>
        <v>74.48438665440473</v>
      </c>
      <c r="BZ146" s="74">
        <f>[1]节奏总纲!BZ146</f>
        <v>74.910283342584549</v>
      </c>
      <c r="CA146" s="74">
        <f>[1]节奏总纲!CA146</f>
        <v>75.343688653389123</v>
      </c>
      <c r="CB146" s="74">
        <f>[1]节奏总纲!CB146</f>
        <v>75.8312700089093</v>
      </c>
      <c r="CC146" s="74">
        <f>[1]节奏总纲!CC146</f>
        <v>75.8312700089093</v>
      </c>
    </row>
    <row r="147" spans="6:81" x14ac:dyDescent="0.15">
      <c r="F147" s="4">
        <f>[1]节奏总纲!F147</f>
        <v>145</v>
      </c>
      <c r="G147" s="4">
        <f>[1]节奏总纲!G147</f>
        <v>23169.475005920798</v>
      </c>
      <c r="N147" s="74">
        <f>[1]节奏总纲!N147</f>
        <v>154</v>
      </c>
      <c r="O147" s="74">
        <f>[1]节奏总纲!O147</f>
        <v>144</v>
      </c>
      <c r="P147" s="74">
        <f>[1]节奏总纲!P147</f>
        <v>21617.817610103088</v>
      </c>
      <c r="Q147" s="74">
        <f>[1]节奏总纲!Q147</f>
        <v>18290.835479908223</v>
      </c>
      <c r="R147" s="74">
        <f>[1]节奏总纲!R147</f>
        <v>14585.541541536553</v>
      </c>
      <c r="S147" s="74">
        <f>[1]节奏总纲!S147</f>
        <v>10380.876016371503</v>
      </c>
      <c r="T147" s="74">
        <f>[1]节奏总纲!T147</f>
        <v>5547.1319987524521</v>
      </c>
      <c r="U147" s="74"/>
      <c r="V147" s="74">
        <f>[1]节奏总纲!V147</f>
        <v>144</v>
      </c>
      <c r="W147" s="74">
        <f>[1]节奏总纲!W147</f>
        <v>1447.7475418599715</v>
      </c>
      <c r="X147" s="74">
        <f>[1]节奏总纲!X147</f>
        <v>1224.9391951677244</v>
      </c>
      <c r="Y147" s="74">
        <f>[1]节奏总纲!Y147</f>
        <v>990.91431554069277</v>
      </c>
      <c r="Z147" s="74">
        <f>[1]节奏总纲!Z147</f>
        <v>711.34442565575409</v>
      </c>
      <c r="AA147" s="74">
        <f>[1]节奏总纲!AA147</f>
        <v>361.40698420714671</v>
      </c>
      <c r="AC147" s="4">
        <f>[1]节奏总纲!AC147</f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f>[1]节奏总纲!AZ147</f>
        <v>144</v>
      </c>
      <c r="BA147" s="4">
        <f>[1]节奏总纲!BA147</f>
        <v>40.472019328110811</v>
      </c>
      <c r="BB147" s="4">
        <f>[1]节奏总纲!BB147</f>
        <v>41.992566056290244</v>
      </c>
      <c r="BC147" s="4">
        <f>[1]节奏总纲!BC147</f>
        <v>43.928898311540586</v>
      </c>
      <c r="BD147" s="4">
        <f>[1]节奏总纲!BD147</f>
        <v>46.657691286422882</v>
      </c>
      <c r="BE147" s="4">
        <f>[1]节奏总纲!BE147</f>
        <v>51.354396943029187</v>
      </c>
      <c r="BI147" s="74">
        <f>[1]节奏总纲!BI147</f>
        <v>144</v>
      </c>
      <c r="BJ147" s="74">
        <f>[1]节奏总纲!BJ147</f>
        <v>3.4999999999999978</v>
      </c>
      <c r="BK147" s="74">
        <f>[1]节奏总纲!BK147</f>
        <v>3.5699999999999976</v>
      </c>
      <c r="BL147" s="74">
        <f>[1]节奏总纲!BL147</f>
        <v>3.7099999999999977</v>
      </c>
      <c r="BM147" s="74">
        <f>[1]节奏总纲!BM147</f>
        <v>3.9899999999999971</v>
      </c>
      <c r="BN147" s="74">
        <f>[1]节奏总纲!BN147</f>
        <v>4.8999999999999968</v>
      </c>
      <c r="BO147" s="74"/>
      <c r="BP147" s="74"/>
      <c r="BQ147" s="74"/>
      <c r="BR147" s="74"/>
      <c r="BS147" s="74"/>
      <c r="BT147" s="74"/>
      <c r="BU147" s="74"/>
      <c r="BV147" s="74"/>
      <c r="BW147" s="74">
        <f>[1]节奏总纲!BW147</f>
        <v>144</v>
      </c>
      <c r="BX147" s="74">
        <f>[1]节奏总纲!BX147</f>
        <v>74.576114728274206</v>
      </c>
      <c r="BY147" s="74">
        <f>[1]节奏总纲!BY147</f>
        <v>74.976427264953529</v>
      </c>
      <c r="BZ147" s="74">
        <f>[1]节奏总纲!BZ147</f>
        <v>75.381312336600743</v>
      </c>
      <c r="CA147" s="74">
        <f>[1]节奏总纲!CA147</f>
        <v>75.837817686537164</v>
      </c>
      <c r="CB147" s="74">
        <f>[1]节奏总纲!CB147</f>
        <v>76.288260794883655</v>
      </c>
      <c r="CC147" s="74">
        <f>[1]节奏总纲!CC147</f>
        <v>76.288260794883655</v>
      </c>
    </row>
    <row r="148" spans="6:81" x14ac:dyDescent="0.15">
      <c r="F148" s="4">
        <f>[1]节奏总纲!F148</f>
        <v>146</v>
      </c>
      <c r="G148" s="4">
        <f>[1]节奏总纲!G148</f>
        <v>24832.50022570635</v>
      </c>
      <c r="N148" s="74">
        <f>[1]节奏总纲!N148</f>
        <v>155</v>
      </c>
      <c r="O148" s="74">
        <f>[1]节奏总纲!O148</f>
        <v>145</v>
      </c>
      <c r="P148" s="74">
        <f>[1]节奏总纲!P148</f>
        <v>23169.475005920798</v>
      </c>
      <c r="Q148" s="74">
        <f>[1]节奏总纲!Q148</f>
        <v>19631.496172516694</v>
      </c>
      <c r="R148" s="74">
        <f>[1]节奏总纲!R148</f>
        <v>15650.9803664995</v>
      </c>
      <c r="S148" s="74">
        <f>[1]节奏总纲!S148</f>
        <v>11105.129370337838</v>
      </c>
      <c r="T148" s="74">
        <f>[1]节奏总纲!T148</f>
        <v>5926.7517065145412</v>
      </c>
      <c r="U148" s="74"/>
      <c r="V148" s="74">
        <f>[1]节奏总纲!V148</f>
        <v>145</v>
      </c>
      <c r="W148" s="74">
        <f>[1]节奏总纲!W148</f>
        <v>1551.6573958177105</v>
      </c>
      <c r="X148" s="74">
        <f>[1]节奏总纲!X148</f>
        <v>1340.6606926084714</v>
      </c>
      <c r="Y148" s="74">
        <f>[1]节奏总纲!Y148</f>
        <v>1065.4388249629465</v>
      </c>
      <c r="Z148" s="74">
        <f>[1]节奏总纲!Z148</f>
        <v>724.25335396633454</v>
      </c>
      <c r="AA148" s="74">
        <f>[1]节奏总纲!AA148</f>
        <v>379.61970776208909</v>
      </c>
      <c r="AC148" s="4">
        <f>[1]节奏总纲!AC148</f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f>[1]节奏总纲!AZ148</f>
        <v>145</v>
      </c>
      <c r="BA148" s="4">
        <f>[1]节奏总纲!BA148</f>
        <v>40.518638521010651</v>
      </c>
      <c r="BB148" s="4">
        <f>[1]节奏总纲!BB148</f>
        <v>42.036975906461073</v>
      </c>
      <c r="BC148" s="4">
        <f>[1]节奏总纲!BC148</f>
        <v>43.978827256120113</v>
      </c>
      <c r="BD148" s="4">
        <f>[1]节奏总纲!BD148</f>
        <v>46.7058513934697</v>
      </c>
      <c r="BE148" s="4">
        <f>[1]节奏总纲!BE148</f>
        <v>51.400608478866879</v>
      </c>
      <c r="BI148" s="74">
        <f>[1]节奏总纲!BI148</f>
        <v>145</v>
      </c>
      <c r="BJ148" s="74">
        <f>[1]节奏总纲!BJ148</f>
        <v>3.4999999999999978</v>
      </c>
      <c r="BK148" s="74">
        <f>[1]节奏总纲!BK148</f>
        <v>3.5699999999999976</v>
      </c>
      <c r="BL148" s="74">
        <f>[1]节奏总纲!BL148</f>
        <v>3.7099999999999977</v>
      </c>
      <c r="BM148" s="74">
        <f>[1]节奏总纲!BM148</f>
        <v>3.9899999999999971</v>
      </c>
      <c r="BN148" s="74">
        <f>[1]节奏总纲!BN148</f>
        <v>4.8999999999999968</v>
      </c>
      <c r="BO148" s="74"/>
      <c r="BP148" s="74"/>
      <c r="BQ148" s="74"/>
      <c r="BR148" s="74"/>
      <c r="BS148" s="74"/>
      <c r="BT148" s="74"/>
      <c r="BU148" s="74"/>
      <c r="BV148" s="74"/>
      <c r="BW148" s="74">
        <f>[1]节奏总纲!BW148</f>
        <v>145</v>
      </c>
      <c r="BX148" s="74">
        <f>[1]节奏总纲!BX148</f>
        <v>75.064622457794115</v>
      </c>
      <c r="BY148" s="74">
        <f>[1]节奏总纲!BY148</f>
        <v>75.445256632228848</v>
      </c>
      <c r="BZ148" s="74">
        <f>[1]节奏总纲!BZ148</f>
        <v>75.874710693729909</v>
      </c>
      <c r="CA148" s="74">
        <f>[1]节奏总纲!CA148</f>
        <v>76.294787124638759</v>
      </c>
      <c r="CB148" s="74">
        <f>[1]节奏总纲!CB148</f>
        <v>76.744300993869714</v>
      </c>
      <c r="CC148" s="74">
        <f>[1]节奏总纲!CC148</f>
        <v>76.744300993869714</v>
      </c>
    </row>
    <row r="149" spans="6:81" x14ac:dyDescent="0.15">
      <c r="F149" s="4">
        <f>[1]节奏总纲!F149</f>
        <v>147</v>
      </c>
      <c r="G149" s="4">
        <f>[1]节奏总纲!G149</f>
        <v>26614.886523801088</v>
      </c>
      <c r="N149" s="74">
        <f>[1]节奏总纲!N149</f>
        <v>156</v>
      </c>
      <c r="O149" s="74">
        <f>[1]节奏总纲!O149</f>
        <v>146</v>
      </c>
      <c r="P149" s="74">
        <f>[1]节奏总纲!P149</f>
        <v>24832.50022570635</v>
      </c>
      <c r="Q149" s="74">
        <f>[1]节奏总纲!Q149</f>
        <v>21035.61094119585</v>
      </c>
      <c r="R149" s="74">
        <f>[1]节奏总纲!R149</f>
        <v>16719.722401968087</v>
      </c>
      <c r="S149" s="74">
        <f>[1]节奏总纲!S149</f>
        <v>11847.5858576845</v>
      </c>
      <c r="T149" s="74">
        <f>[1]节奏总纲!T149</f>
        <v>6324.8378074874072</v>
      </c>
      <c r="U149" s="74"/>
      <c r="V149" s="74">
        <f>[1]节奏总纲!V149</f>
        <v>146</v>
      </c>
      <c r="W149" s="74">
        <f>[1]节奏总纲!W149</f>
        <v>1663.0252197855516</v>
      </c>
      <c r="X149" s="74">
        <f>[1]节奏总纲!X149</f>
        <v>1404.1147686791555</v>
      </c>
      <c r="Y149" s="74">
        <f>[1]节奏总纲!Y149</f>
        <v>1068.7420354685873</v>
      </c>
      <c r="Z149" s="74">
        <f>[1]节奏总纲!Z149</f>
        <v>742.45648734666247</v>
      </c>
      <c r="AA149" s="74">
        <f>[1]节奏总纲!AA149</f>
        <v>398.08610097286601</v>
      </c>
      <c r="AC149" s="4">
        <f>[1]节奏总纲!AC149</f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f>[1]节奏总纲!AZ149</f>
        <v>146</v>
      </c>
      <c r="BA149" s="4">
        <f>[1]节奏总纲!BA149</f>
        <v>40.565257713910484</v>
      </c>
      <c r="BB149" s="4">
        <f>[1]节奏总纲!BB149</f>
        <v>42.080366850119908</v>
      </c>
      <c r="BC149" s="4">
        <f>[1]节奏总纲!BC149</f>
        <v>44.024818750237806</v>
      </c>
      <c r="BD149" s="4">
        <f>[1]节奏总纲!BD149</f>
        <v>46.754011500516519</v>
      </c>
      <c r="BE149" s="4">
        <f>[1]节奏总纲!BE149</f>
        <v>51.446820014704571</v>
      </c>
      <c r="BI149" s="74">
        <f>[1]节奏总纲!BI149</f>
        <v>146</v>
      </c>
      <c r="BJ149" s="74">
        <f>[1]节奏总纲!BJ149</f>
        <v>3.4999999999999978</v>
      </c>
      <c r="BK149" s="74">
        <f>[1]节奏总纲!BK149</f>
        <v>3.5699999999999976</v>
      </c>
      <c r="BL149" s="74">
        <f>[1]节奏总纲!BL149</f>
        <v>3.7099999999999977</v>
      </c>
      <c r="BM149" s="74">
        <f>[1]节奏总纲!BM149</f>
        <v>3.9899999999999971</v>
      </c>
      <c r="BN149" s="74">
        <f>[1]节奏总纲!BN149</f>
        <v>4.8999999999999968</v>
      </c>
      <c r="BO149" s="74"/>
      <c r="BP149" s="74"/>
      <c r="BQ149" s="74"/>
      <c r="BR149" s="74"/>
      <c r="BS149" s="74"/>
      <c r="BT149" s="74"/>
      <c r="BU149" s="74"/>
      <c r="BV149" s="74"/>
      <c r="BW149" s="74">
        <f>[1]节奏总纲!BW149</f>
        <v>146</v>
      </c>
      <c r="BX149" s="74">
        <f>[1]节奏总纲!BX149</f>
        <v>75.526704686495577</v>
      </c>
      <c r="BY149" s="74">
        <f>[1]节奏总纲!BY149</f>
        <v>75.932934505318755</v>
      </c>
      <c r="BZ149" s="74">
        <f>[1]节奏总纲!BZ149</f>
        <v>76.319625507968723</v>
      </c>
      <c r="CA149" s="74">
        <f>[1]节奏总纲!CA149</f>
        <v>76.740746590526484</v>
      </c>
      <c r="CB149" s="74">
        <f>[1]节奏总纲!CB149</f>
        <v>77.192425415760482</v>
      </c>
      <c r="CC149" s="74">
        <f>[1]节奏总纲!CC149</f>
        <v>77.192425415760482</v>
      </c>
    </row>
    <row r="150" spans="6:81" x14ac:dyDescent="0.15">
      <c r="F150" s="4">
        <f>[1]节奏总纲!F150</f>
        <v>148</v>
      </c>
      <c r="G150" s="4">
        <f>[1]节奏总纲!G150</f>
        <v>28525.200858087381</v>
      </c>
      <c r="N150" s="74">
        <f>[1]节奏总纲!N150</f>
        <v>157</v>
      </c>
      <c r="O150" s="74">
        <f>[1]节奏总纲!O150</f>
        <v>147</v>
      </c>
      <c r="P150" s="74">
        <f>[1]节奏总纲!P150</f>
        <v>26614.886523801088</v>
      </c>
      <c r="Q150" s="74">
        <f>[1]节奏总纲!Q150</f>
        <v>22470.948692045258</v>
      </c>
      <c r="R150" s="74">
        <f>[1]节奏总纲!R150</f>
        <v>17837.296948251489</v>
      </c>
      <c r="S150" s="74">
        <f>[1]节奏总纲!S150</f>
        <v>12631.425144195997</v>
      </c>
      <c r="T150" s="74">
        <f>[1]节奏总纲!T150</f>
        <v>6754.8581997407164</v>
      </c>
      <c r="U150" s="74"/>
      <c r="V150" s="74">
        <f>[1]节奏总纲!V150</f>
        <v>147</v>
      </c>
      <c r="W150" s="74">
        <f>[1]节奏总纲!W150</f>
        <v>1782.3862980947379</v>
      </c>
      <c r="X150" s="74">
        <f>[1]节奏总纲!X150</f>
        <v>1435.3377508494086</v>
      </c>
      <c r="Y150" s="74">
        <f>[1]节奏总纲!Y150</f>
        <v>1117.574546283402</v>
      </c>
      <c r="Z150" s="74">
        <f>[1]节奏总纲!Z150</f>
        <v>783.83928651149654</v>
      </c>
      <c r="AA150" s="74">
        <f>[1]节奏总纲!AA150</f>
        <v>430.02039225330918</v>
      </c>
      <c r="AC150" s="4">
        <f>[1]节奏总纲!AC150</f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f>[1]节奏总纲!AZ150</f>
        <v>147</v>
      </c>
      <c r="BA150" s="4">
        <f>[1]节奏总纲!BA150</f>
        <v>40.611876906810316</v>
      </c>
      <c r="BB150" s="4">
        <f>[1]节奏总纲!BB150</f>
        <v>42.123757793778736</v>
      </c>
      <c r="BC150" s="4">
        <f>[1]节奏总纲!BC150</f>
        <v>44.067911160744309</v>
      </c>
      <c r="BD150" s="4">
        <f>[1]节奏总纲!BD150</f>
        <v>46.802171607563338</v>
      </c>
      <c r="BE150" s="4">
        <f>[1]节奏总纲!BE150</f>
        <v>51.493031550542263</v>
      </c>
      <c r="BI150" s="74">
        <f>[1]节奏总纲!BI150</f>
        <v>147</v>
      </c>
      <c r="BJ150" s="74">
        <f>[1]节奏总纲!BJ150</f>
        <v>3.4999999999999978</v>
      </c>
      <c r="BK150" s="74">
        <f>[1]节奏总纲!BK150</f>
        <v>3.5699999999999976</v>
      </c>
      <c r="BL150" s="74">
        <f>[1]节奏总纲!BL150</f>
        <v>3.7099999999999977</v>
      </c>
      <c r="BM150" s="74">
        <f>[1]节奏总纲!BM150</f>
        <v>3.9899999999999971</v>
      </c>
      <c r="BN150" s="74">
        <f>[1]节奏总纲!BN150</f>
        <v>4.8999999999999968</v>
      </c>
      <c r="BO150" s="74"/>
      <c r="BP150" s="74"/>
      <c r="BQ150" s="74"/>
      <c r="BR150" s="74"/>
      <c r="BS150" s="74"/>
      <c r="BT150" s="74"/>
      <c r="BU150" s="74"/>
      <c r="BV150" s="74"/>
      <c r="BW150" s="74">
        <f>[1]节奏总纲!BW150</f>
        <v>147</v>
      </c>
      <c r="BX150" s="74">
        <f>[1]节奏总纲!BX150</f>
        <v>76.018981963564528</v>
      </c>
      <c r="BY150" s="74">
        <f>[1]节奏总纲!BY150</f>
        <v>76.37307935688159</v>
      </c>
      <c r="BZ150" s="74">
        <f>[1]节奏总纲!BZ150</f>
        <v>76.767142595945487</v>
      </c>
      <c r="CA150" s="74">
        <f>[1]节奏总纲!CA150</f>
        <v>77.182945989803613</v>
      </c>
      <c r="CB150" s="74">
        <f>[1]节奏总纲!CB150</f>
        <v>77.639136792985582</v>
      </c>
      <c r="CC150" s="74">
        <f>[1]节奏总纲!CC150</f>
        <v>77.639136792985582</v>
      </c>
    </row>
    <row r="151" spans="6:81" x14ac:dyDescent="0.15">
      <c r="F151" s="4">
        <f>[1]节奏总纲!F151</f>
        <v>149</v>
      </c>
      <c r="G151" s="4">
        <f>[1]节奏总纲!G151</f>
        <v>30572.62506667812</v>
      </c>
      <c r="N151" s="74">
        <f>[1]节奏总纲!N151</f>
        <v>158</v>
      </c>
      <c r="O151" s="74">
        <f>[1]节奏总纲!O151</f>
        <v>148</v>
      </c>
      <c r="P151" s="74">
        <f>[1]节奏总纲!P151</f>
        <v>28525.200858087381</v>
      </c>
      <c r="Q151" s="74">
        <f>[1]节奏总纲!Q151</f>
        <v>24083.827084483179</v>
      </c>
      <c r="R151" s="74">
        <f>[1]节奏总纲!R151</f>
        <v>19128.999695433398</v>
      </c>
      <c r="S151" s="74">
        <f>[1]节奏总纲!S151</f>
        <v>13566.58552810636</v>
      </c>
      <c r="T151" s="74">
        <f>[1]节奏总纲!T151</f>
        <v>7242.5484978683862</v>
      </c>
      <c r="U151" s="74"/>
      <c r="V151" s="74">
        <f>[1]节奏总纲!V151</f>
        <v>148</v>
      </c>
      <c r="W151" s="74">
        <f>[1]节奏总纲!W151</f>
        <v>1910.3143342862932</v>
      </c>
      <c r="X151" s="74">
        <f>[1]节奏总纲!X151</f>
        <v>1612.8783924379204</v>
      </c>
      <c r="Y151" s="74">
        <f>[1]节奏总纲!Y151</f>
        <v>1291.7027471819092</v>
      </c>
      <c r="Z151" s="74">
        <f>[1]节奏总纲!Z151</f>
        <v>935.16038391036273</v>
      </c>
      <c r="AA151" s="74">
        <f>[1]节奏总纲!AA151</f>
        <v>487.69029812766985</v>
      </c>
      <c r="AC151" s="4">
        <f>[1]节奏总纲!AC151</f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f>[1]节奏总纲!AZ151</f>
        <v>148</v>
      </c>
      <c r="BA151" s="4">
        <f>[1]节奏总纲!BA151</f>
        <v>40.658496099710149</v>
      </c>
      <c r="BB151" s="4">
        <f>[1]节奏总纲!BB151</f>
        <v>42.167148737437564</v>
      </c>
      <c r="BC151" s="4">
        <f>[1]节奏总纲!BC151</f>
        <v>44.111003571250812</v>
      </c>
      <c r="BD151" s="4">
        <f>[1]节奏总纲!BD151</f>
        <v>46.850331714610157</v>
      </c>
      <c r="BE151" s="4">
        <f>[1]节奏总纲!BE151</f>
        <v>51.539243086379955</v>
      </c>
      <c r="BI151" s="74">
        <f>[1]节奏总纲!BI151</f>
        <v>148</v>
      </c>
      <c r="BJ151" s="74">
        <f>[1]节奏总纲!BJ151</f>
        <v>3.4999999999999978</v>
      </c>
      <c r="BK151" s="74">
        <f>[1]节奏总纲!BK151</f>
        <v>3.5699999999999976</v>
      </c>
      <c r="BL151" s="74">
        <f>[1]节奏总纲!BL151</f>
        <v>3.7099999999999977</v>
      </c>
      <c r="BM151" s="74">
        <f>[1]节奏总纲!BM151</f>
        <v>3.9899999999999971</v>
      </c>
      <c r="BN151" s="74">
        <f>[1]节奏总纲!BN151</f>
        <v>4.8999999999999968</v>
      </c>
      <c r="BO151" s="74"/>
      <c r="BP151" s="74"/>
      <c r="BQ151" s="74"/>
      <c r="BR151" s="74"/>
      <c r="BS151" s="74"/>
      <c r="BT151" s="74"/>
      <c r="BU151" s="74"/>
      <c r="BV151" s="74"/>
      <c r="BW151" s="74">
        <f>[1]节奏总纲!BW151</f>
        <v>148</v>
      </c>
      <c r="BX151" s="74">
        <f>[1]节奏总纲!BX151</f>
        <v>76.477957149162563</v>
      </c>
      <c r="BY151" s="74">
        <f>[1]节奏总纲!BY151</f>
        <v>76.857470293382107</v>
      </c>
      <c r="BZ151" s="74">
        <f>[1]节奏总纲!BZ151</f>
        <v>77.245919604256756</v>
      </c>
      <c r="CA151" s="74">
        <f>[1]节奏总纲!CA151</f>
        <v>77.668675027947558</v>
      </c>
      <c r="CB151" s="74">
        <f>[1]节奏总纲!CB151</f>
        <v>78.126046531078771</v>
      </c>
      <c r="CC151" s="74">
        <f>[1]节奏总纲!CC151</f>
        <v>78.126046531078771</v>
      </c>
    </row>
    <row r="152" spans="6:81" x14ac:dyDescent="0.15">
      <c r="F152" s="4">
        <f>[1]节奏总纲!F152</f>
        <v>150</v>
      </c>
      <c r="G152" s="4">
        <f>[1]节奏总纲!G152</f>
        <v>32767</v>
      </c>
      <c r="N152" s="74">
        <f>[1]节奏总纲!N152</f>
        <v>159</v>
      </c>
      <c r="O152" s="74">
        <f>[1]节奏总纲!O152</f>
        <v>149</v>
      </c>
      <c r="P152" s="74">
        <f>[1]节奏总纲!P152</f>
        <v>30572.62506667812</v>
      </c>
      <c r="Q152" s="74">
        <f>[1]节奏总纲!Q152</f>
        <v>25818.581868809673</v>
      </c>
      <c r="R152" s="74">
        <f>[1]节奏总纲!R152</f>
        <v>20520.345944754354</v>
      </c>
      <c r="S152" s="74">
        <f>[1]节奏总纲!S152</f>
        <v>14549.512269232117</v>
      </c>
      <c r="T152" s="74">
        <f>[1]节奏总纲!T152</f>
        <v>7768.50402944291</v>
      </c>
      <c r="U152" s="74"/>
      <c r="V152" s="74">
        <f>[1]节奏总纲!V152</f>
        <v>149</v>
      </c>
      <c r="W152" s="74">
        <f>[1]节奏总纲!W152</f>
        <v>2047.424208590739</v>
      </c>
      <c r="X152" s="74">
        <f>[1]节奏总纲!X152</f>
        <v>1734.7547843264947</v>
      </c>
      <c r="Y152" s="74">
        <f>[1]节奏总纲!Y152</f>
        <v>1391.3462493209554</v>
      </c>
      <c r="Z152" s="74">
        <f>[1]节奏总纲!Z152</f>
        <v>982.92674112575696</v>
      </c>
      <c r="AA152" s="74">
        <f>[1]节奏总纲!AA152</f>
        <v>525.95553157452377</v>
      </c>
      <c r="AC152" s="4">
        <f>[1]节奏总纲!AC152</f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f>[1]节奏总纲!AZ152</f>
        <v>149</v>
      </c>
      <c r="BA152" s="4">
        <f>[1]节奏总纲!BA152</f>
        <v>40.705115292609982</v>
      </c>
      <c r="BB152" s="4">
        <f>[1]节奏总纲!BB152</f>
        <v>42.2105396810964</v>
      </c>
      <c r="BC152" s="4">
        <f>[1]节奏总纲!BC152</f>
        <v>44.154095981757315</v>
      </c>
      <c r="BD152" s="4">
        <f>[1]节奏总纲!BD152</f>
        <v>46.898491821656968</v>
      </c>
      <c r="BE152" s="4">
        <f>[1]节奏总纲!BE152</f>
        <v>51.585454622217647</v>
      </c>
      <c r="BI152" s="74">
        <f>[1]节奏总纲!BI152</f>
        <v>149</v>
      </c>
      <c r="BJ152" s="74">
        <f>[1]节奏总纲!BJ152</f>
        <v>3.4999999999999978</v>
      </c>
      <c r="BK152" s="74">
        <f>[1]节奏总纲!BK152</f>
        <v>3.5699999999999976</v>
      </c>
      <c r="BL152" s="74">
        <f>[1]节奏总纲!BL152</f>
        <v>3.7099999999999977</v>
      </c>
      <c r="BM152" s="74">
        <f>[1]节奏总纲!BM152</f>
        <v>3.9899999999999971</v>
      </c>
      <c r="BN152" s="74">
        <f>[1]节奏总纲!BN152</f>
        <v>4.8999999999999968</v>
      </c>
      <c r="BO152" s="74"/>
      <c r="BP152" s="74"/>
      <c r="BQ152" s="74"/>
      <c r="BR152" s="74"/>
      <c r="BS152" s="74"/>
      <c r="BT152" s="74"/>
      <c r="BU152" s="74"/>
      <c r="BV152" s="74"/>
      <c r="BW152" s="74">
        <f>[1]节奏总纲!BW152</f>
        <v>149</v>
      </c>
      <c r="BX152" s="74">
        <f>[1]节奏总纲!BX152</f>
        <v>76.969874573049196</v>
      </c>
      <c r="BY152" s="74">
        <f>[1]节奏总纲!BY152</f>
        <v>77.327271482343065</v>
      </c>
      <c r="BZ152" s="74">
        <f>[1]节奏总纲!BZ152</f>
        <v>77.727703112223537</v>
      </c>
      <c r="CA152" s="74">
        <f>[1]节奏总纲!CA152</f>
        <v>78.1549799524241</v>
      </c>
      <c r="CB152" s="74">
        <f>[1]节奏总纲!CB152</f>
        <v>78.598533634779585</v>
      </c>
      <c r="CC152" s="74">
        <f>[1]节奏总纲!CC152</f>
        <v>78.598533634779585</v>
      </c>
    </row>
    <row r="153" spans="6:81" x14ac:dyDescent="0.15">
      <c r="F153" s="74">
        <f>[1]节奏总纲!F153</f>
        <v>151</v>
      </c>
      <c r="G153" s="74">
        <f>[1]节奏总纲!G153</f>
        <v>35118.87282038921</v>
      </c>
      <c r="N153" s="74">
        <f>[1]节奏总纲!N153</f>
        <v>160</v>
      </c>
      <c r="O153" s="74">
        <f>[1]节奏总纲!O153</f>
        <v>150</v>
      </c>
      <c r="P153" s="74">
        <f>[1]节奏总纲!P153</f>
        <v>32767</v>
      </c>
      <c r="Q153" s="74">
        <f>[1]节奏总纲!Q153</f>
        <v>27671.731500000002</v>
      </c>
      <c r="R153" s="74">
        <f>[1]节奏总纲!R153</f>
        <v>21996.487099999998</v>
      </c>
      <c r="S153" s="74">
        <f>[1]节奏总纲!S153</f>
        <v>15603.645400000001</v>
      </c>
      <c r="T153" s="74">
        <f>[1]节奏总纲!T153</f>
        <v>8355.5850000000009</v>
      </c>
      <c r="U153" s="74"/>
      <c r="V153" s="74">
        <f>[1]节奏总纲!V153</f>
        <v>150</v>
      </c>
      <c r="W153" s="74">
        <f>[1]节奏总纲!W153</f>
        <v>2194.3749333218802</v>
      </c>
      <c r="X153" s="74">
        <f>[1]节奏总纲!X153</f>
        <v>1853.1496311903284</v>
      </c>
      <c r="Y153" s="74">
        <f>[1]节奏总纲!Y153</f>
        <v>1476.1411552456448</v>
      </c>
      <c r="Z153" s="74">
        <f>[1]节奏总纲!Z153</f>
        <v>1054.1331307678847</v>
      </c>
      <c r="AA153" s="74">
        <f>[1]节奏总纲!AA153</f>
        <v>587.08097055709095</v>
      </c>
      <c r="AC153" s="4">
        <f>[1]节奏总纲!AC153</f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f>[1]节奏总纲!AZ153</f>
        <v>150</v>
      </c>
      <c r="BA153" s="4">
        <f>[1]节奏总纲!BA153</f>
        <v>40.751734485509814</v>
      </c>
      <c r="BB153" s="4">
        <f>[1]节奏总纲!BB153</f>
        <v>42.253930624755228</v>
      </c>
      <c r="BC153" s="4">
        <f>[1]节奏总纲!BC153</f>
        <v>44.197188392263818</v>
      </c>
      <c r="BD153" s="4">
        <f>[1]节奏总纲!BD153</f>
        <v>46.946651928703787</v>
      </c>
      <c r="BE153" s="4">
        <f>[1]节奏总纲!BE153</f>
        <v>51.631666158055346</v>
      </c>
      <c r="BI153" s="74">
        <f>[1]节奏总纲!BI153</f>
        <v>150</v>
      </c>
      <c r="BJ153" s="74">
        <f>[1]节奏总纲!BJ153</f>
        <v>3.4999999999999978</v>
      </c>
      <c r="BK153" s="74">
        <f>[1]节奏总纲!BK153</f>
        <v>3.5699999999999976</v>
      </c>
      <c r="BL153" s="74">
        <f>[1]节奏总纲!BL153</f>
        <v>3.7099999999999977</v>
      </c>
      <c r="BM153" s="74">
        <f>[1]节奏总纲!BM153</f>
        <v>3.9899999999999971</v>
      </c>
      <c r="BN153" s="74">
        <f>[1]节奏总纲!BN153</f>
        <v>4.8999999999999968</v>
      </c>
      <c r="BO153" s="74"/>
      <c r="BP153" s="74"/>
      <c r="BQ153" s="74"/>
      <c r="BR153" s="74"/>
      <c r="BS153" s="74"/>
      <c r="BT153" s="74"/>
      <c r="BU153" s="74"/>
      <c r="BV153" s="74"/>
      <c r="BW153" s="74">
        <f>[1]节奏总纲!BW153</f>
        <v>150</v>
      </c>
      <c r="BX153" s="74">
        <f>[1]节奏总纲!BX153</f>
        <v>77.429859113413457</v>
      </c>
      <c r="BY153" s="74">
        <f>[1]节奏总纲!BY153</f>
        <v>77.808541114473428</v>
      </c>
      <c r="BZ153" s="74">
        <f>[1]节奏总纲!BZ153</f>
        <v>78.206550290005254</v>
      </c>
      <c r="CA153" s="74">
        <f>[1]节奏总纲!CA153</f>
        <v>78.628465142683979</v>
      </c>
      <c r="CB153" s="74">
        <f>[1]节奏总纲!CB153</f>
        <v>79.108907766261424</v>
      </c>
      <c r="CC153" s="74">
        <f>[1]节奏总纲!CC153</f>
        <v>79.108907766261424</v>
      </c>
    </row>
    <row r="154" spans="6:81" x14ac:dyDescent="0.15">
      <c r="F154" s="74">
        <f>[1]节奏总纲!F154</f>
        <v>152</v>
      </c>
      <c r="G154" s="74">
        <f>[1]节奏总纲!G154</f>
        <v>37639.547696542824</v>
      </c>
      <c r="N154" s="74">
        <f>[1]节奏总纲!N154</f>
        <v>161</v>
      </c>
      <c r="O154" s="74">
        <f>[1]节奏总纲!O154</f>
        <v>151</v>
      </c>
      <c r="P154" s="74">
        <f>[1]节奏总纲!P154</f>
        <v>35118.87282038921</v>
      </c>
      <c r="Q154" s="74">
        <f>[1]节奏总纲!Q154</f>
        <v>29671.935645946844</v>
      </c>
      <c r="R154" s="74">
        <f>[1]节奏总纲!R154</f>
        <v>23592.858760737468</v>
      </c>
      <c r="S154" s="74">
        <f>[1]节奏总纲!S154</f>
        <v>16804.380644556237</v>
      </c>
      <c r="T154" s="74">
        <f>[1]节奏总纲!T154</f>
        <v>9095.7880604808051</v>
      </c>
      <c r="U154" s="74"/>
      <c r="V154" s="74">
        <f>[1]节奏总纲!V154</f>
        <v>151</v>
      </c>
      <c r="W154" s="74">
        <f>[1]节奏总纲!W154</f>
        <v>2351.8728203892097</v>
      </c>
      <c r="X154" s="74">
        <f>[1]节奏总纲!X154</f>
        <v>2000.2041459468419</v>
      </c>
      <c r="Y154" s="74">
        <f>[1]节奏总纲!Y154</f>
        <v>1596.3716607374699</v>
      </c>
      <c r="Z154" s="74">
        <f>[1]节奏总纲!Z154</f>
        <v>1200.7352445562356</v>
      </c>
      <c r="AA154" s="74">
        <f>[1]节奏总纲!AA154</f>
        <v>740.2030604808042</v>
      </c>
      <c r="AC154" s="4">
        <f>[1]节奏总纲!AC154</f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f>[1]节奏总纲!AZ154</f>
        <v>151</v>
      </c>
      <c r="BA154" s="4">
        <f>[1]节奏总纲!BA154</f>
        <v>40.798353678409647</v>
      </c>
      <c r="BB154" s="4">
        <f>[1]节奏总纲!BB154</f>
        <v>42.297321568414056</v>
      </c>
      <c r="BC154" s="4">
        <f>[1]节奏总纲!BC154</f>
        <v>44.240280802770329</v>
      </c>
      <c r="BD154" s="4">
        <f>[1]节奏总纲!BD154</f>
        <v>46.994812035750606</v>
      </c>
      <c r="BE154" s="4">
        <f>[1]节奏总纲!BE154</f>
        <v>51.677877693893038</v>
      </c>
      <c r="BI154" s="74">
        <f>[1]节奏总纲!BI154</f>
        <v>151</v>
      </c>
      <c r="BJ154" s="74">
        <f>[1]节奏总纲!BJ154</f>
        <v>3.4999999999999978</v>
      </c>
      <c r="BK154" s="74">
        <f>[1]节奏总纲!BK154</f>
        <v>3.5699999999999976</v>
      </c>
      <c r="BL154" s="74">
        <f>[1]节奏总纲!BL154</f>
        <v>3.7099999999999977</v>
      </c>
      <c r="BM154" s="74">
        <f>[1]节奏总纲!BM154</f>
        <v>3.9899999999999971</v>
      </c>
      <c r="BN154" s="74">
        <f>[1]节奏总纲!BN154</f>
        <v>4.8999999999999968</v>
      </c>
      <c r="BO154" s="74"/>
      <c r="BP154" s="74"/>
      <c r="BQ154" s="74"/>
      <c r="BR154" s="74"/>
      <c r="BS154" s="74"/>
      <c r="BT154" s="74"/>
      <c r="BU154" s="74"/>
      <c r="BV154" s="74"/>
      <c r="BW154" s="74">
        <f>[1]节奏总纲!BW154</f>
        <v>151</v>
      </c>
      <c r="BX154" s="74">
        <f>[1]节奏总纲!BX154</f>
        <v>77.918490985566862</v>
      </c>
      <c r="BY154" s="74">
        <f>[1]节奏总纲!BY154</f>
        <v>78.283647251084375</v>
      </c>
      <c r="BZ154" s="74">
        <f>[1]节奏总纲!BZ154</f>
        <v>78.684578676520431</v>
      </c>
      <c r="CA154" s="74">
        <f>[1]节奏总纲!CA154</f>
        <v>79.145115266529871</v>
      </c>
      <c r="CB154" s="74">
        <f>[1]节奏总纲!CB154</f>
        <v>79.683968750737293</v>
      </c>
      <c r="CC154" s="74">
        <f>[1]节奏总纲!CC154</f>
        <v>79.683968750737293</v>
      </c>
    </row>
    <row r="155" spans="6:81" x14ac:dyDescent="0.15">
      <c r="F155" s="74">
        <f>[1]节奏总纲!F155</f>
        <v>153</v>
      </c>
      <c r="G155" s="74">
        <f>[1]节奏总纲!G155</f>
        <v>40341.140136486232</v>
      </c>
      <c r="N155" s="74">
        <f>[1]节奏总纲!N155</f>
        <v>162</v>
      </c>
      <c r="O155" s="74">
        <f>[1]节奏总纲!O155</f>
        <v>152</v>
      </c>
      <c r="P155" s="74">
        <f>[1]节奏总纲!P155</f>
        <v>37639.547696542824</v>
      </c>
      <c r="Q155" s="74">
        <f>[1]节奏总纲!Q155</f>
        <v>31794.125939269725</v>
      </c>
      <c r="R155" s="74">
        <f>[1]节奏总纲!R155</f>
        <v>25425.514469014677</v>
      </c>
      <c r="S155" s="74">
        <f>[1]节奏总纲!S155</f>
        <v>18255.180632823271</v>
      </c>
      <c r="T155" s="74">
        <f>[1]节奏总纲!T155</f>
        <v>14114.830386203559</v>
      </c>
      <c r="U155" s="74"/>
      <c r="V155" s="74">
        <f>[1]节奏总纲!V155</f>
        <v>152</v>
      </c>
      <c r="W155" s="74">
        <f>[1]节奏总纲!W155</f>
        <v>2520.6748761536146</v>
      </c>
      <c r="X155" s="74">
        <f>[1]节奏总纲!X155</f>
        <v>2122.1902933228812</v>
      </c>
      <c r="Y155" s="74">
        <f>[1]节奏总纲!Y155</f>
        <v>1832.6557082772088</v>
      </c>
      <c r="Z155" s="74">
        <f>[1]节奏总纲!Z155</f>
        <v>1450.7999882670338</v>
      </c>
      <c r="AA155" s="74">
        <f>[1]节奏总纲!AA155</f>
        <v>5019.042325722754</v>
      </c>
      <c r="AC155" s="4">
        <f>[1]节奏总纲!AC155</f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f>[1]节奏总纲!AZ155</f>
        <v>152</v>
      </c>
      <c r="BA155" s="4">
        <f>[1]节奏总纲!BA155</f>
        <v>40.84497287130948</v>
      </c>
      <c r="BB155" s="4">
        <f>[1]节奏总纲!BB155</f>
        <v>42.340712512072891</v>
      </c>
      <c r="BC155" s="4">
        <f>[1]节奏总纲!BC155</f>
        <v>44.283373213276832</v>
      </c>
      <c r="BD155" s="4">
        <f>[1]节奏总纲!BD155</f>
        <v>47.037096473408994</v>
      </c>
      <c r="BE155" s="4">
        <f>[1]节奏总纲!BE155</f>
        <v>51.72408922973073</v>
      </c>
      <c r="BI155" s="74">
        <f>[1]节奏总纲!BI155</f>
        <v>152</v>
      </c>
      <c r="BJ155" s="74">
        <f>[1]节奏总纲!BJ155</f>
        <v>3.4999999999999978</v>
      </c>
      <c r="BK155" s="74">
        <f>[1]节奏总纲!BK155</f>
        <v>3.5699999999999976</v>
      </c>
      <c r="BL155" s="74">
        <f>[1]节奏总纲!BL155</f>
        <v>3.7099999999999977</v>
      </c>
      <c r="BM155" s="74">
        <f>[1]节奏总纲!BM155</f>
        <v>3.9899999999999971</v>
      </c>
      <c r="BN155" s="74">
        <f>[1]节奏总纲!BN155</f>
        <v>4.8999999999999968</v>
      </c>
      <c r="BO155" s="74"/>
      <c r="BP155" s="74"/>
      <c r="BQ155" s="74"/>
      <c r="BR155" s="74"/>
      <c r="BS155" s="74"/>
      <c r="BT155" s="74"/>
      <c r="BU155" s="74"/>
      <c r="BV155" s="74"/>
      <c r="BW155" s="74">
        <f>[1]节奏总纲!BW155</f>
        <v>152</v>
      </c>
      <c r="BX155" s="74">
        <f>[1]节奏总纲!BX155</f>
        <v>78.382397883778651</v>
      </c>
      <c r="BY155" s="74">
        <f>[1]节奏总纲!BY155</f>
        <v>78.760259571422736</v>
      </c>
      <c r="BZ155" s="74">
        <f>[1]节奏总纲!BZ155</f>
        <v>79.201814062049863</v>
      </c>
      <c r="CA155" s="74">
        <f>[1]节奏总纲!CA155</f>
        <v>79.708675804221045</v>
      </c>
      <c r="CB155" s="74">
        <f>[1]节奏总纲!CB155</f>
        <v>80</v>
      </c>
      <c r="CC155" s="74">
        <f>[1]节奏总纲!CC155</f>
        <v>80</v>
      </c>
    </row>
    <row r="156" spans="6:81" x14ac:dyDescent="0.15">
      <c r="F156" s="74">
        <f>[1]节奏总纲!F156</f>
        <v>154</v>
      </c>
      <c r="G156" s="74">
        <f>[1]节奏总纲!G156</f>
        <v>43236.635220206183</v>
      </c>
      <c r="N156" s="74">
        <f>[1]节奏总纲!N156</f>
        <v>163</v>
      </c>
      <c r="O156" s="74">
        <f>[1]节奏总纲!O156</f>
        <v>153</v>
      </c>
      <c r="P156" s="74">
        <f>[1]节奏总纲!P156</f>
        <v>40341.140136486232</v>
      </c>
      <c r="Q156" s="74">
        <f>[1]节奏总纲!Q156</f>
        <v>34330.31025614978</v>
      </c>
      <c r="R156" s="74">
        <f>[1]节奏总纲!R156</f>
        <v>27552.998713220099</v>
      </c>
      <c r="S156" s="74">
        <f>[1]节奏总纲!S156</f>
        <v>24204.684081891737</v>
      </c>
      <c r="T156" s="74">
        <f>[1]节奏总纲!T156</f>
        <v>24204.684081891737</v>
      </c>
      <c r="U156" s="74"/>
      <c r="V156" s="74">
        <f>[1]节奏总纲!V156</f>
        <v>153</v>
      </c>
      <c r="W156" s="74">
        <f>[1]节奏总纲!W156</f>
        <v>2701.592439943408</v>
      </c>
      <c r="X156" s="74">
        <f>[1]节奏总纲!X156</f>
        <v>2536.1843168800551</v>
      </c>
      <c r="Y156" s="74">
        <f>[1]节奏总纲!Y156</f>
        <v>2127.4842442054214</v>
      </c>
      <c r="Z156" s="74">
        <f>[1]节奏总纲!Z156</f>
        <v>5949.5034490684666</v>
      </c>
      <c r="AA156" s="74">
        <f>[1]节奏总纲!AA156</f>
        <v>10089.853695688178</v>
      </c>
      <c r="AC156" s="4">
        <f>[1]节奏总纲!AC156</f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f>[1]节奏总纲!AZ156</f>
        <v>153</v>
      </c>
      <c r="BA156" s="4">
        <f>[1]节奏总纲!BA156</f>
        <v>40.891592064209313</v>
      </c>
      <c r="BB156" s="4">
        <f>[1]节奏总纲!BB156</f>
        <v>42.384103455731719</v>
      </c>
      <c r="BC156" s="4">
        <f>[1]节奏总纲!BC156</f>
        <v>44.326465623783335</v>
      </c>
      <c r="BD156" s="4">
        <f>[1]节奏总纲!BD156</f>
        <v>47.078671550054786</v>
      </c>
      <c r="BE156" s="4">
        <f>[1]节奏总纲!BE156</f>
        <v>51.770300765568422</v>
      </c>
      <c r="BI156" s="74">
        <f>[1]节奏总纲!BI156</f>
        <v>153</v>
      </c>
      <c r="BJ156" s="74">
        <f>[1]节奏总纲!BJ156</f>
        <v>3.4999999999999978</v>
      </c>
      <c r="BK156" s="74">
        <f>[1]节奏总纲!BK156</f>
        <v>3.5699999999999976</v>
      </c>
      <c r="BL156" s="74">
        <f>[1]节奏总纲!BL156</f>
        <v>3.7099999999999977</v>
      </c>
      <c r="BM156" s="74">
        <f>[1]节奏总纲!BM156</f>
        <v>3.9899999999999971</v>
      </c>
      <c r="BN156" s="74">
        <f>[1]节奏总纲!BN156</f>
        <v>4.8999999999999968</v>
      </c>
      <c r="BO156" s="74"/>
      <c r="BP156" s="74"/>
      <c r="BQ156" s="74"/>
      <c r="BR156" s="74"/>
      <c r="BS156" s="74"/>
      <c r="BT156" s="74"/>
      <c r="BU156" s="74"/>
      <c r="BV156" s="74"/>
      <c r="BW156" s="74">
        <f>[1]节奏总纲!BW156</f>
        <v>153</v>
      </c>
      <c r="BX156" s="74">
        <f>[1]节奏总纲!BX156</f>
        <v>78.867787811519349</v>
      </c>
      <c r="BY156" s="74">
        <f>[1]节奏总纲!BY156</f>
        <v>79.28525743882193</v>
      </c>
      <c r="BZ156" s="74">
        <f>[1]节奏总纲!BZ156</f>
        <v>79.75275890824517</v>
      </c>
      <c r="CA156" s="74">
        <f>[1]节奏总纲!CA156</f>
        <v>80</v>
      </c>
      <c r="CB156" s="74">
        <f>[1]节奏总纲!CB156</f>
        <v>80</v>
      </c>
      <c r="CC156" s="74">
        <f>[1]节奏总纲!CC156</f>
        <v>80</v>
      </c>
    </row>
    <row r="157" spans="6:81" x14ac:dyDescent="0.15">
      <c r="F157" s="74">
        <f>[1]节奏总纲!F157</f>
        <v>155</v>
      </c>
      <c r="G157" s="74">
        <f>[1]节奏总纲!G157</f>
        <v>46339.950011841604</v>
      </c>
      <c r="N157" s="74">
        <f>[1]节奏总纲!N157</f>
        <v>164</v>
      </c>
      <c r="O157" s="74">
        <f>[1]节奏总纲!O157</f>
        <v>154</v>
      </c>
      <c r="P157" s="74">
        <f>[1]节奏总纲!P157</f>
        <v>43236.635220206183</v>
      </c>
      <c r="Q157" s="74">
        <f>[1]节奏总纲!Q157</f>
        <v>36967.323113276288</v>
      </c>
      <c r="R157" s="74">
        <f>[1]节奏总纲!R157</f>
        <v>33940.758647861854</v>
      </c>
      <c r="S157" s="74">
        <f>[1]节奏总纲!S157</f>
        <v>34156.941823962887</v>
      </c>
      <c r="T157" s="74">
        <f>[1]节奏总纲!T157</f>
        <v>34156.941823962887</v>
      </c>
      <c r="U157" s="74"/>
      <c r="V157" s="74">
        <f>[1]节奏总纲!V157</f>
        <v>154</v>
      </c>
      <c r="W157" s="74">
        <f>[1]节奏总纲!W157</f>
        <v>2895.4950837199503</v>
      </c>
      <c r="X157" s="74">
        <f>[1]节奏总纲!X157</f>
        <v>2637.0128571265086</v>
      </c>
      <c r="Y157" s="74">
        <f>[1]节奏总纲!Y157</f>
        <v>6387.7599346417555</v>
      </c>
      <c r="Z157" s="74">
        <f>[1]节奏总纲!Z157</f>
        <v>9952.2577420711496</v>
      </c>
      <c r="AA157" s="74">
        <f>[1]节奏总纲!AA157</f>
        <v>9952.2577420711496</v>
      </c>
      <c r="AC157" s="4">
        <f>[1]节奏总纲!AC157</f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f>[1]节奏总纲!AZ157</f>
        <v>154</v>
      </c>
      <c r="BA157" s="4">
        <f>[1]节奏总纲!BA157</f>
        <v>40.938211257109145</v>
      </c>
      <c r="BB157" s="4">
        <f>[1]节奏总纲!BB157</f>
        <v>42.427494399390554</v>
      </c>
      <c r="BC157" s="4">
        <f>[1]节奏总纲!BC157</f>
        <v>44.369558034289838</v>
      </c>
      <c r="BD157" s="4">
        <f>[1]节奏总纲!BD157</f>
        <v>47.12024662670057</v>
      </c>
      <c r="BE157" s="4">
        <f>[1]节奏总纲!BE157</f>
        <v>51.816512301406114</v>
      </c>
      <c r="BI157" s="74">
        <f>[1]节奏总纲!BI157</f>
        <v>154</v>
      </c>
      <c r="BJ157" s="74">
        <f>[1]节奏总纲!BJ157</f>
        <v>3.4999999999999978</v>
      </c>
      <c r="BK157" s="74">
        <f>[1]节奏总纲!BK157</f>
        <v>3.5699999999999976</v>
      </c>
      <c r="BL157" s="74">
        <f>[1]节奏总纲!BL157</f>
        <v>3.7099999999999977</v>
      </c>
      <c r="BM157" s="74">
        <f>[1]节奏总纲!BM157</f>
        <v>3.9899999999999971</v>
      </c>
      <c r="BN157" s="74">
        <f>[1]节奏总纲!BN157</f>
        <v>4.8999999999999968</v>
      </c>
      <c r="BO157" s="74"/>
      <c r="BP157" s="74"/>
      <c r="BQ157" s="74"/>
      <c r="BR157" s="74"/>
      <c r="BS157" s="74"/>
      <c r="BT157" s="74"/>
      <c r="BU157" s="74"/>
      <c r="BV157" s="74"/>
      <c r="BW157" s="74">
        <f>[1]节奏总纲!BW157</f>
        <v>154</v>
      </c>
      <c r="BX157" s="74">
        <f>[1]节奏总纲!BX157</f>
        <v>79.335561067249373</v>
      </c>
      <c r="BY157" s="74">
        <f>[1]节奏总纲!BY157</f>
        <v>79.797428791068725</v>
      </c>
      <c r="BZ157" s="74">
        <f>[1]节奏总纲!BZ157</f>
        <v>80</v>
      </c>
      <c r="CA157" s="74">
        <f>[1]节奏总纲!CA157</f>
        <v>80</v>
      </c>
      <c r="CB157" s="74">
        <f>[1]节奏总纲!CB157</f>
        <v>80</v>
      </c>
      <c r="CC157" s="74">
        <f>[1]节奏总纲!CC157</f>
        <v>80</v>
      </c>
    </row>
    <row r="158" spans="6:81" x14ac:dyDescent="0.15">
      <c r="F158" s="74">
        <f>[1]节奏总纲!F158</f>
        <v>156</v>
      </c>
      <c r="G158" s="74">
        <f>[1]节奏总纲!G158</f>
        <v>49666.000451412707</v>
      </c>
      <c r="N158" s="74">
        <f>[1]节奏总纲!N158</f>
        <v>165</v>
      </c>
      <c r="O158" s="74">
        <f>[1]节奏总纲!O158</f>
        <v>155</v>
      </c>
      <c r="P158" s="74">
        <f>[1]节奏总纲!P158</f>
        <v>46339.950011841604</v>
      </c>
      <c r="Q158" s="74">
        <f>[1]节奏总纲!Q158</f>
        <v>44078.560451263736</v>
      </c>
      <c r="R158" s="74">
        <f>[1]节奏总纲!R158</f>
        <v>44402.940101346627</v>
      </c>
      <c r="S158" s="74">
        <f>[1]节奏总纲!S158</f>
        <v>44402.940101346627</v>
      </c>
      <c r="T158" s="74">
        <f>[1]节奏总纲!T158</f>
        <v>44541.959951382152</v>
      </c>
      <c r="U158" s="74"/>
      <c r="V158" s="74">
        <f>[1]节奏总纲!V158</f>
        <v>155</v>
      </c>
      <c r="W158" s="74">
        <f>[1]节奏总纲!W158</f>
        <v>3103.314791635421</v>
      </c>
      <c r="X158" s="74">
        <f>[1]节奏总纲!X158</f>
        <v>7111.237337987448</v>
      </c>
      <c r="Y158" s="74">
        <f>[1]节奏总纲!Y158</f>
        <v>10462.181453484773</v>
      </c>
      <c r="Z158" s="74">
        <f>[1]节奏总纲!Z158</f>
        <v>10245.99827738374</v>
      </c>
      <c r="AA158" s="74">
        <f>[1]节奏总纲!AA158</f>
        <v>10385.018127419266</v>
      </c>
      <c r="AC158" s="4">
        <f>[1]节奏总纲!AC158</f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f>[1]节奏总纲!AZ158</f>
        <v>155</v>
      </c>
      <c r="BA158" s="4">
        <f>[1]节奏总纲!BA158</f>
        <v>40.984830450008985</v>
      </c>
      <c r="BB158" s="4">
        <f>[1]节奏总纲!BB158</f>
        <v>42.470885343049382</v>
      </c>
      <c r="BC158" s="4">
        <f>[1]节奏总纲!BC158</f>
        <v>44.412650444796341</v>
      </c>
      <c r="BD158" s="4">
        <f>[1]节奏总纲!BD158</f>
        <v>47.161821703346362</v>
      </c>
      <c r="BE158" s="4">
        <f>[1]节奏总纲!BE158</f>
        <v>51.862723837243806</v>
      </c>
      <c r="BI158" s="74">
        <f>[1]节奏总纲!BI158</f>
        <v>155</v>
      </c>
      <c r="BJ158" s="74">
        <f>[1]节奏总纲!BJ158</f>
        <v>3.4999999999999978</v>
      </c>
      <c r="BK158" s="74">
        <f>[1]节奏总纲!BK158</f>
        <v>3.5699999999999976</v>
      </c>
      <c r="BL158" s="74">
        <f>[1]节奏总纲!BL158</f>
        <v>3.7099999999999977</v>
      </c>
      <c r="BM158" s="74">
        <f>[1]节奏总纲!BM158</f>
        <v>3.9899999999999971</v>
      </c>
      <c r="BN158" s="74">
        <f>[1]节奏总纲!BN158</f>
        <v>4.8999999999999968</v>
      </c>
      <c r="BO158" s="74"/>
      <c r="BP158" s="74"/>
      <c r="BQ158" s="74"/>
      <c r="BR158" s="74"/>
      <c r="BS158" s="74"/>
      <c r="BT158" s="74"/>
      <c r="BU158" s="74"/>
      <c r="BV158" s="74"/>
      <c r="BW158" s="74">
        <f>[1]节奏总纲!BW158</f>
        <v>155</v>
      </c>
      <c r="BX158" s="74">
        <f>[1]节奏总纲!BX158</f>
        <v>79.8177517942256</v>
      </c>
      <c r="BY158" s="74">
        <f>[1]节奏总纲!BY158</f>
        <v>80</v>
      </c>
      <c r="BZ158" s="74">
        <f>[1]节奏总纲!BZ158</f>
        <v>80</v>
      </c>
      <c r="CA158" s="74">
        <f>[1]节奏总纲!CA158</f>
        <v>80</v>
      </c>
      <c r="CB158" s="74">
        <f>[1]节奏总纲!CB158</f>
        <v>80</v>
      </c>
      <c r="CC158" s="74">
        <f>[1]节奏总纲!CC158</f>
        <v>80</v>
      </c>
    </row>
    <row r="159" spans="6:81" x14ac:dyDescent="0.15">
      <c r="F159" s="74">
        <f>[1]节奏总纲!F159</f>
        <v>157</v>
      </c>
      <c r="G159" s="74">
        <f>[1]节奏总纲!G159</f>
        <v>53230.773047602182</v>
      </c>
      <c r="N159" s="74">
        <f>[1]节奏总纲!N159</f>
        <v>166</v>
      </c>
      <c r="O159" s="74">
        <f>[1]节奏总纲!O159</f>
        <v>156</v>
      </c>
      <c r="P159" s="74">
        <f>[1]节奏总纲!P159</f>
        <v>49666.000451412707</v>
      </c>
      <c r="Q159" s="74">
        <f>[1]节奏总纲!Q159</f>
        <v>49666.000451412707</v>
      </c>
      <c r="R159" s="74">
        <f>[1]节奏总纲!R159</f>
        <v>50162.660455926831</v>
      </c>
      <c r="S159" s="74">
        <f>[1]节奏总纲!S159</f>
        <v>50162.660455926831</v>
      </c>
      <c r="T159" s="74">
        <f>[1]节奏总纲!T159</f>
        <v>50311.658457281068</v>
      </c>
      <c r="U159" s="74"/>
      <c r="V159" s="74">
        <f>[1]节奏总纲!V159</f>
        <v>156</v>
      </c>
      <c r="W159" s="74">
        <f>[1]节奏总纲!W159</f>
        <v>3326.0504395711032</v>
      </c>
      <c r="X159" s="74">
        <f>[1]节奏总纲!X159</f>
        <v>5587.4400001489703</v>
      </c>
      <c r="Y159" s="74">
        <f>[1]节奏总纲!Y159</f>
        <v>5759.720354580204</v>
      </c>
      <c r="Z159" s="74">
        <f>[1]节奏总纲!Z159</f>
        <v>5759.720354580204</v>
      </c>
      <c r="AA159" s="74">
        <f>[1]节奏总纲!AA159</f>
        <v>5769.6985058989158</v>
      </c>
      <c r="AC159" s="4">
        <f>[1]节奏总纲!AC159</f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f>[1]节奏总纲!AZ159</f>
        <v>156</v>
      </c>
      <c r="BA159" s="4">
        <f>[1]节奏总纲!BA159</f>
        <v>41.027136894088379</v>
      </c>
      <c r="BB159" s="4">
        <f>[1]节奏总纲!BB159</f>
        <v>42.51427628670821</v>
      </c>
      <c r="BC159" s="4">
        <f>[1]节奏总纲!BC159</f>
        <v>44.455742855302844</v>
      </c>
      <c r="BD159" s="4">
        <f>[1]节奏总纲!BD159</f>
        <v>47.203396779992147</v>
      </c>
      <c r="BE159" s="4">
        <f>[1]节奏总纲!BE159</f>
        <v>51.908935373081505</v>
      </c>
      <c r="BI159" s="74">
        <f>[1]节奏总纲!BI159</f>
        <v>156</v>
      </c>
      <c r="BJ159" s="74">
        <f>[1]节奏总纲!BJ159</f>
        <v>3.4999999999999978</v>
      </c>
      <c r="BK159" s="74">
        <f>[1]节奏总纲!BK159</f>
        <v>3.5699999999999976</v>
      </c>
      <c r="BL159" s="74">
        <f>[1]节奏总纲!BL159</f>
        <v>3.7099999999999977</v>
      </c>
      <c r="BM159" s="74">
        <f>[1]节奏总纲!BM159</f>
        <v>3.9899999999999971</v>
      </c>
      <c r="BN159" s="74">
        <f>[1]节奏总纲!BN159</f>
        <v>4.8999999999999968</v>
      </c>
      <c r="BO159" s="74"/>
      <c r="BP159" s="74"/>
      <c r="BQ159" s="74"/>
      <c r="BR159" s="74"/>
      <c r="BS159" s="74"/>
      <c r="BT159" s="74"/>
      <c r="BU159" s="74"/>
      <c r="BV159" s="74"/>
      <c r="BW159" s="74">
        <f>[1]节奏总纲!BW159</f>
        <v>156</v>
      </c>
      <c r="BX159" s="74">
        <f>[1]节奏总纲!BX159</f>
        <v>80</v>
      </c>
      <c r="BY159" s="74">
        <f>[1]节奏总纲!BY159</f>
        <v>80</v>
      </c>
      <c r="BZ159" s="74">
        <f>[1]节奏总纲!BZ159</f>
        <v>80</v>
      </c>
      <c r="CA159" s="74">
        <f>[1]节奏总纲!CA159</f>
        <v>80</v>
      </c>
      <c r="CB159" s="74">
        <f>[1]节奏总纲!CB159</f>
        <v>80</v>
      </c>
      <c r="CC159" s="74">
        <f>[1]节奏总纲!CC159</f>
        <v>80</v>
      </c>
    </row>
    <row r="160" spans="6:81" x14ac:dyDescent="0.15">
      <c r="F160" s="74">
        <f>[1]节奏总纲!F160</f>
        <v>158</v>
      </c>
      <c r="G160" s="74">
        <f>[1]节奏总纲!G160</f>
        <v>57051.401716174769</v>
      </c>
      <c r="N160" s="74">
        <f>[1]节奏总纲!N160</f>
        <v>167</v>
      </c>
      <c r="O160" s="74">
        <f>[1]节奏总纲!O160</f>
        <v>157</v>
      </c>
      <c r="P160" s="74">
        <f>[1]节奏总纲!P160</f>
        <v>53230.773047602182</v>
      </c>
      <c r="Q160" s="74">
        <f>[1]节奏总纲!Q160</f>
        <v>53230.773047602182</v>
      </c>
      <c r="R160" s="74">
        <f>[1]节奏总纲!R160</f>
        <v>53763.080778078205</v>
      </c>
      <c r="S160" s="74">
        <f>[1]节奏总纲!S160</f>
        <v>53763.080778078205</v>
      </c>
      <c r="T160" s="74">
        <f>[1]节奏总纲!T160</f>
        <v>53763.080778078205</v>
      </c>
      <c r="U160" s="74"/>
      <c r="V160" s="74">
        <f>[1]节奏总纲!V160</f>
        <v>157</v>
      </c>
      <c r="W160" s="74">
        <f>[1]节奏总纲!W160</f>
        <v>3564.7725961894757</v>
      </c>
      <c r="X160" s="74">
        <f>[1]节奏总纲!X160</f>
        <v>3564.7725961894757</v>
      </c>
      <c r="Y160" s="74">
        <f>[1]节奏总纲!Y160</f>
        <v>3600.4203221513744</v>
      </c>
      <c r="Z160" s="74">
        <f>[1]节奏总纲!Z160</f>
        <v>3600.4203221513744</v>
      </c>
      <c r="AA160" s="74">
        <f>[1]节奏总纲!AA160</f>
        <v>3451.4223207971372</v>
      </c>
      <c r="AC160" s="4">
        <f>[1]节奏总纲!AC160</f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f>[1]节奏总纲!AZ160</f>
        <v>157</v>
      </c>
      <c r="BA160" s="4">
        <f>[1]节奏总纲!BA160</f>
        <v>41.067363109180121</v>
      </c>
      <c r="BB160" s="4">
        <f>[1]节奏总纲!BB160</f>
        <v>42.557667230367045</v>
      </c>
      <c r="BC160" s="4">
        <f>[1]节奏总纲!BC160</f>
        <v>44.498835265809355</v>
      </c>
      <c r="BD160" s="4">
        <f>[1]节奏总纲!BD160</f>
        <v>47.244971856637939</v>
      </c>
      <c r="BE160" s="4">
        <f>[1]节奏总纲!BE160</f>
        <v>51.955146908919197</v>
      </c>
      <c r="BI160" s="74">
        <f>[1]节奏总纲!BI160</f>
        <v>157</v>
      </c>
      <c r="BJ160" s="74">
        <f>[1]节奏总纲!BJ160</f>
        <v>3.4999999999999978</v>
      </c>
      <c r="BK160" s="74">
        <f>[1]节奏总纲!BK160</f>
        <v>3.5699999999999976</v>
      </c>
      <c r="BL160" s="74">
        <f>[1]节奏总纲!BL160</f>
        <v>3.7099999999999977</v>
      </c>
      <c r="BM160" s="74">
        <f>[1]节奏总纲!BM160</f>
        <v>3.9899999999999971</v>
      </c>
      <c r="BN160" s="74">
        <f>[1]节奏总纲!BN160</f>
        <v>4.8999999999999968</v>
      </c>
      <c r="BO160" s="74"/>
      <c r="BP160" s="74"/>
      <c r="BQ160" s="74"/>
      <c r="BR160" s="74"/>
      <c r="BS160" s="74"/>
      <c r="BT160" s="74"/>
      <c r="BU160" s="74"/>
      <c r="BV160" s="74"/>
      <c r="BW160" s="74">
        <f>[1]节奏总纲!BW160</f>
        <v>157</v>
      </c>
      <c r="BX160" s="74">
        <f>[1]节奏总纲!BX160</f>
        <v>80</v>
      </c>
      <c r="BY160" s="74">
        <f>[1]节奏总纲!BY160</f>
        <v>80</v>
      </c>
      <c r="BZ160" s="74">
        <f>[1]节奏总纲!BZ160</f>
        <v>80</v>
      </c>
      <c r="CA160" s="74">
        <f>[1]节奏总纲!CA160</f>
        <v>80</v>
      </c>
      <c r="CB160" s="74">
        <f>[1]节奏总纲!CB160</f>
        <v>80</v>
      </c>
      <c r="CC160" s="74">
        <f>[1]节奏总纲!CC160</f>
        <v>80</v>
      </c>
    </row>
    <row r="161" spans="6:81" x14ac:dyDescent="0.15">
      <c r="F161" s="74">
        <f>[1]节奏总纲!F161</f>
        <v>159</v>
      </c>
      <c r="G161" s="74">
        <f>[1]节奏总纲!G161</f>
        <v>61146.25013335624</v>
      </c>
      <c r="N161" s="74">
        <f>[1]节奏总纲!N161</f>
        <v>168</v>
      </c>
      <c r="O161" s="74">
        <f>[1]节奏总纲!O161</f>
        <v>158</v>
      </c>
      <c r="P161" s="74">
        <f>[1]节奏总纲!P161</f>
        <v>57051.401716174769</v>
      </c>
      <c r="Q161" s="74">
        <f>[1]节奏总纲!Q161</f>
        <v>57051.401716174769</v>
      </c>
      <c r="R161" s="74">
        <f>[1]节奏总纲!R161</f>
        <v>57621.915733336515</v>
      </c>
      <c r="S161" s="74">
        <f>[1]节奏总纲!S161</f>
        <v>57621.915733336515</v>
      </c>
      <c r="T161" s="74">
        <f>[1]节奏总纲!T161</f>
        <v>57621.915733336515</v>
      </c>
      <c r="U161" s="74"/>
      <c r="V161" s="74">
        <f>[1]节奏总纲!V161</f>
        <v>158</v>
      </c>
      <c r="W161" s="74">
        <f>[1]节奏总纲!W161</f>
        <v>3820.6286685725863</v>
      </c>
      <c r="X161" s="74">
        <f>[1]节奏总纲!X161</f>
        <v>3820.6286685725863</v>
      </c>
      <c r="Y161" s="74">
        <f>[1]节奏总纲!Y161</f>
        <v>3858.8349552583095</v>
      </c>
      <c r="Z161" s="74">
        <f>[1]节奏总纲!Z161</f>
        <v>3858.8349552583095</v>
      </c>
      <c r="AA161" s="74">
        <f>[1]节奏总纲!AA161</f>
        <v>3858.8349552583095</v>
      </c>
      <c r="AC161" s="4">
        <f>[1]节奏总纲!AC161</f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f>[1]节奏总纲!AZ161</f>
        <v>158</v>
      </c>
      <c r="BA161" s="4">
        <f>[1]节奏总纲!BA161</f>
        <v>41.107589324271871</v>
      </c>
      <c r="BB161" s="4">
        <f>[1]节奏总纲!BB161</f>
        <v>42.601058174025873</v>
      </c>
      <c r="BC161" s="4">
        <f>[1]节奏总纲!BC161</f>
        <v>44.541927676315858</v>
      </c>
      <c r="BD161" s="4">
        <f>[1]节奏总纲!BD161</f>
        <v>47.286546933283724</v>
      </c>
      <c r="BE161" s="4">
        <f>[1]节奏总纲!BE161</f>
        <v>52.001173105835825</v>
      </c>
      <c r="BI161" s="74">
        <f>[1]节奏总纲!BI161</f>
        <v>158</v>
      </c>
      <c r="BJ161" s="74">
        <f>[1]节奏总纲!BJ161</f>
        <v>3.4999999999999978</v>
      </c>
      <c r="BK161" s="74">
        <f>[1]节奏总纲!BK161</f>
        <v>3.5699999999999976</v>
      </c>
      <c r="BL161" s="74">
        <f>[1]节奏总纲!BL161</f>
        <v>3.7099999999999977</v>
      </c>
      <c r="BM161" s="74">
        <f>[1]节奏总纲!BM161</f>
        <v>3.9899999999999971</v>
      </c>
      <c r="BN161" s="74">
        <f>[1]节奏总纲!BN161</f>
        <v>4.8999999999999968</v>
      </c>
      <c r="BO161" s="74"/>
      <c r="BP161" s="74"/>
      <c r="BQ161" s="74"/>
      <c r="BR161" s="74"/>
      <c r="BS161" s="74"/>
      <c r="BT161" s="74"/>
      <c r="BU161" s="74"/>
      <c r="BV161" s="74"/>
      <c r="BW161" s="74">
        <f>[1]节奏总纲!BW161</f>
        <v>158</v>
      </c>
      <c r="BX161" s="74">
        <f>[1]节奏总纲!BX161</f>
        <v>80</v>
      </c>
      <c r="BY161" s="74">
        <f>[1]节奏总纲!BY161</f>
        <v>80</v>
      </c>
      <c r="BZ161" s="74">
        <f>[1]节奏总纲!BZ161</f>
        <v>80</v>
      </c>
      <c r="CA161" s="74">
        <f>[1]节奏总纲!CA161</f>
        <v>80</v>
      </c>
      <c r="CB161" s="74">
        <f>[1]节奏总纲!CB161</f>
        <v>80</v>
      </c>
      <c r="CC161" s="74">
        <f>[1]节奏总纲!CC161</f>
        <v>80</v>
      </c>
    </row>
    <row r="162" spans="6:81" x14ac:dyDescent="0.15">
      <c r="F162" s="74">
        <f>[1]节奏总纲!F162</f>
        <v>160</v>
      </c>
      <c r="G162" s="74">
        <f>[1]节奏总纲!G162</f>
        <v>65535</v>
      </c>
      <c r="N162" s="74">
        <f>[1]节奏总纲!N162</f>
        <v>169</v>
      </c>
      <c r="O162" s="74">
        <f>[1]节奏总纲!O162</f>
        <v>159</v>
      </c>
      <c r="P162" s="74">
        <f>[1]节奏总纲!P162</f>
        <v>61146.25013335624</v>
      </c>
      <c r="Q162" s="74">
        <f>[1]节奏总纲!Q162</f>
        <v>61146.25013335624</v>
      </c>
      <c r="R162" s="74">
        <f>[1]节奏总纲!R162</f>
        <v>61757.7126346898</v>
      </c>
      <c r="S162" s="74">
        <f>[1]节奏总纲!S162</f>
        <v>61757.7126346898</v>
      </c>
      <c r="T162" s="74">
        <f>[1]节奏总纲!T162</f>
        <v>61757.7126346898</v>
      </c>
      <c r="U162" s="74"/>
      <c r="V162" s="74">
        <f>[1]节奏总纲!V162</f>
        <v>159</v>
      </c>
      <c r="W162" s="74">
        <f>[1]节奏总纲!W162</f>
        <v>4094.8484171814707</v>
      </c>
      <c r="X162" s="74">
        <f>[1]节奏总纲!X162</f>
        <v>4094.8484171814707</v>
      </c>
      <c r="Y162" s="74">
        <f>[1]节奏总纲!Y162</f>
        <v>4135.7969013532856</v>
      </c>
      <c r="Z162" s="74">
        <f>[1]节奏总纲!Z162</f>
        <v>4135.7969013532856</v>
      </c>
      <c r="AA162" s="74">
        <f>[1]节奏总纲!AA162</f>
        <v>4135.7969013532856</v>
      </c>
      <c r="AC162" s="4">
        <f>[1]节奏总纲!AC162</f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f>[1]节奏总纲!AZ162</f>
        <v>159</v>
      </c>
      <c r="BA162" s="4">
        <f>[1]节奏总纲!BA162</f>
        <v>41.147815539363613</v>
      </c>
      <c r="BB162" s="4">
        <f>[1]节奏总纲!BB162</f>
        <v>42.644449117684701</v>
      </c>
      <c r="BC162" s="4">
        <f>[1]节奏总纲!BC162</f>
        <v>44.585020086822361</v>
      </c>
      <c r="BD162" s="4">
        <f>[1]节奏总纲!BD162</f>
        <v>47.328122009929508</v>
      </c>
      <c r="BE162" s="4">
        <f>[1]节奏总纲!BE162</f>
        <v>52.041079787427918</v>
      </c>
      <c r="BI162" s="74">
        <f>[1]节奏总纲!BI162</f>
        <v>159</v>
      </c>
      <c r="BJ162" s="74">
        <f>[1]节奏总纲!BJ162</f>
        <v>3.4999999999999978</v>
      </c>
      <c r="BK162" s="74">
        <f>[1]节奏总纲!BK162</f>
        <v>3.5699999999999976</v>
      </c>
      <c r="BL162" s="74">
        <f>[1]节奏总纲!BL162</f>
        <v>3.7099999999999977</v>
      </c>
      <c r="BM162" s="74">
        <f>[1]节奏总纲!BM162</f>
        <v>3.9899999999999971</v>
      </c>
      <c r="BN162" s="74">
        <f>[1]节奏总纲!BN162</f>
        <v>4.8999999999999968</v>
      </c>
      <c r="BO162" s="74"/>
      <c r="BP162" s="74"/>
      <c r="BQ162" s="74"/>
      <c r="BR162" s="74"/>
      <c r="BS162" s="74"/>
      <c r="BT162" s="74"/>
      <c r="BU162" s="74"/>
      <c r="BV162" s="74"/>
      <c r="BW162" s="74">
        <f>[1]节奏总纲!BW162</f>
        <v>159</v>
      </c>
      <c r="BX162" s="74">
        <f>[1]节奏总纲!BX162</f>
        <v>80</v>
      </c>
      <c r="BY162" s="74">
        <f>[1]节奏总纲!BY162</f>
        <v>80</v>
      </c>
      <c r="BZ162" s="74">
        <f>[1]节奏总纲!BZ162</f>
        <v>80</v>
      </c>
      <c r="CA162" s="74">
        <f>[1]节奏总纲!CA162</f>
        <v>80</v>
      </c>
      <c r="CB162" s="74">
        <f>[1]节奏总纲!CB162</f>
        <v>80</v>
      </c>
      <c r="CC162" s="74">
        <f>[1]节奏总纲!CC162</f>
        <v>80</v>
      </c>
    </row>
    <row r="163" spans="6:81" x14ac:dyDescent="0.15">
      <c r="N163" s="74">
        <f>[1]节奏总纲!N163</f>
        <v>170</v>
      </c>
      <c r="O163" s="74">
        <f>[1]节奏总纲!O163</f>
        <v>160</v>
      </c>
      <c r="P163" s="74">
        <f>[1]节奏总纲!P163</f>
        <v>65535</v>
      </c>
      <c r="Q163" s="74">
        <f>[1]节奏总纲!Q163</f>
        <v>65535</v>
      </c>
      <c r="R163" s="74">
        <f>[1]节奏总纲!R163</f>
        <v>66190.350000000006</v>
      </c>
      <c r="S163" s="74">
        <f>[1]节奏总纲!S163</f>
        <v>66190.350000000006</v>
      </c>
      <c r="T163" s="74">
        <f>[1]节奏总纲!T163</f>
        <v>66190.350000000006</v>
      </c>
      <c r="U163" s="74"/>
      <c r="V163" s="74">
        <f>[1]节奏总纲!V163</f>
        <v>160</v>
      </c>
      <c r="W163" s="74">
        <f>[1]节奏总纲!W163</f>
        <v>4388.7498666437605</v>
      </c>
      <c r="X163" s="74">
        <f>[1]节奏总纲!X163</f>
        <v>4388.7498666437605</v>
      </c>
      <c r="Y163" s="74">
        <f>[1]节奏总纲!Y163</f>
        <v>4432.6373653102055</v>
      </c>
      <c r="Z163" s="74">
        <f>[1]节奏总纲!Z163</f>
        <v>4432.6373653102055</v>
      </c>
      <c r="AA163" s="74">
        <f>[1]节奏总纲!AA163</f>
        <v>4432.6373653102055</v>
      </c>
      <c r="AC163" s="4">
        <f>[1]节奏总纲!AC163</f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f>[1]节奏总纲!AZ163</f>
        <v>160</v>
      </c>
      <c r="BA163" s="4">
        <f>[1]节奏总纲!BA163</f>
        <v>41.188041754455355</v>
      </c>
      <c r="BB163" s="4">
        <f>[1]节奏总纲!BB163</f>
        <v>42.687840061343536</v>
      </c>
      <c r="BC163" s="4">
        <f>[1]节奏总纲!BC163</f>
        <v>44.628112497328864</v>
      </c>
      <c r="BD163" s="4">
        <f>[1]节奏总纲!BD163</f>
        <v>47.3696970865753</v>
      </c>
      <c r="BE163" s="4">
        <f>[1]节奏总纲!BE163</f>
        <v>52.080986469020011</v>
      </c>
      <c r="BI163" s="74">
        <f>[1]节奏总纲!BI163</f>
        <v>160</v>
      </c>
      <c r="BJ163" s="74">
        <f>[1]节奏总纲!BJ163</f>
        <v>3.4999999999999978</v>
      </c>
      <c r="BK163" s="74">
        <f>[1]节奏总纲!BK163</f>
        <v>3.5699999999999976</v>
      </c>
      <c r="BL163" s="74">
        <f>[1]节奏总纲!BL163</f>
        <v>3.7099999999999977</v>
      </c>
      <c r="BM163" s="74">
        <f>[1]节奏总纲!BM163</f>
        <v>3.9899999999999971</v>
      </c>
      <c r="BN163" s="74">
        <f>[1]节奏总纲!BN163</f>
        <v>4.8999999999999968</v>
      </c>
      <c r="BO163" s="74"/>
      <c r="BP163" s="74"/>
      <c r="BQ163" s="74"/>
      <c r="BR163" s="74"/>
      <c r="BS163" s="74"/>
      <c r="BT163" s="74"/>
      <c r="BU163" s="74"/>
      <c r="BV163" s="74"/>
      <c r="BW163" s="74">
        <f>[1]节奏总纲!BW163</f>
        <v>160</v>
      </c>
      <c r="BX163" s="74">
        <f>[1]节奏总纲!BX163</f>
        <v>80</v>
      </c>
      <c r="BY163" s="74">
        <f>[1]节奏总纲!BY163</f>
        <v>80</v>
      </c>
      <c r="BZ163" s="74">
        <f>[1]节奏总纲!BZ163</f>
        <v>80</v>
      </c>
      <c r="CA163" s="74">
        <f>[1]节奏总纲!CA163</f>
        <v>80</v>
      </c>
      <c r="CB163" s="74">
        <f>[1]节奏总纲!CB163</f>
        <v>80</v>
      </c>
      <c r="CC163" s="74">
        <f>[1]节奏总纲!CC163</f>
        <v>80</v>
      </c>
    </row>
    <row r="164" spans="6:81" x14ac:dyDescent="0.15">
      <c r="AC164" s="4">
        <f>[1]节奏总纲!AC164</f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f>[1]节奏总纲!AZ164</f>
        <v>161</v>
      </c>
      <c r="BA164" s="4">
        <f>[1]节奏总纲!BA164</f>
        <v>41.228267969547105</v>
      </c>
      <c r="BB164" s="4">
        <f>[1]节奏总纲!BB164</f>
        <v>42.731231005002364</v>
      </c>
      <c r="BC164" s="4">
        <f>[1]节奏总纲!BC164</f>
        <v>44.671204907835367</v>
      </c>
      <c r="BD164" s="4">
        <f>[1]节奏总纲!BD164</f>
        <v>47.411272163221085</v>
      </c>
      <c r="BE164" s="4">
        <f>[1]节奏总纲!BE164</f>
        <v>52.120893150612112</v>
      </c>
    </row>
    <row r="165" spans="6:81" x14ac:dyDescent="0.15">
      <c r="AC165" s="4">
        <f>[1]节奏总纲!AC165</f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f>[1]节奏总纲!AZ165</f>
        <v>162</v>
      </c>
      <c r="BA165" s="4">
        <f>[1]节奏总纲!BA165</f>
        <v>41.268494184638847</v>
      </c>
      <c r="BB165" s="4">
        <f>[1]节奏总纲!BB165</f>
        <v>42.774621948661192</v>
      </c>
      <c r="BC165" s="4">
        <f>[1]节奏总纲!BC165</f>
        <v>44.714297318341877</v>
      </c>
      <c r="BD165" s="4">
        <f>[1]节奏总纲!BD165</f>
        <v>47.452847239866877</v>
      </c>
      <c r="BE165" s="4">
        <f>[1]节奏总纲!BE165</f>
        <v>52.160799832204205</v>
      </c>
    </row>
    <row r="166" spans="6:81" x14ac:dyDescent="0.15">
      <c r="AC166" s="4">
        <f>[1]节奏总纲!AC166</f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f>[1]节奏总纲!AZ166</f>
        <v>163</v>
      </c>
      <c r="BA166" s="4">
        <f>[1]节奏总纲!BA166</f>
        <v>41.308720399730589</v>
      </c>
      <c r="BB166" s="4">
        <f>[1]节奏总纲!BB166</f>
        <v>42.818012892320027</v>
      </c>
      <c r="BC166" s="4">
        <f>[1]节奏总纲!BC166</f>
        <v>44.757389728848381</v>
      </c>
      <c r="BD166" s="4">
        <f>[1]节奏总纲!BD166</f>
        <v>47.494422316512662</v>
      </c>
      <c r="BE166" s="4">
        <f>[1]节奏总纲!BE166</f>
        <v>52.200706513796298</v>
      </c>
    </row>
    <row r="167" spans="6:81" x14ac:dyDescent="0.15">
      <c r="AC167" s="4">
        <f>[1]节奏总纲!AC167</f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f>[1]节奏总纲!AZ167</f>
        <v>164</v>
      </c>
      <c r="BA167" s="4">
        <f>[1]节奏总纲!BA167</f>
        <v>41.348946614822331</v>
      </c>
      <c r="BB167" s="4">
        <f>[1]节奏总纲!BB167</f>
        <v>42.861403835978855</v>
      </c>
      <c r="BC167" s="4">
        <f>[1]节奏总纲!BC167</f>
        <v>44.800482139354884</v>
      </c>
      <c r="BD167" s="4">
        <f>[1]节奏总纲!BD167</f>
        <v>47.535997393158453</v>
      </c>
      <c r="BE167" s="4">
        <f>[1]节奏总纲!BE167</f>
        <v>52.240613195388391</v>
      </c>
    </row>
    <row r="168" spans="6:81" x14ac:dyDescent="0.15">
      <c r="AC168" s="4">
        <f>[1]节奏总纲!AC168</f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f>[1]节奏总纲!AZ168</f>
        <v>165</v>
      </c>
      <c r="BA168" s="4">
        <f>[1]节奏总纲!BA168</f>
        <v>41.389172829914081</v>
      </c>
      <c r="BB168" s="4">
        <f>[1]节奏总纲!BB168</f>
        <v>42.904794779637683</v>
      </c>
      <c r="BC168" s="4">
        <f>[1]节奏总纲!BC168</f>
        <v>44.843574549861387</v>
      </c>
      <c r="BD168" s="4">
        <f>[1]节奏总纲!BD168</f>
        <v>47.577572469804238</v>
      </c>
      <c r="BE168" s="4">
        <f>[1]节奏总纲!BE168</f>
        <v>52.280519876980485</v>
      </c>
    </row>
    <row r="169" spans="6:81" x14ac:dyDescent="0.15">
      <c r="AC169" s="4">
        <f>[1]节奏总纲!AC169</f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f>[1]节奏总纲!AZ169</f>
        <v>166</v>
      </c>
      <c r="BA169" s="4">
        <f>[1]节奏总纲!BA169</f>
        <v>41.429399045005823</v>
      </c>
      <c r="BB169" s="4">
        <f>[1]节奏总纲!BB169</f>
        <v>42.948185723296518</v>
      </c>
      <c r="BC169" s="4">
        <f>[1]节奏总纲!BC169</f>
        <v>44.88666696036789</v>
      </c>
      <c r="BD169" s="4">
        <f>[1]节奏总纲!BD169</f>
        <v>47.619147546450023</v>
      </c>
      <c r="BE169" s="4">
        <f>[1]节奏总纲!BE169</f>
        <v>52.320426558572585</v>
      </c>
    </row>
    <row r="170" spans="6:81" x14ac:dyDescent="0.15">
      <c r="AC170" s="4">
        <f>[1]节奏总纲!AC170</f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f>[1]节奏总纲!AZ170</f>
        <v>167</v>
      </c>
      <c r="BA170" s="4">
        <f>[1]节奏总纲!BA170</f>
        <v>41.469625260097565</v>
      </c>
      <c r="BB170" s="4">
        <f>[1]节奏总纲!BB170</f>
        <v>42.991576666955346</v>
      </c>
      <c r="BC170" s="4">
        <f>[1]节奏总纲!BC170</f>
        <v>44.9297593708744</v>
      </c>
      <c r="BD170" s="4">
        <f>[1]节奏总纲!BD170</f>
        <v>47.660722623095815</v>
      </c>
      <c r="BE170" s="4">
        <f>[1]节奏总纲!BE170</f>
        <v>52.360333240164678</v>
      </c>
    </row>
    <row r="171" spans="6:81" x14ac:dyDescent="0.15">
      <c r="AC171" s="4">
        <f>[1]节奏总纲!AC171</f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f>[1]节奏总纲!AZ171</f>
        <v>168</v>
      </c>
      <c r="BA171" s="4">
        <f>[1]节奏总纲!BA171</f>
        <v>41.509851475189308</v>
      </c>
      <c r="BB171" s="4">
        <f>[1]节奏总纲!BB171</f>
        <v>43.030177309109042</v>
      </c>
      <c r="BC171" s="4">
        <f>[1]节奏总纲!BC171</f>
        <v>44.972851781380903</v>
      </c>
      <c r="BD171" s="4">
        <f>[1]节奏总纲!BD171</f>
        <v>47.7022976997416</v>
      </c>
      <c r="BE171" s="4">
        <f>[1]节奏总纲!BE171</f>
        <v>52.400239921756771</v>
      </c>
    </row>
    <row r="172" spans="6:81" x14ac:dyDescent="0.15">
      <c r="AC172" s="4">
        <f>[1]节奏总纲!AC172</f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f>[1]节奏总纲!AZ172</f>
        <v>169</v>
      </c>
      <c r="BA172" s="4">
        <f>[1]节奏总纲!BA172</f>
        <v>41.550077690281057</v>
      </c>
      <c r="BB172" s="4">
        <f>[1]节奏总纲!BB172</f>
        <v>43.067624017543686</v>
      </c>
      <c r="BC172" s="4">
        <f>[1]节奏总纲!BC172</f>
        <v>45.013762077986961</v>
      </c>
      <c r="BD172" s="4">
        <f>[1]节奏总纲!BD172</f>
        <v>47.743872776387391</v>
      </c>
      <c r="BE172" s="4">
        <f>[1]节奏总纲!BE172</f>
        <v>52.440146603348865</v>
      </c>
    </row>
    <row r="173" spans="6:81" x14ac:dyDescent="0.15">
      <c r="AC173" s="4">
        <f>[1]节奏总纲!AC173</f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f>[1]节奏总纲!AZ173</f>
        <v>170</v>
      </c>
      <c r="BA173" s="4">
        <f>[1]节奏总纲!BA173</f>
        <v>41.590303905372799</v>
      </c>
      <c r="BB173" s="4">
        <f>[1]节奏总纲!BB173</f>
        <v>43.105070725978337</v>
      </c>
      <c r="BC173" s="4">
        <f>[1]节奏总纲!BC173</f>
        <v>45.050956883357138</v>
      </c>
      <c r="BD173" s="4">
        <f>[1]节奏总纲!BD173</f>
        <v>47.785447853033176</v>
      </c>
      <c r="BE173" s="4">
        <f>[1]节奏总纲!BE173</f>
        <v>52.480053284940965</v>
      </c>
    </row>
    <row r="174" spans="6:81" x14ac:dyDescent="0.15">
      <c r="AC174" s="4">
        <f>[1]节奏总纲!AC174</f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f>[1]节奏总纲!AZ174</f>
        <v>171</v>
      </c>
      <c r="BA174" s="4">
        <f>[1]节奏总纲!BA174</f>
        <v>41.630530120464542</v>
      </c>
      <c r="BB174" s="4">
        <f>[1]节奏总纲!BB174</f>
        <v>43.14251743441298</v>
      </c>
      <c r="BC174" s="4">
        <f>[1]节奏总纲!BC174</f>
        <v>45.088151688727308</v>
      </c>
      <c r="BD174" s="4">
        <f>[1]节奏总纲!BD174</f>
        <v>47.827022929678968</v>
      </c>
      <c r="BE174" s="4">
        <f>[1]节奏总纲!BE174</f>
        <v>52.519959966533058</v>
      </c>
    </row>
    <row r="175" spans="6:81" x14ac:dyDescent="0.15">
      <c r="AC175" s="4">
        <f>[1]节奏总纲!AC175</f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f>[1]节奏总纲!AZ175</f>
        <v>172</v>
      </c>
      <c r="BA175" s="4">
        <f>[1]节奏总纲!BA175</f>
        <v>41.670756335556291</v>
      </c>
      <c r="BB175" s="4">
        <f>[1]节奏总纲!BB175</f>
        <v>43.179964142847631</v>
      </c>
      <c r="BC175" s="4">
        <f>[1]节奏总纲!BC175</f>
        <v>45.125346494097485</v>
      </c>
      <c r="BD175" s="4">
        <f>[1]节奏总纲!BD175</f>
        <v>47.868598006324753</v>
      </c>
      <c r="BE175" s="4">
        <f>[1]节奏总纲!BE175</f>
        <v>52.559866648125151</v>
      </c>
    </row>
    <row r="176" spans="6:81" x14ac:dyDescent="0.15">
      <c r="AC176" s="4">
        <f>[1]节奏总纲!AC176</f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f>[1]节奏总纲!AZ176</f>
        <v>173</v>
      </c>
      <c r="BA176" s="4">
        <f>[1]节奏总纲!BA176</f>
        <v>41.710982550648033</v>
      </c>
      <c r="BB176" s="4">
        <f>[1]节奏总纲!BB176</f>
        <v>43.217410851282274</v>
      </c>
      <c r="BC176" s="4">
        <f>[1]节奏总纲!BC176</f>
        <v>45.162541299467655</v>
      </c>
      <c r="BD176" s="4">
        <f>[1]节奏总纲!BD176</f>
        <v>47.910173082970537</v>
      </c>
      <c r="BE176" s="4">
        <f>[1]节奏总纲!BE176</f>
        <v>52.599773329717245</v>
      </c>
    </row>
    <row r="177" spans="29:57" x14ac:dyDescent="0.15">
      <c r="AC177" s="4">
        <f>[1]节奏总纲!AC177</f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f>[1]节奏总纲!AZ177</f>
        <v>174</v>
      </c>
      <c r="BA177" s="4">
        <f>[1]节奏总纲!BA177</f>
        <v>41.751208765739776</v>
      </c>
      <c r="BB177" s="4">
        <f>[1]节奏总纲!BB177</f>
        <v>43.254857559716925</v>
      </c>
      <c r="BC177" s="4">
        <f>[1]节奏总纲!BC177</f>
        <v>45.199736104837832</v>
      </c>
      <c r="BD177" s="4">
        <f>[1]节奏总纲!BD177</f>
        <v>47.951748159616329</v>
      </c>
      <c r="BE177" s="4">
        <f>[1]节奏总纲!BE177</f>
        <v>52.639680011309345</v>
      </c>
    </row>
    <row r="178" spans="29:57" x14ac:dyDescent="0.15">
      <c r="AC178" s="4">
        <f>[1]节奏总纲!AC178</f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f>[1]节奏总纲!AZ178</f>
        <v>175</v>
      </c>
      <c r="BA178" s="4">
        <f>[1]节奏总纲!BA178</f>
        <v>41.791434980831518</v>
      </c>
      <c r="BB178" s="4">
        <f>[1]节奏总纲!BB178</f>
        <v>43.292304268151575</v>
      </c>
      <c r="BC178" s="4">
        <f>[1]节奏总纲!BC178</f>
        <v>45.236930910208002</v>
      </c>
      <c r="BD178" s="4">
        <f>[1]节奏总纲!BD178</f>
        <v>47.993323236262114</v>
      </c>
      <c r="BE178" s="4">
        <f>[1]节奏总纲!BE178</f>
        <v>52.679586692901438</v>
      </c>
    </row>
    <row r="179" spans="29:57" x14ac:dyDescent="0.15">
      <c r="AC179" s="4">
        <f>[1]节奏总纲!AC179</f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f>[1]节奏总纲!AZ179</f>
        <v>176</v>
      </c>
      <c r="BA179" s="4">
        <f>[1]节奏总纲!BA179</f>
        <v>41.831661195923267</v>
      </c>
      <c r="BB179" s="4">
        <f>[1]节奏总纲!BB179</f>
        <v>43.329750976586219</v>
      </c>
      <c r="BC179" s="4">
        <f>[1]节奏总纲!BC179</f>
        <v>45.274125715578172</v>
      </c>
      <c r="BD179" s="4">
        <f>[1]节奏总纲!BD179</f>
        <v>48.030128751164234</v>
      </c>
      <c r="BE179" s="4">
        <f>[1]节奏总纲!BE179</f>
        <v>52.719493374493531</v>
      </c>
    </row>
    <row r="180" spans="29:57" x14ac:dyDescent="0.15">
      <c r="AC180" s="4">
        <f>[1]节奏总纲!AC180</f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f>[1]节奏总纲!AZ180</f>
        <v>177</v>
      </c>
      <c r="BA180" s="4">
        <f>[1]节奏总纲!BA180</f>
        <v>41.87188741101501</v>
      </c>
      <c r="BB180" s="4">
        <f>[1]节奏总纲!BB180</f>
        <v>43.367197685020869</v>
      </c>
      <c r="BC180" s="4">
        <f>[1]节奏总纲!BC180</f>
        <v>45.31132052094835</v>
      </c>
      <c r="BD180" s="4">
        <f>[1]节奏总纲!BD180</f>
        <v>48.066021750983474</v>
      </c>
      <c r="BE180" s="4">
        <f>[1]节奏总纲!BE180</f>
        <v>52.759400056085624</v>
      </c>
    </row>
    <row r="181" spans="29:57" x14ac:dyDescent="0.15">
      <c r="AC181" s="4">
        <f>[1]节奏总纲!AC181</f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f>[1]节奏总纲!AZ181</f>
        <v>178</v>
      </c>
      <c r="BA181" s="4">
        <f>[1]节奏总纲!BA181</f>
        <v>41.912113626106752</v>
      </c>
      <c r="BB181" s="4">
        <f>[1]节奏总纲!BB181</f>
        <v>43.404644393455513</v>
      </c>
      <c r="BC181" s="4">
        <f>[1]节奏总纲!BC181</f>
        <v>45.34851532631852</v>
      </c>
      <c r="BD181" s="4">
        <f>[1]节奏总纲!BD181</f>
        <v>48.101914750802706</v>
      </c>
      <c r="BE181" s="4">
        <f>[1]节奏总纲!BE181</f>
        <v>52.799306737677718</v>
      </c>
    </row>
    <row r="182" spans="29:57" x14ac:dyDescent="0.15">
      <c r="AC182" s="4">
        <f>[1]节奏总纲!AC182</f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f>[1]节奏总纲!AZ182</f>
        <v>179</v>
      </c>
      <c r="BA182" s="4">
        <f>[1]节奏总纲!BA182</f>
        <v>41.952339841198494</v>
      </c>
      <c r="BB182" s="4">
        <f>[1]节奏总纲!BB182</f>
        <v>43.442091101890163</v>
      </c>
      <c r="BC182" s="4">
        <f>[1]节奏总纲!BC182</f>
        <v>45.385710131688697</v>
      </c>
      <c r="BD182" s="4">
        <f>[1]节奏总纲!BD182</f>
        <v>48.137807750621946</v>
      </c>
      <c r="BE182" s="4">
        <f>[1]节奏总纲!BE182</f>
        <v>52.839213419269818</v>
      </c>
    </row>
    <row r="183" spans="29:57" x14ac:dyDescent="0.15">
      <c r="AC183" s="4">
        <f>[1]节奏总纲!AC183</f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f>[1]节奏总纲!AZ183</f>
        <v>180</v>
      </c>
      <c r="BA183" s="4">
        <f>[1]节奏总纲!BA183</f>
        <v>41.992566056290244</v>
      </c>
      <c r="BB183" s="4">
        <f>[1]节奏总纲!BB183</f>
        <v>43.479537810324807</v>
      </c>
      <c r="BC183" s="4">
        <f>[1]节奏总纲!BC183</f>
        <v>45.422904937058867</v>
      </c>
      <c r="BD183" s="4">
        <f>[1]节奏总纲!BD183</f>
        <v>48.173700750441178</v>
      </c>
      <c r="BE183" s="4">
        <f>[1]节奏总纲!BE183</f>
        <v>52.879120100861911</v>
      </c>
    </row>
    <row r="184" spans="29:57" x14ac:dyDescent="0.15">
      <c r="AC184" s="4">
        <f>[1]节奏总纲!AC184</f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f>[1]节奏总纲!AZ184</f>
        <v>181</v>
      </c>
      <c r="BA184" s="4">
        <f>[1]节奏总纲!BA184</f>
        <v>42.028297717729309</v>
      </c>
      <c r="BB184" s="4">
        <f>[1]节奏总纲!BB184</f>
        <v>43.516984518759458</v>
      </c>
      <c r="BC184" s="4">
        <f>[1]节奏总纲!BC184</f>
        <v>45.460099742429037</v>
      </c>
      <c r="BD184" s="4">
        <f>[1]节奏总纲!BD184</f>
        <v>48.209593750260417</v>
      </c>
      <c r="BE184" s="4">
        <f>[1]节奏总纲!BE184</f>
        <v>52.919026782454004</v>
      </c>
    </row>
    <row r="185" spans="29:57" x14ac:dyDescent="0.15">
      <c r="AC185" s="4">
        <f>[1]节奏总纲!AC185</f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f>[1]节奏总纲!AZ185</f>
        <v>182</v>
      </c>
      <c r="BA185" s="4">
        <f>[1]节奏总纲!BA185</f>
        <v>42.063010472656373</v>
      </c>
      <c r="BB185" s="4">
        <f>[1]节奏总纲!BB185</f>
        <v>43.554431227194108</v>
      </c>
      <c r="BC185" s="4">
        <f>[1]节奏总纲!BC185</f>
        <v>45.497294547799214</v>
      </c>
      <c r="BD185" s="4">
        <f>[1]节奏总纲!BD185</f>
        <v>48.24548675007965</v>
      </c>
      <c r="BE185" s="4">
        <f>[1]节奏总纲!BE185</f>
        <v>52.958933464046098</v>
      </c>
    </row>
    <row r="186" spans="29:57" x14ac:dyDescent="0.15">
      <c r="AC186" s="4">
        <f>[1]节奏总纲!AC186</f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f>[1]节奏总纲!AZ186</f>
        <v>183</v>
      </c>
      <c r="BA186" s="4">
        <f>[1]节奏总纲!BA186</f>
        <v>42.097723227583437</v>
      </c>
      <c r="BB186" s="4">
        <f>[1]节奏总纲!BB186</f>
        <v>43.591877935628752</v>
      </c>
      <c r="BC186" s="4">
        <f>[1]节奏总纲!BC186</f>
        <v>45.534489353169384</v>
      </c>
      <c r="BD186" s="4">
        <f>[1]节奏总纲!BD186</f>
        <v>48.281379749898889</v>
      </c>
      <c r="BE186" s="4">
        <f>[1]节奏总纲!BE186</f>
        <v>52.998840145638198</v>
      </c>
    </row>
    <row r="187" spans="29:57" x14ac:dyDescent="0.15">
      <c r="AC187" s="4">
        <f>[1]节奏总纲!AC187</f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f>[1]节奏总纲!AZ187</f>
        <v>184</v>
      </c>
      <c r="BA187" s="4">
        <f>[1]节奏总纲!BA187</f>
        <v>42.132435982510501</v>
      </c>
      <c r="BB187" s="4">
        <f>[1]节奏总纲!BB187</f>
        <v>43.629324644063402</v>
      </c>
      <c r="BC187" s="4">
        <f>[1]节奏总纲!BC187</f>
        <v>45.571684158539561</v>
      </c>
      <c r="BD187" s="4">
        <f>[1]节奏总纲!BD187</f>
        <v>48.317272749718121</v>
      </c>
      <c r="BE187" s="4">
        <f>[1]节奏总纲!BE187</f>
        <v>53.033462597729766</v>
      </c>
    </row>
    <row r="188" spans="29:57" x14ac:dyDescent="0.15">
      <c r="AC188" s="4">
        <f>[1]节奏总纲!AC188</f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f>[1]节奏总纲!AZ188</f>
        <v>185</v>
      </c>
      <c r="BA188" s="4">
        <f>[1]节奏总纲!BA188</f>
        <v>42.167148737437564</v>
      </c>
      <c r="BB188" s="4">
        <f>[1]节奏总纲!BB188</f>
        <v>43.666771352498046</v>
      </c>
      <c r="BC188" s="4">
        <f>[1]节奏总纲!BC188</f>
        <v>45.608878963909731</v>
      </c>
      <c r="BD188" s="4">
        <f>[1]节奏总纲!BD188</f>
        <v>48.353165749537354</v>
      </c>
      <c r="BE188" s="4">
        <f>[1]节奏总纲!BE188</f>
        <v>53.067926870763252</v>
      </c>
    </row>
    <row r="189" spans="29:57" x14ac:dyDescent="0.15">
      <c r="AC189" s="4">
        <f>[1]节奏总纲!AC189</f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f>[1]节奏总纲!AZ189</f>
        <v>186</v>
      </c>
      <c r="BA189" s="4">
        <f>[1]节奏总纲!BA189</f>
        <v>42.201861492364635</v>
      </c>
      <c r="BB189" s="4">
        <f>[1]节奏总纲!BB189</f>
        <v>43.704218060932696</v>
      </c>
      <c r="BC189" s="4">
        <f>[1]节奏总纲!BC189</f>
        <v>45.646073769279901</v>
      </c>
      <c r="BD189" s="4">
        <f>[1]节奏总纲!BD189</f>
        <v>48.389058749356593</v>
      </c>
      <c r="BE189" s="4">
        <f>[1]节奏总纲!BE189</f>
        <v>53.102391143796744</v>
      </c>
    </row>
    <row r="190" spans="29:57" x14ac:dyDescent="0.15">
      <c r="AC190" s="4">
        <f>[1]节奏总纲!AC190</f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f>[1]节奏总纲!AZ190</f>
        <v>187</v>
      </c>
      <c r="BA190" s="4">
        <f>[1]节奏总纲!BA190</f>
        <v>42.236574247291699</v>
      </c>
      <c r="BB190" s="4">
        <f>[1]节奏总纲!BB190</f>
        <v>43.741664769367347</v>
      </c>
      <c r="BC190" s="4">
        <f>[1]节奏总纲!BC190</f>
        <v>45.683268574650079</v>
      </c>
      <c r="BD190" s="4">
        <f>[1]节奏总纲!BD190</f>
        <v>48.424951749175825</v>
      </c>
      <c r="BE190" s="4">
        <f>[1]节奏总纲!BE190</f>
        <v>53.13685541683023</v>
      </c>
    </row>
    <row r="191" spans="29:57" x14ac:dyDescent="0.15">
      <c r="AC191" s="4">
        <f>[1]节奏总纲!AC191</f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f>[1]节奏总纲!AZ191</f>
        <v>188</v>
      </c>
      <c r="BA191" s="4">
        <f>[1]节奏总纲!BA191</f>
        <v>42.271287002218763</v>
      </c>
      <c r="BB191" s="4">
        <f>[1]节奏总纲!BB191</f>
        <v>43.77911147780199</v>
      </c>
      <c r="BC191" s="4">
        <f>[1]节奏总纲!BC191</f>
        <v>45.720463380020249</v>
      </c>
      <c r="BD191" s="4">
        <f>[1]节奏总纲!BD191</f>
        <v>48.460844748995065</v>
      </c>
      <c r="BE191" s="4">
        <f>[1]节奏总纲!BE191</f>
        <v>53.171319689863722</v>
      </c>
    </row>
    <row r="192" spans="29:57" x14ac:dyDescent="0.15">
      <c r="AC192" s="4">
        <f>[1]节奏总纲!AC192</f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f>[1]节奏总纲!AZ192</f>
        <v>189</v>
      </c>
      <c r="BA192" s="4">
        <f>[1]节奏总纲!BA192</f>
        <v>42.305999757145827</v>
      </c>
      <c r="BB192" s="4">
        <f>[1]节奏总纲!BB192</f>
        <v>43.816558186236641</v>
      </c>
      <c r="BC192" s="4">
        <f>[1]节奏总纲!BC192</f>
        <v>45.757658185390426</v>
      </c>
      <c r="BD192" s="4">
        <f>[1]节奏总纲!BD192</f>
        <v>48.496737748814297</v>
      </c>
      <c r="BE192" s="4">
        <f>[1]节奏总纲!BE192</f>
        <v>53.205783962897208</v>
      </c>
    </row>
    <row r="193" spans="29:57" x14ac:dyDescent="0.15">
      <c r="AC193" s="4">
        <f>[1]节奏总纲!AC193</f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f>[1]节奏总纲!AZ193</f>
        <v>190</v>
      </c>
      <c r="BA193" s="4">
        <f>[1]节奏总纲!BA193</f>
        <v>42.340712512072891</v>
      </c>
      <c r="BB193" s="4">
        <f>[1]节奏总纲!BB193</f>
        <v>43.854004894671284</v>
      </c>
      <c r="BC193" s="4">
        <f>[1]节奏总纲!BC193</f>
        <v>45.794852990760596</v>
      </c>
      <c r="BD193" s="4">
        <f>[1]节奏总纲!BD193</f>
        <v>48.532630748633537</v>
      </c>
      <c r="BE193" s="4">
        <f>[1]节奏总纲!BE193</f>
        <v>53.240248235930693</v>
      </c>
    </row>
    <row r="194" spans="29:57" x14ac:dyDescent="0.15">
      <c r="AC194" s="4">
        <f>[1]节奏总纲!AC194</f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f>[1]节奏总纲!AZ194</f>
        <v>191</v>
      </c>
      <c r="BA194" s="4">
        <f>[1]节奏总纲!BA194</f>
        <v>42.375425266999954</v>
      </c>
      <c r="BB194" s="4">
        <f>[1]节奏总纲!BB194</f>
        <v>43.891451603105935</v>
      </c>
      <c r="BC194" s="4">
        <f>[1]节奏总纲!BC194</f>
        <v>45.832047796130773</v>
      </c>
      <c r="BD194" s="4">
        <f>[1]节奏总纲!BD194</f>
        <v>48.568523748452769</v>
      </c>
      <c r="BE194" s="4">
        <f>[1]节奏总纲!BE194</f>
        <v>53.274712508964186</v>
      </c>
    </row>
    <row r="195" spans="29:57" x14ac:dyDescent="0.15">
      <c r="AC195" s="4">
        <f>[1]节奏总纲!AC195</f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f>[1]节奏总纲!AZ195</f>
        <v>192</v>
      </c>
      <c r="BA195" s="4">
        <f>[1]节奏总纲!BA195</f>
        <v>42.410138021927018</v>
      </c>
      <c r="BB195" s="4">
        <f>[1]节奏总纲!BB195</f>
        <v>43.928898311540578</v>
      </c>
      <c r="BC195" s="4">
        <f>[1]节奏总纲!BC195</f>
        <v>45.869242601500943</v>
      </c>
      <c r="BD195" s="4">
        <f>[1]节奏总纲!BD195</f>
        <v>48.604416748272008</v>
      </c>
      <c r="BE195" s="4">
        <f>[1]节奏总纲!BE195</f>
        <v>53.309176781997671</v>
      </c>
    </row>
    <row r="196" spans="29:57" x14ac:dyDescent="0.15">
      <c r="AC196" s="4">
        <f>[1]节奏总纲!AC196</f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f>[1]节奏总纲!AZ196</f>
        <v>193</v>
      </c>
      <c r="BA196" s="4">
        <f>[1]节奏总纲!BA196</f>
        <v>42.444850776854082</v>
      </c>
      <c r="BB196" s="4">
        <f>[1]节奏总纲!BB196</f>
        <v>43.966345019975229</v>
      </c>
      <c r="BC196" s="4">
        <f>[1]节奏总纲!BC196</f>
        <v>45.906437406871113</v>
      </c>
      <c r="BD196" s="4">
        <f>[1]节奏总纲!BD196</f>
        <v>48.640309748091241</v>
      </c>
      <c r="BE196" s="4">
        <f>[1]节奏总纲!BE196</f>
        <v>53.343641055031163</v>
      </c>
    </row>
    <row r="197" spans="29:57" x14ac:dyDescent="0.15">
      <c r="AC197" s="4">
        <f>[1]节奏总纲!AC197</f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f>[1]节奏总纲!AZ197</f>
        <v>194</v>
      </c>
      <c r="BA197" s="4">
        <f>[1]节奏总纲!BA197</f>
        <v>42.479563531781146</v>
      </c>
      <c r="BB197" s="4">
        <f>[1]节奏总纲!BB197</f>
        <v>44.003272544984547</v>
      </c>
      <c r="BC197" s="4">
        <f>[1]节奏总纲!BC197</f>
        <v>45.94363221224129</v>
      </c>
      <c r="BD197" s="4">
        <f>[1]节奏总纲!BD197</f>
        <v>48.67620274791048</v>
      </c>
      <c r="BE197" s="4">
        <f>[1]节奏总纲!BE197</f>
        <v>53.378105328064649</v>
      </c>
    </row>
    <row r="198" spans="29:57" x14ac:dyDescent="0.15">
      <c r="AC198" s="4">
        <f>[1]节奏总纲!AC198</f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f>[1]节奏总纲!AZ198</f>
        <v>195</v>
      </c>
      <c r="BA198" s="4">
        <f>[1]节奏总纲!BA198</f>
        <v>42.51427628670821</v>
      </c>
      <c r="BB198" s="4">
        <f>[1]节奏总纲!BB198</f>
        <v>44.035591852864428</v>
      </c>
      <c r="BC198" s="4">
        <f>[1]节奏总纲!BC198</f>
        <v>45.98082701761146</v>
      </c>
      <c r="BD198" s="4">
        <f>[1]节奏总纲!BD198</f>
        <v>48.712095747729713</v>
      </c>
      <c r="BE198" s="4">
        <f>[1]节奏总纲!BE198</f>
        <v>53.412569601098134</v>
      </c>
    </row>
    <row r="199" spans="29:57" x14ac:dyDescent="0.15">
      <c r="AC199" s="4">
        <f>[1]节奏总纲!AC199</f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f>[1]节奏总纲!AZ199</f>
        <v>196</v>
      </c>
      <c r="BA199" s="4">
        <f>[1]节奏总纲!BA199</f>
        <v>42.548989041635274</v>
      </c>
      <c r="BB199" s="4">
        <f>[1]节奏总纲!BB199</f>
        <v>44.067911160744309</v>
      </c>
      <c r="BC199" s="4">
        <f>[1]节奏总纲!BC199</f>
        <v>46.01555652579863</v>
      </c>
      <c r="BD199" s="4">
        <f>[1]节奏总纲!BD199</f>
        <v>48.747988747548945</v>
      </c>
      <c r="BE199" s="4">
        <f>[1]节奏总纲!BE199</f>
        <v>53.447033874131627</v>
      </c>
    </row>
    <row r="200" spans="29:57" x14ac:dyDescent="0.15">
      <c r="AC200" s="4">
        <f>[1]节奏总纲!AC200</f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f>[1]节奏总纲!AZ200</f>
        <v>197</v>
      </c>
      <c r="BA200" s="4">
        <f>[1]节奏总纲!BA200</f>
        <v>42.583701796562345</v>
      </c>
      <c r="BB200" s="4">
        <f>[1]节奏总纲!BB200</f>
        <v>44.100230468624183</v>
      </c>
      <c r="BC200" s="4">
        <f>[1]节奏总纲!BC200</f>
        <v>46.047663263829847</v>
      </c>
      <c r="BD200" s="4">
        <f>[1]节奏总纲!BD200</f>
        <v>48.783881747368184</v>
      </c>
      <c r="BE200" s="4">
        <f>[1]节奏总纲!BE200</f>
        <v>53.481498147165112</v>
      </c>
    </row>
    <row r="201" spans="29:57" x14ac:dyDescent="0.15">
      <c r="AC201" s="4">
        <f>[1]节奏总纲!AC201</f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f>[1]节奏总纲!AZ201</f>
        <v>198</v>
      </c>
      <c r="BA201" s="4">
        <f>[1]节奏总纲!BA201</f>
        <v>42.618414551489408</v>
      </c>
      <c r="BB201" s="4">
        <f>[1]节奏总纲!BB201</f>
        <v>44.132549776504064</v>
      </c>
      <c r="BC201" s="4">
        <f>[1]节奏总纲!BC201</f>
        <v>46.079770001861057</v>
      </c>
      <c r="BD201" s="4">
        <f>[1]节奏总纲!BD201</f>
        <v>48.819774747187417</v>
      </c>
      <c r="BE201" s="4">
        <f>[1]节奏总纲!BE201</f>
        <v>53.515962420198605</v>
      </c>
    </row>
    <row r="202" spans="29:57" x14ac:dyDescent="0.15">
      <c r="AC202" s="4">
        <f>[1]节奏总纲!AC202</f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f>[1]节奏总纲!AZ202</f>
        <v>199</v>
      </c>
      <c r="BA202" s="4">
        <f>[1]节奏总纲!BA202</f>
        <v>42.653127306416472</v>
      </c>
      <c r="BB202" s="4">
        <f>[1]节奏总纲!BB202</f>
        <v>44.164869084383938</v>
      </c>
      <c r="BC202" s="4">
        <f>[1]节奏总纲!BC202</f>
        <v>46.111876739892267</v>
      </c>
      <c r="BD202" s="4">
        <f>[1]节奏总纲!BD202</f>
        <v>48.855667747006656</v>
      </c>
      <c r="BE202" s="4">
        <f>[1]节奏总纲!BE202</f>
        <v>53.55042669323209</v>
      </c>
    </row>
    <row r="203" spans="29:57" x14ac:dyDescent="0.15">
      <c r="AC203" s="4">
        <f>[1]节奏总纲!AC203</f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f>[1]节奏总纲!AZ203</f>
        <v>200</v>
      </c>
      <c r="BA203" s="4">
        <f>[1]节奏总纲!BA203</f>
        <v>42.687840061343536</v>
      </c>
      <c r="BB203" s="4">
        <f>[1]节奏总纲!BB203</f>
        <v>44.197188392263818</v>
      </c>
      <c r="BC203" s="4">
        <f>[1]节奏总纲!BC203</f>
        <v>46.143983477923484</v>
      </c>
      <c r="BD203" s="4">
        <f>[1]节奏总纲!BD203</f>
        <v>48.891560746825888</v>
      </c>
      <c r="BE203" s="4">
        <f>[1]节奏总纲!BE203</f>
        <v>53.584890966265583</v>
      </c>
    </row>
    <row r="204" spans="29:57" x14ac:dyDescent="0.15">
      <c r="AC204" s="4">
        <f>[1]节奏总纲!AC204</f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f>[1]节奏总纲!AZ204</f>
        <v>201</v>
      </c>
      <c r="BA204" s="4">
        <f>[1]节奏总纲!BA204</f>
        <v>42.7225528162706</v>
      </c>
      <c r="BB204" s="4">
        <f>[1]节奏总纲!BB204</f>
        <v>44.229507700143699</v>
      </c>
      <c r="BC204" s="4">
        <f>[1]节奏总纲!BC204</f>
        <v>46.176090215954694</v>
      </c>
      <c r="BD204" s="4">
        <f>[1]节奏总纲!BD204</f>
        <v>48.927453746645128</v>
      </c>
      <c r="BE204" s="4">
        <f>[1]节奏总纲!BE204</f>
        <v>53.619355239299068</v>
      </c>
    </row>
    <row r="205" spans="29:57" x14ac:dyDescent="0.15">
      <c r="AC205" s="4">
        <f>[1]节奏总纲!AC205</f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f>[1]节奏总纲!AZ205</f>
        <v>202</v>
      </c>
      <c r="BA205" s="4">
        <f>[1]节奏总纲!BA205</f>
        <v>42.757265571197664</v>
      </c>
      <c r="BB205" s="4">
        <f>[1]节奏总纲!BB205</f>
        <v>44.261827008023573</v>
      </c>
      <c r="BC205" s="4">
        <f>[1]节奏总纲!BC205</f>
        <v>46.208196953985905</v>
      </c>
      <c r="BD205" s="4">
        <f>[1]节奏总纲!BD205</f>
        <v>48.96334674646436</v>
      </c>
      <c r="BE205" s="4">
        <f>[1]节奏总纲!BE205</f>
        <v>53.653819512332554</v>
      </c>
    </row>
    <row r="206" spans="29:57" x14ac:dyDescent="0.15">
      <c r="AC206" s="4">
        <f>[1]节奏总纲!AC206</f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f>[1]节奏总纲!AZ206</f>
        <v>203</v>
      </c>
      <c r="BA206" s="4">
        <f>[1]节奏总纲!BA206</f>
        <v>42.791978326124728</v>
      </c>
      <c r="BB206" s="4">
        <f>[1]节奏总纲!BB206</f>
        <v>44.294146315903454</v>
      </c>
      <c r="BC206" s="4">
        <f>[1]节奏总纲!BC206</f>
        <v>46.240303692017122</v>
      </c>
      <c r="BD206" s="4">
        <f>[1]节奏总纲!BD206</f>
        <v>48.9992397462836</v>
      </c>
      <c r="BE206" s="4">
        <f>[1]节奏总纲!BE206</f>
        <v>53.688283785366046</v>
      </c>
    </row>
    <row r="207" spans="29:57" x14ac:dyDescent="0.15">
      <c r="AC207" s="4">
        <f>[1]节奏总纲!AC207</f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f>[1]节奏总纲!AZ207</f>
        <v>204</v>
      </c>
      <c r="BA207" s="4">
        <f>[1]节奏总纲!BA207</f>
        <v>42.826691081051791</v>
      </c>
      <c r="BB207" s="4">
        <f>[1]节奏总纲!BB207</f>
        <v>44.326465623783335</v>
      </c>
      <c r="BC207" s="4">
        <f>[1]节奏总纲!BC207</f>
        <v>46.272410430048332</v>
      </c>
      <c r="BD207" s="4">
        <f>[1]节奏总纲!BD207</f>
        <v>49.030333272797542</v>
      </c>
      <c r="BE207" s="4">
        <f>[1]节奏总纲!BE207</f>
        <v>53.722748058399532</v>
      </c>
    </row>
    <row r="208" spans="29:57" x14ac:dyDescent="0.15">
      <c r="AC208" s="4">
        <f>[1]节奏总纲!AC208</f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f>[1]节奏总纲!AZ208</f>
        <v>205</v>
      </c>
      <c r="BA208" s="4">
        <f>[1]节奏总纲!BA208</f>
        <v>42.861403835978855</v>
      </c>
      <c r="BB208" s="4">
        <f>[1]节奏总纲!BB208</f>
        <v>44.358784931663209</v>
      </c>
      <c r="BC208" s="4">
        <f>[1]节奏总纲!BC208</f>
        <v>46.304517168079542</v>
      </c>
      <c r="BD208" s="4">
        <f>[1]节奏总纲!BD208</f>
        <v>49.061322941292346</v>
      </c>
      <c r="BE208" s="4">
        <f>[1]节奏总纲!BE208</f>
        <v>53.757212331433024</v>
      </c>
    </row>
    <row r="209" spans="29:57" x14ac:dyDescent="0.15">
      <c r="AC209" s="4">
        <f>[1]节奏总纲!AC209</f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f>[1]节奏总纲!AZ209</f>
        <v>206</v>
      </c>
      <c r="BA209" s="4">
        <f>[1]节奏总纲!BA209</f>
        <v>42.896116590905919</v>
      </c>
      <c r="BB209" s="4">
        <f>[1]节奏总纲!BB209</f>
        <v>44.39110423954309</v>
      </c>
      <c r="BC209" s="4">
        <f>[1]节奏总纲!BC209</f>
        <v>46.336623906110759</v>
      </c>
      <c r="BD209" s="4">
        <f>[1]节奏总纲!BD209</f>
        <v>49.09231260978715</v>
      </c>
      <c r="BE209" s="4">
        <f>[1]节奏总纲!BE209</f>
        <v>53.79167660446651</v>
      </c>
    </row>
    <row r="210" spans="29:57" x14ac:dyDescent="0.15">
      <c r="AC210" s="4">
        <f>[1]节奏总纲!AC210</f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f>[1]节奏总纲!AZ210</f>
        <v>207</v>
      </c>
      <c r="BA210" s="4">
        <f>[1]节奏总纲!BA210</f>
        <v>42.930829345832983</v>
      </c>
      <c r="BB210" s="4">
        <f>[1]节奏总纲!BB210</f>
        <v>44.423423547422971</v>
      </c>
      <c r="BC210" s="4">
        <f>[1]节奏总纲!BC210</f>
        <v>46.368730644141969</v>
      </c>
      <c r="BD210" s="4">
        <f>[1]节奏总纲!BD210</f>
        <v>49.123302278281955</v>
      </c>
      <c r="BE210" s="4">
        <f>[1]节奏总纲!BE210</f>
        <v>53.826140877499995</v>
      </c>
    </row>
    <row r="211" spans="29:57" x14ac:dyDescent="0.15">
      <c r="AC211" s="4">
        <f>[1]节奏总纲!AC211</f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f>[1]节奏总纲!AZ211</f>
        <v>208</v>
      </c>
      <c r="BA211" s="4">
        <f>[1]节奏总纲!BA211</f>
        <v>42.965542100760054</v>
      </c>
      <c r="BB211" s="4">
        <f>[1]节奏总纲!BB211</f>
        <v>44.455742855302844</v>
      </c>
      <c r="BC211" s="4">
        <f>[1]节奏总纲!BC211</f>
        <v>46.400837382173179</v>
      </c>
      <c r="BD211" s="4">
        <f>[1]节奏总纲!BD211</f>
        <v>49.154291946776759</v>
      </c>
      <c r="BE211" s="4">
        <f>[1]节奏总纲!BE211</f>
        <v>53.860605150533488</v>
      </c>
    </row>
    <row r="212" spans="29:57" x14ac:dyDescent="0.15">
      <c r="AC212" s="4">
        <f>[1]节奏总纲!AC212</f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f>[1]节奏总纲!AZ212</f>
        <v>209</v>
      </c>
      <c r="BA212" s="4">
        <f>[1]节奏总纲!BA212</f>
        <v>43.000219942361319</v>
      </c>
      <c r="BB212" s="4">
        <f>[1]节奏总纲!BB212</f>
        <v>44.488062163182725</v>
      </c>
      <c r="BC212" s="4">
        <f>[1]节奏总纲!BC212</f>
        <v>46.432944120204397</v>
      </c>
      <c r="BD212" s="4">
        <f>[1]节奏总纲!BD212</f>
        <v>49.18528161527157</v>
      </c>
      <c r="BE212" s="4">
        <f>[1]节奏总纲!BE212</f>
        <v>53.895069423566973</v>
      </c>
    </row>
    <row r="213" spans="29:57" x14ac:dyDescent="0.15">
      <c r="AC213" s="4">
        <f>[1]节奏总纲!AC213</f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f>[1]节奏总纲!AZ213</f>
        <v>210</v>
      </c>
      <c r="BA213" s="4">
        <f>[1]节奏总纲!BA213</f>
        <v>43.030177309109042</v>
      </c>
      <c r="BB213" s="4">
        <f>[1]节奏总纲!BB213</f>
        <v>44.520381471062606</v>
      </c>
      <c r="BC213" s="4">
        <f>[1]节奏总纲!BC213</f>
        <v>46.465050858235607</v>
      </c>
      <c r="BD213" s="4">
        <f>[1]节奏总纲!BD213</f>
        <v>49.216271283766375</v>
      </c>
      <c r="BE213" s="4">
        <f>[1]节奏总纲!BE213</f>
        <v>53.929533696600465</v>
      </c>
    </row>
    <row r="214" spans="29:57" x14ac:dyDescent="0.15">
      <c r="AC214" s="4">
        <f>[1]节奏总纲!AC214</f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f>[1]节奏总纲!AZ214</f>
        <v>211</v>
      </c>
      <c r="BA214" s="4">
        <f>[1]节奏总纲!BA214</f>
        <v>43.060134675856759</v>
      </c>
      <c r="BB214" s="4">
        <f>[1]节奏总纲!BB214</f>
        <v>44.55270077894248</v>
      </c>
      <c r="BC214" s="4">
        <f>[1]节奏总纲!BC214</f>
        <v>46.497157596266817</v>
      </c>
      <c r="BD214" s="4">
        <f>[1]节奏总纲!BD214</f>
        <v>49.247260952261179</v>
      </c>
      <c r="BE214" s="4">
        <f>[1]节奏总纲!BE214</f>
        <v>53.963997969633951</v>
      </c>
    </row>
    <row r="215" spans="29:57" x14ac:dyDescent="0.15">
      <c r="AC215" s="4">
        <f>[1]节奏总纲!AC215</f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f>[1]节奏总纲!AZ215</f>
        <v>212</v>
      </c>
      <c r="BA215" s="4">
        <f>[1]节奏总纲!BA215</f>
        <v>43.090092042604475</v>
      </c>
      <c r="BB215" s="4">
        <f>[1]节奏总纲!BB215</f>
        <v>44.585020086822361</v>
      </c>
      <c r="BC215" s="4">
        <f>[1]节奏总纲!BC215</f>
        <v>46.529264334298034</v>
      </c>
      <c r="BD215" s="4">
        <f>[1]节奏总纲!BD215</f>
        <v>49.278250620755983</v>
      </c>
      <c r="BE215" s="4">
        <f>[1]节奏总纲!BE215</f>
        <v>53.998462242667436</v>
      </c>
    </row>
    <row r="216" spans="29:57" x14ac:dyDescent="0.15">
      <c r="AC216" s="4">
        <f>[1]节奏总纲!AC216</f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f>[1]节奏总纲!AZ216</f>
        <v>213</v>
      </c>
      <c r="BA216" s="4">
        <f>[1]节奏总纲!BA216</f>
        <v>43.120049409352191</v>
      </c>
      <c r="BB216" s="4">
        <f>[1]节奏总纲!BB216</f>
        <v>44.617339394702242</v>
      </c>
      <c r="BC216" s="4">
        <f>[1]节奏总纲!BC216</f>
        <v>46.561371072329244</v>
      </c>
      <c r="BD216" s="4">
        <f>[1]节奏总纲!BD216</f>
        <v>49.309240289250788</v>
      </c>
      <c r="BE216" s="4">
        <f>[1]节奏总纲!BE216</f>
        <v>54.028437871105552</v>
      </c>
    </row>
    <row r="217" spans="29:57" x14ac:dyDescent="0.15">
      <c r="AC217" s="4">
        <f>[1]节奏总纲!AC217</f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f>[1]节奏总纲!AZ217</f>
        <v>214</v>
      </c>
      <c r="BA217" s="4">
        <f>[1]节奏总纲!BA217</f>
        <v>43.150006776099914</v>
      </c>
      <c r="BB217" s="4">
        <f>[1]节奏总纲!BB217</f>
        <v>44.649658702582116</v>
      </c>
      <c r="BC217" s="4">
        <f>[1]节奏总纲!BC217</f>
        <v>46.593477810360454</v>
      </c>
      <c r="BD217" s="4">
        <f>[1]节奏总纲!BD217</f>
        <v>49.340229957745592</v>
      </c>
      <c r="BE217" s="4">
        <f>[1]节奏总纲!BE217</f>
        <v>54.058203867701586</v>
      </c>
    </row>
    <row r="218" spans="29:57" x14ac:dyDescent="0.15">
      <c r="AC218" s="4">
        <f>[1]节奏总纲!AC218</f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f>[1]节奏总纲!AZ218</f>
        <v>215</v>
      </c>
      <c r="BA218" s="4">
        <f>[1]节奏总纲!BA218</f>
        <v>43.179964142847631</v>
      </c>
      <c r="BB218" s="4">
        <f>[1]节奏总纲!BB218</f>
        <v>44.681978010461997</v>
      </c>
      <c r="BC218" s="4">
        <f>[1]节奏总纲!BC218</f>
        <v>46.625584548391664</v>
      </c>
      <c r="BD218" s="4">
        <f>[1]节奏总纲!BD218</f>
        <v>49.371219626240396</v>
      </c>
      <c r="BE218" s="4">
        <f>[1]节奏总纲!BE218</f>
        <v>54.087969864297619</v>
      </c>
    </row>
    <row r="219" spans="29:57" x14ac:dyDescent="0.15">
      <c r="AC219" s="4">
        <f>[1]节奏总纲!AC219</f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f>[1]节奏总纲!AZ219</f>
        <v>216</v>
      </c>
      <c r="BA219" s="4">
        <f>[1]节奏总纲!BA219</f>
        <v>43.209921509595347</v>
      </c>
      <c r="BB219" s="4">
        <f>[1]节奏总纲!BB219</f>
        <v>44.71429731834187</v>
      </c>
      <c r="BC219" s="4">
        <f>[1]节奏总纲!BC219</f>
        <v>46.657691286422882</v>
      </c>
      <c r="BD219" s="4">
        <f>[1]节奏总纲!BD219</f>
        <v>49.402209294735208</v>
      </c>
      <c r="BE219" s="4">
        <f>[1]节奏总纲!BE219</f>
        <v>54.117735860893646</v>
      </c>
    </row>
    <row r="220" spans="29:57" x14ac:dyDescent="0.15">
      <c r="AC220" s="4">
        <f>[1]节奏总纲!AC220</f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f>[1]节奏总纲!AZ220</f>
        <v>217</v>
      </c>
      <c r="BA220" s="4">
        <f>[1]节奏总纲!BA220</f>
        <v>43.239878876343063</v>
      </c>
      <c r="BB220" s="4">
        <f>[1]节奏总纲!BB220</f>
        <v>44.746616626221751</v>
      </c>
      <c r="BC220" s="4">
        <f>[1]节奏总纲!BC220</f>
        <v>46.689798024454092</v>
      </c>
      <c r="BD220" s="4">
        <f>[1]节奏总纲!BD220</f>
        <v>49.433198963230012</v>
      </c>
      <c r="BE220" s="4">
        <f>[1]节奏总纲!BE220</f>
        <v>54.147501857489679</v>
      </c>
    </row>
    <row r="221" spans="29:57" x14ac:dyDescent="0.15">
      <c r="AC221" s="4">
        <f>[1]节奏总纲!AC221</f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f>[1]节奏总纲!AZ221</f>
        <v>218</v>
      </c>
      <c r="BA221" s="4">
        <f>[1]节奏总纲!BA221</f>
        <v>43.269836243090786</v>
      </c>
      <c r="BB221" s="4">
        <f>[1]节奏总纲!BB221</f>
        <v>44.778935934101632</v>
      </c>
      <c r="BC221" s="4">
        <f>[1]节奏总纲!BC221</f>
        <v>46.721904762485302</v>
      </c>
      <c r="BD221" s="4">
        <f>[1]节奏总纲!BD221</f>
        <v>49.464188631724817</v>
      </c>
      <c r="BE221" s="4">
        <f>[1]节奏总纲!BE221</f>
        <v>54.177267854085706</v>
      </c>
    </row>
    <row r="222" spans="29:57" x14ac:dyDescent="0.15">
      <c r="AC222" s="4">
        <f>[1]节奏总纲!AC222</f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f>[1]节奏总纲!AZ222</f>
        <v>219</v>
      </c>
      <c r="BA222" s="4">
        <f>[1]节奏总纲!BA222</f>
        <v>43.299793609838503</v>
      </c>
      <c r="BB222" s="4">
        <f>[1]节奏总纲!BB222</f>
        <v>44.811255241981506</v>
      </c>
      <c r="BC222" s="4">
        <f>[1]节奏总纲!BC222</f>
        <v>46.754011500516519</v>
      </c>
      <c r="BD222" s="4">
        <f>[1]节奏总纲!BD222</f>
        <v>49.495178300219621</v>
      </c>
      <c r="BE222" s="4">
        <f>[1]节奏总纲!BE222</f>
        <v>54.207033850681739</v>
      </c>
    </row>
    <row r="223" spans="29:57" x14ac:dyDescent="0.15">
      <c r="AC223" s="4">
        <f>[1]节奏总纲!AC223</f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f>[1]节奏总纲!AZ223</f>
        <v>220</v>
      </c>
      <c r="BA223" s="4">
        <f>[1]节奏总纲!BA223</f>
        <v>43.329750976586219</v>
      </c>
      <c r="BB223" s="4">
        <f>[1]节奏总纲!BB223</f>
        <v>44.843574549861387</v>
      </c>
      <c r="BC223" s="4">
        <f>[1]节奏总纲!BC223</f>
        <v>46.786118238547729</v>
      </c>
      <c r="BD223" s="4">
        <f>[1]节奏总纲!BD223</f>
        <v>49.526167968714425</v>
      </c>
      <c r="BE223" s="4">
        <f>[1]节奏总纲!BE223</f>
        <v>54.236799847277773</v>
      </c>
    </row>
    <row r="224" spans="29:57" x14ac:dyDescent="0.15">
      <c r="AC224" s="4">
        <f>[1]节奏总纲!AC224</f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f>[1]节奏总纲!AZ224</f>
        <v>221</v>
      </c>
      <c r="BA224" s="4">
        <f>[1]节奏总纲!BA224</f>
        <v>43.359708343333942</v>
      </c>
      <c r="BB224" s="4">
        <f>[1]节奏总纲!BB224</f>
        <v>44.875893857741268</v>
      </c>
      <c r="BC224" s="4">
        <f>[1]节奏总纲!BC224</f>
        <v>46.818224976578939</v>
      </c>
      <c r="BD224" s="4">
        <f>[1]节奏总纲!BD224</f>
        <v>49.55715763720923</v>
      </c>
      <c r="BE224" s="4">
        <f>[1]节奏总纲!BE224</f>
        <v>54.266565843873799</v>
      </c>
    </row>
    <row r="225" spans="29:57" x14ac:dyDescent="0.15">
      <c r="AC225" s="4">
        <f>[1]节奏总纲!AC225</f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f>[1]节奏总纲!AZ225</f>
        <v>222</v>
      </c>
      <c r="BA225" s="4">
        <f>[1]节奏总纲!BA225</f>
        <v>43.389665710081658</v>
      </c>
      <c r="BB225" s="4">
        <f>[1]节奏总纲!BB225</f>
        <v>44.908213165621142</v>
      </c>
      <c r="BC225" s="4">
        <f>[1]节奏总纲!BC225</f>
        <v>46.850331714610157</v>
      </c>
      <c r="BD225" s="4">
        <f>[1]节奏总纲!BD225</f>
        <v>49.588147305704041</v>
      </c>
      <c r="BE225" s="4">
        <f>[1]节奏总纲!BE225</f>
        <v>54.296331840469833</v>
      </c>
    </row>
    <row r="226" spans="29:57" x14ac:dyDescent="0.15">
      <c r="AC226" s="4">
        <f>[1]节奏总纲!AC226</f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f>[1]节奏总纲!AZ226</f>
        <v>223</v>
      </c>
      <c r="BA226" s="4">
        <f>[1]节奏总纲!BA226</f>
        <v>43.419623076829374</v>
      </c>
      <c r="BB226" s="4">
        <f>[1]节奏总纲!BB226</f>
        <v>44.940532473501023</v>
      </c>
      <c r="BC226" s="4">
        <f>[1]节奏总纲!BC226</f>
        <v>46.882438452641367</v>
      </c>
      <c r="BD226" s="4">
        <f>[1]节奏总纲!BD226</f>
        <v>49.619136974198845</v>
      </c>
      <c r="BE226" s="4">
        <f>[1]节奏总纲!BE226</f>
        <v>54.326097837065859</v>
      </c>
    </row>
    <row r="227" spans="29:57" x14ac:dyDescent="0.15">
      <c r="AC227" s="4">
        <f>[1]节奏总纲!AC227</f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f>[1]节奏总纲!AZ227</f>
        <v>224</v>
      </c>
      <c r="BA227" s="4">
        <f>[1]节奏总纲!BA227</f>
        <v>43.449580443577091</v>
      </c>
      <c r="BB227" s="4">
        <f>[1]节奏总纲!BB227</f>
        <v>44.972851781380903</v>
      </c>
      <c r="BC227" s="4">
        <f>[1]节奏总纲!BC227</f>
        <v>46.914545190672577</v>
      </c>
      <c r="BD227" s="4">
        <f>[1]节奏总纲!BD227</f>
        <v>49.65012664269365</v>
      </c>
      <c r="BE227" s="4">
        <f>[1]节奏总纲!BE227</f>
        <v>54.355863833661893</v>
      </c>
    </row>
    <row r="228" spans="29:57" x14ac:dyDescent="0.15">
      <c r="AC228" s="4">
        <f>[1]节奏总纲!AC228</f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f>[1]节奏总纲!AZ228</f>
        <v>225</v>
      </c>
      <c r="BA228" s="4">
        <f>[1]节奏总纲!BA228</f>
        <v>43.479537810324814</v>
      </c>
      <c r="BB228" s="4">
        <f>[1]节奏总纲!BB228</f>
        <v>45.004463376644416</v>
      </c>
      <c r="BC228" s="4">
        <f>[1]节奏总纲!BC228</f>
        <v>46.946651928703794</v>
      </c>
      <c r="BD228" s="4">
        <f>[1]节奏总纲!BD228</f>
        <v>49.681116311188454</v>
      </c>
      <c r="BE228" s="4">
        <f>[1]节奏总纲!BE228</f>
        <v>54.385629830257926</v>
      </c>
    </row>
    <row r="229" spans="29:57" x14ac:dyDescent="0.15">
      <c r="AC229" s="4">
        <f>[1]节奏总纲!AC229</f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f>[1]节奏总纲!AZ229</f>
        <v>226</v>
      </c>
      <c r="BA229" s="4">
        <f>[1]节奏总纲!BA229</f>
        <v>43.50949517707253</v>
      </c>
      <c r="BB229" s="4">
        <f>[1]节奏总纲!BB229</f>
        <v>45.032359480672049</v>
      </c>
      <c r="BC229" s="4">
        <f>[1]节奏总纲!BC229</f>
        <v>46.978758666735004</v>
      </c>
      <c r="BD229" s="4">
        <f>[1]节奏总纲!BD229</f>
        <v>49.712105979683258</v>
      </c>
      <c r="BE229" s="4">
        <f>[1]节奏总纲!BE229</f>
        <v>54.415395826853953</v>
      </c>
    </row>
    <row r="230" spans="29:57" x14ac:dyDescent="0.15">
      <c r="AC230" s="4">
        <f>[1]节奏总纲!AC230</f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f>[1]节奏总纲!AZ230</f>
        <v>227</v>
      </c>
      <c r="BA230" s="4">
        <f>[1]节奏总纲!BA230</f>
        <v>43.539452543820246</v>
      </c>
      <c r="BB230" s="4">
        <f>[1]节奏总纲!BB230</f>
        <v>45.060255584699682</v>
      </c>
      <c r="BC230" s="4">
        <f>[1]节奏总纲!BC230</f>
        <v>47.009379755645142</v>
      </c>
      <c r="BD230" s="4">
        <f>[1]节奏总纲!BD230</f>
        <v>49.743095648178063</v>
      </c>
      <c r="BE230" s="4">
        <f>[1]节奏总纲!BE230</f>
        <v>54.445161823449986</v>
      </c>
    </row>
    <row r="231" spans="29:57" x14ac:dyDescent="0.15">
      <c r="AC231" s="4">
        <f>[1]节奏总纲!AC231</f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f>[1]节奏总纲!AZ231</f>
        <v>228</v>
      </c>
      <c r="BA231" s="4">
        <f>[1]节奏总纲!BA231</f>
        <v>43.569409910567963</v>
      </c>
      <c r="BB231" s="4">
        <f>[1]节奏总纲!BB231</f>
        <v>45.088151688727308</v>
      </c>
      <c r="BC231" s="4">
        <f>[1]节奏总纲!BC231</f>
        <v>47.037096473409001</v>
      </c>
      <c r="BD231" s="4">
        <f>[1]节奏总纲!BD231</f>
        <v>49.774085316672867</v>
      </c>
      <c r="BE231" s="4">
        <f>[1]节奏总纲!BE231</f>
        <v>54.47492782004602</v>
      </c>
    </row>
    <row r="232" spans="29:57" x14ac:dyDescent="0.15">
      <c r="AC232" s="4">
        <f>[1]节奏总纲!AC232</f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f>[1]节奏总纲!AZ232</f>
        <v>229</v>
      </c>
      <c r="BA232" s="4">
        <f>[1]节奏总纲!BA232</f>
        <v>43.599367277315686</v>
      </c>
      <c r="BB232" s="4">
        <f>[1]节奏总纲!BB232</f>
        <v>45.116047792754941</v>
      </c>
      <c r="BC232" s="4">
        <f>[1]节奏总纲!BC232</f>
        <v>47.06481319117286</v>
      </c>
      <c r="BD232" s="4">
        <f>[1]节奏总纲!BD232</f>
        <v>49.805074985167678</v>
      </c>
      <c r="BE232" s="4">
        <f>[1]节奏总纲!BE232</f>
        <v>54.504693816642046</v>
      </c>
    </row>
    <row r="233" spans="29:57" x14ac:dyDescent="0.15">
      <c r="AC233" s="4">
        <f>[1]节奏总纲!AC233</f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f>[1]节奏总纲!AZ233</f>
        <v>230</v>
      </c>
      <c r="BA233" s="4">
        <f>[1]节奏总纲!BA233</f>
        <v>43.629324644063402</v>
      </c>
      <c r="BB233" s="4">
        <f>[1]节奏总纲!BB233</f>
        <v>45.143943896782567</v>
      </c>
      <c r="BC233" s="4">
        <f>[1]节奏总纲!BC233</f>
        <v>47.092529908936719</v>
      </c>
      <c r="BD233" s="4">
        <f>[1]节奏总纲!BD233</f>
        <v>49.836064653662483</v>
      </c>
      <c r="BE233" s="4">
        <f>[1]节奏总纲!BE233</f>
        <v>54.53445981323808</v>
      </c>
    </row>
    <row r="234" spans="29:57" x14ac:dyDescent="0.15">
      <c r="AC234" s="4">
        <f>[1]节奏总纲!AC234</f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f>[1]节奏总纲!AZ234</f>
        <v>231</v>
      </c>
      <c r="BA234" s="4">
        <f>[1]节奏总纲!BA234</f>
        <v>43.659282010811118</v>
      </c>
      <c r="BB234" s="4">
        <f>[1]节奏总纲!BB234</f>
        <v>45.171840000810199</v>
      </c>
      <c r="BC234" s="4">
        <f>[1]节奏总纲!BC234</f>
        <v>47.120246626700578</v>
      </c>
      <c r="BD234" s="4">
        <f>[1]节奏总纲!BD234</f>
        <v>49.867054322157287</v>
      </c>
      <c r="BE234" s="4">
        <f>[1]节奏总纲!BE234</f>
        <v>54.564225809834106</v>
      </c>
    </row>
    <row r="235" spans="29:57" x14ac:dyDescent="0.15">
      <c r="AC235" s="4">
        <f>[1]节奏总纲!AC235</f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f>[1]节奏总纲!AZ235</f>
        <v>232</v>
      </c>
      <c r="BA235" s="4">
        <f>[1]节奏总纲!BA235</f>
        <v>43.689239377558835</v>
      </c>
      <c r="BB235" s="4">
        <f>[1]节奏总纲!BB235</f>
        <v>45.199736104837825</v>
      </c>
      <c r="BC235" s="4">
        <f>[1]节奏总纲!BC235</f>
        <v>47.147963344464429</v>
      </c>
      <c r="BD235" s="4">
        <f>[1]节奏总纲!BD235</f>
        <v>49.898043990652091</v>
      </c>
      <c r="BE235" s="4">
        <f>[1]节奏总纲!BE235</f>
        <v>54.593991806430139</v>
      </c>
    </row>
    <row r="236" spans="29:57" x14ac:dyDescent="0.15">
      <c r="AC236" s="4">
        <f>[1]节奏总纲!AC236</f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f>[1]节奏总纲!AZ236</f>
        <v>233</v>
      </c>
      <c r="BA236" s="4">
        <f>[1]节奏总纲!BA236</f>
        <v>43.719196744306558</v>
      </c>
      <c r="BB236" s="4">
        <f>[1]节奏总纲!BB236</f>
        <v>45.227632208865458</v>
      </c>
      <c r="BC236" s="4">
        <f>[1]节奏总纲!BC236</f>
        <v>47.175680062228288</v>
      </c>
      <c r="BD236" s="4">
        <f>[1]节奏总纲!BD236</f>
        <v>49.929033659146896</v>
      </c>
      <c r="BE236" s="4">
        <f>[1]节奏总纲!BE236</f>
        <v>54.623757803026173</v>
      </c>
    </row>
    <row r="237" spans="29:57" x14ac:dyDescent="0.15">
      <c r="AC237" s="4">
        <f>[1]节奏总纲!AC237</f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f>[1]节奏总纲!AZ237</f>
        <v>234</v>
      </c>
      <c r="BA237" s="4">
        <f>[1]节奏总纲!BA237</f>
        <v>43.749154111054274</v>
      </c>
      <c r="BB237" s="4">
        <f>[1]节奏总纲!BB237</f>
        <v>45.255528312893091</v>
      </c>
      <c r="BC237" s="4">
        <f>[1]节奏总纲!BC237</f>
        <v>47.203396779992147</v>
      </c>
      <c r="BD237" s="4">
        <f>[1]节奏总纲!BD237</f>
        <v>49.9600233276417</v>
      </c>
      <c r="BE237" s="4">
        <f>[1]节奏总纲!BE237</f>
        <v>54.653523799622199</v>
      </c>
    </row>
    <row r="238" spans="29:57" x14ac:dyDescent="0.15">
      <c r="AC238" s="4">
        <f>[1]节奏总纲!AC238</f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f>[1]节奏总纲!AZ238</f>
        <v>235</v>
      </c>
      <c r="BA238" s="4">
        <f>[1]节奏总纲!BA238</f>
        <v>43.77911147780199</v>
      </c>
      <c r="BB238" s="4">
        <f>[1]节奏总纲!BB238</f>
        <v>45.283424416920717</v>
      </c>
      <c r="BC238" s="4">
        <f>[1]节奏总纲!BC238</f>
        <v>47.231113497756006</v>
      </c>
      <c r="BD238" s="4">
        <f>[1]节奏总纲!BD238</f>
        <v>49.991012996136504</v>
      </c>
      <c r="BE238" s="4">
        <f>[1]节奏总纲!BE238</f>
        <v>54.683289796218233</v>
      </c>
    </row>
    <row r="239" spans="29:57" x14ac:dyDescent="0.15">
      <c r="AC239" s="4">
        <f>[1]节奏总纲!AC239</f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f>[1]节奏总纲!AZ239</f>
        <v>236</v>
      </c>
      <c r="BA239" s="4">
        <f>[1]节奏总纲!BA239</f>
        <v>43.809068844549707</v>
      </c>
      <c r="BB239" s="4">
        <f>[1]节奏总纲!BB239</f>
        <v>45.31132052094835</v>
      </c>
      <c r="BC239" s="4">
        <f>[1]节奏总纲!BC239</f>
        <v>47.258830215519865</v>
      </c>
      <c r="BD239" s="4">
        <f>[1]节奏总纲!BD239</f>
        <v>50.018998195299922</v>
      </c>
      <c r="BE239" s="4">
        <f>[1]节奏总纲!BE239</f>
        <v>54.713055792814259</v>
      </c>
    </row>
    <row r="240" spans="29:57" x14ac:dyDescent="0.15">
      <c r="AC240" s="4">
        <f>[1]节奏总纲!AC240</f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f>[1]节奏总纲!AZ240</f>
        <v>237</v>
      </c>
      <c r="BA240" s="4">
        <f>[1]节奏总纲!BA240</f>
        <v>43.83902621129743</v>
      </c>
      <c r="BB240" s="4">
        <f>[1]节奏总纲!BB240</f>
        <v>45.339216624975975</v>
      </c>
      <c r="BC240" s="4">
        <f>[1]节奏总纲!BC240</f>
        <v>47.286546933283724</v>
      </c>
      <c r="BD240" s="4">
        <f>[1]节奏总纲!BD240</f>
        <v>50.045756216849099</v>
      </c>
      <c r="BE240" s="4">
        <f>[1]节奏总纲!BE240</f>
        <v>54.742821789410293</v>
      </c>
    </row>
    <row r="241" spans="29:57" x14ac:dyDescent="0.15">
      <c r="AC241" s="4">
        <f>[1]节奏总纲!AC241</f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f>[1]节奏总纲!AZ241</f>
        <v>238</v>
      </c>
      <c r="BA241" s="4">
        <f>[1]节奏总纲!BA241</f>
        <v>43.868983578045146</v>
      </c>
      <c r="BB241" s="4">
        <f>[1]节奏总纲!BB241</f>
        <v>45.367112729003608</v>
      </c>
      <c r="BC241" s="4">
        <f>[1]节奏总纲!BC241</f>
        <v>47.314263651047582</v>
      </c>
      <c r="BD241" s="4">
        <f>[1]节奏总纲!BD241</f>
        <v>50.072514238398277</v>
      </c>
      <c r="BE241" s="4">
        <f>[1]节奏总纲!BE241</f>
        <v>54.772587786006326</v>
      </c>
    </row>
    <row r="242" spans="29:57" x14ac:dyDescent="0.15">
      <c r="AC242" s="4">
        <f>[1]节奏总纲!AC242</f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f>[1]节奏总纲!AZ242</f>
        <v>239</v>
      </c>
      <c r="BA242" s="4">
        <f>[1]节奏总纲!BA242</f>
        <v>43.898940944792862</v>
      </c>
      <c r="BB242" s="4">
        <f>[1]节奏总纲!BB242</f>
        <v>45.395008833031234</v>
      </c>
      <c r="BC242" s="4">
        <f>[1]节奏总纲!BC242</f>
        <v>47.341980368811441</v>
      </c>
      <c r="BD242" s="4">
        <f>[1]节奏总纲!BD242</f>
        <v>50.099272259947462</v>
      </c>
      <c r="BE242" s="4">
        <f>[1]节奏总纲!BE242</f>
        <v>54.802353782602353</v>
      </c>
    </row>
    <row r="243" spans="29:57" x14ac:dyDescent="0.15">
      <c r="AC243" s="4">
        <f>[1]节奏总纲!AC243</f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f>[1]节奏总纲!AZ243</f>
        <v>240</v>
      </c>
      <c r="BA243" s="4">
        <f>[1]节奏总纲!BA243</f>
        <v>43.928898311540586</v>
      </c>
      <c r="BB243" s="4">
        <f>[1]节奏总纲!BB243</f>
        <v>45.422904937058867</v>
      </c>
      <c r="BC243" s="4">
        <f>[1]节奏总纲!BC243</f>
        <v>47.3696970865753</v>
      </c>
      <c r="BD243" s="4">
        <f>[1]节奏总纲!BD243</f>
        <v>50.126030281496639</v>
      </c>
      <c r="BE243" s="4">
        <f>[1]节奏总纲!BE243</f>
        <v>54.832119779198386</v>
      </c>
    </row>
    <row r="244" spans="29:57" x14ac:dyDescent="0.15">
      <c r="AC244" s="4">
        <f>[1]节奏总纲!AC244</f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f>[1]节奏总纲!AZ244</f>
        <v>241</v>
      </c>
      <c r="BA244" s="4">
        <f>[1]节奏总纲!BA244</f>
        <v>43.958855678288302</v>
      </c>
      <c r="BB244" s="4">
        <f>[1]节奏总纲!BB244</f>
        <v>45.450801041086493</v>
      </c>
      <c r="BC244" s="4">
        <f>[1]节奏总纲!BC244</f>
        <v>47.397413804339159</v>
      </c>
      <c r="BD244" s="4">
        <f>[1]节奏总纲!BD244</f>
        <v>50.152788303045817</v>
      </c>
      <c r="BE244" s="4">
        <f>[1]节奏总纲!BE244</f>
        <v>54.86188577579442</v>
      </c>
    </row>
    <row r="245" spans="29:57" x14ac:dyDescent="0.15">
      <c r="AC245" s="4">
        <f>[1]节奏总纲!AC245</f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f>[1]节奏总纲!AZ245</f>
        <v>242</v>
      </c>
      <c r="BA245" s="4">
        <f>[1]节奏总纲!BA245</f>
        <v>43.988813045036018</v>
      </c>
      <c r="BB245" s="4">
        <f>[1]节奏总纲!BB245</f>
        <v>45.478697145114126</v>
      </c>
      <c r="BC245" s="4">
        <f>[1]节奏总纲!BC245</f>
        <v>47.425130522103018</v>
      </c>
      <c r="BD245" s="4">
        <f>[1]节奏总纲!BD245</f>
        <v>50.179546324595002</v>
      </c>
      <c r="BE245" s="4">
        <f>[1]节奏总纲!BE245</f>
        <v>54.891651772390446</v>
      </c>
    </row>
    <row r="246" spans="29:57" x14ac:dyDescent="0.15">
      <c r="AC246" s="4">
        <f>[1]节奏总纲!AC246</f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f>[1]节奏总纲!AZ246</f>
        <v>243</v>
      </c>
      <c r="BA246" s="4">
        <f>[1]节奏总纲!BA246</f>
        <v>44.016200268136501</v>
      </c>
      <c r="BB246" s="4">
        <f>[1]节奏总纲!BB246</f>
        <v>45.506593249141758</v>
      </c>
      <c r="BC246" s="4">
        <f>[1]节奏总纲!BC246</f>
        <v>47.452847239866877</v>
      </c>
      <c r="BD246" s="4">
        <f>[1]节奏总纲!BD246</f>
        <v>50.206304346144179</v>
      </c>
      <c r="BE246" s="4">
        <f>[1]节奏总纲!BE246</f>
        <v>54.92141776898648</v>
      </c>
    </row>
    <row r="247" spans="29:57" x14ac:dyDescent="0.15">
      <c r="AC247" s="4">
        <f>[1]节奏总纲!AC247</f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f>[1]节奏总纲!AZ247</f>
        <v>244</v>
      </c>
      <c r="BA247" s="4">
        <f>[1]节奏总纲!BA247</f>
        <v>44.042055714440401</v>
      </c>
      <c r="BB247" s="4">
        <f>[1]节奏总纲!BB247</f>
        <v>45.534489353169384</v>
      </c>
      <c r="BC247" s="4">
        <f>[1]节奏总纲!BC247</f>
        <v>47.480563957630736</v>
      </c>
      <c r="BD247" s="4">
        <f>[1]节奏总纲!BD247</f>
        <v>50.233062367693357</v>
      </c>
      <c r="BE247" s="4">
        <f>[1]节奏总纲!BE247</f>
        <v>54.951183765582506</v>
      </c>
    </row>
    <row r="248" spans="29:57" x14ac:dyDescent="0.15">
      <c r="AC248" s="4">
        <f>[1]节奏总纲!AC248</f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f>[1]节奏总纲!AZ248</f>
        <v>245</v>
      </c>
      <c r="BA248" s="4">
        <f>[1]节奏总纲!BA248</f>
        <v>44.067911160744309</v>
      </c>
      <c r="BB248" s="4">
        <f>[1]节奏总纲!BB248</f>
        <v>45.562385457197017</v>
      </c>
      <c r="BC248" s="4">
        <f>[1]节奏总纲!BC248</f>
        <v>47.508280675394595</v>
      </c>
      <c r="BD248" s="4">
        <f>[1]节奏总纲!BD248</f>
        <v>50.259820389242542</v>
      </c>
      <c r="BE248" s="4">
        <f>[1]节奏总纲!BE248</f>
        <v>54.98094976217854</v>
      </c>
    </row>
    <row r="249" spans="29:57" x14ac:dyDescent="0.15">
      <c r="AC249" s="4">
        <f>[1]节奏总纲!AC249</f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f>[1]节奏总纲!AZ249</f>
        <v>246</v>
      </c>
      <c r="BA249" s="4">
        <f>[1]节奏总纲!BA249</f>
        <v>44.093766607048209</v>
      </c>
      <c r="BB249" s="4">
        <f>[1]节奏总纲!BB249</f>
        <v>45.590281561224643</v>
      </c>
      <c r="BC249" s="4">
        <f>[1]节奏总纲!BC249</f>
        <v>47.535997393158453</v>
      </c>
      <c r="BD249" s="4">
        <f>[1]节奏总纲!BD249</f>
        <v>50.286578410791719</v>
      </c>
      <c r="BE249" s="4">
        <f>[1]节奏总纲!BE249</f>
        <v>55.009255535630842</v>
      </c>
    </row>
    <row r="250" spans="29:57" x14ac:dyDescent="0.15">
      <c r="AC250" s="4">
        <f>[1]节奏总纲!AC250</f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f>[1]节奏总纲!AZ250</f>
        <v>247</v>
      </c>
      <c r="BA250" s="4">
        <f>[1]节奏总纲!BA250</f>
        <v>44.11962205335211</v>
      </c>
      <c r="BB250" s="4">
        <f>[1]节奏总纲!BB250</f>
        <v>45.618177665252276</v>
      </c>
      <c r="BC250" s="4">
        <f>[1]节奏总纲!BC250</f>
        <v>47.563714110922312</v>
      </c>
      <c r="BD250" s="4">
        <f>[1]节奏总纲!BD250</f>
        <v>50.313336432340897</v>
      </c>
      <c r="BE250" s="4">
        <f>[1]节奏总纲!BE250</f>
        <v>55.034965356827627</v>
      </c>
    </row>
    <row r="251" spans="29:57" x14ac:dyDescent="0.15">
      <c r="AC251" s="4">
        <f>[1]节奏总纲!AC251</f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f>[1]节奏总纲!AZ251</f>
        <v>248</v>
      </c>
      <c r="BA251" s="4">
        <f>[1]节奏总纲!BA251</f>
        <v>44.145477499656018</v>
      </c>
      <c r="BB251" s="4">
        <f>[1]节奏总纲!BB251</f>
        <v>45.646073769279901</v>
      </c>
      <c r="BC251" s="4">
        <f>[1]节奏总纲!BC251</f>
        <v>47.591430828686171</v>
      </c>
      <c r="BD251" s="4">
        <f>[1]节奏总纲!BD251</f>
        <v>50.340094453890082</v>
      </c>
      <c r="BE251" s="4">
        <f>[1]节奏总纲!BE251</f>
        <v>55.060675178024418</v>
      </c>
    </row>
    <row r="252" spans="29:57" x14ac:dyDescent="0.15">
      <c r="AC252" s="4">
        <f>[1]节奏总纲!AC252</f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f>[1]节奏总纲!AZ252</f>
        <v>249</v>
      </c>
      <c r="BA252" s="4">
        <f>[1]节奏总纲!BA252</f>
        <v>44.171332945959918</v>
      </c>
      <c r="BB252" s="4">
        <f>[1]节奏总纲!BB252</f>
        <v>45.673969873307534</v>
      </c>
      <c r="BC252" s="4">
        <f>[1]节奏总纲!BC252</f>
        <v>47.61914754645003</v>
      </c>
      <c r="BD252" s="4">
        <f>[1]节奏总纲!BD252</f>
        <v>50.366852475439259</v>
      </c>
      <c r="BE252" s="4">
        <f>[1]节奏总纲!BE252</f>
        <v>55.086384999221202</v>
      </c>
    </row>
    <row r="253" spans="29:57" x14ac:dyDescent="0.15">
      <c r="AC253" s="4">
        <f>[1]节奏总纲!AC253</f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f>[1]节奏总纲!AZ253</f>
        <v>250</v>
      </c>
      <c r="BA253" s="4">
        <f>[1]节奏总纲!BA253</f>
        <v>44.197188392263818</v>
      </c>
      <c r="BB253" s="4">
        <f>[1]节奏总纲!BB253</f>
        <v>45.701865977335167</v>
      </c>
      <c r="BC253" s="4">
        <f>[1]节奏总纲!BC253</f>
        <v>47.646864264213889</v>
      </c>
      <c r="BD253" s="4">
        <f>[1]节奏总纲!BD253</f>
        <v>50.393610496988437</v>
      </c>
      <c r="BE253" s="4">
        <f>[1]节奏总纲!BE253</f>
        <v>55.112094820417994</v>
      </c>
    </row>
    <row r="254" spans="29:57" x14ac:dyDescent="0.15">
      <c r="AC254" s="4">
        <f>[1]节奏总纲!AC254</f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f>[1]节奏总纲!AZ254</f>
        <v>251</v>
      </c>
      <c r="BA254" s="4">
        <f>[1]节奏总纲!BA254</f>
        <v>44.223043838567726</v>
      </c>
      <c r="BB254" s="4">
        <f>[1]节奏总纲!BB254</f>
        <v>45.729762081362793</v>
      </c>
      <c r="BC254" s="4">
        <f>[1]节奏总纲!BC254</f>
        <v>47.674580981977748</v>
      </c>
      <c r="BD254" s="4">
        <f>[1]节奏总纲!BD254</f>
        <v>50.420368518537622</v>
      </c>
      <c r="BE254" s="4">
        <f>[1]节奏总纲!BE254</f>
        <v>55.137804641614778</v>
      </c>
    </row>
    <row r="255" spans="29:57" x14ac:dyDescent="0.15">
      <c r="AC255" s="4">
        <f>[1]节奏总纲!AC255</f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f>[1]节奏总纲!AZ255</f>
        <v>252</v>
      </c>
      <c r="BA255" s="4">
        <f>[1]节奏总纲!BA255</f>
        <v>44.248899284871626</v>
      </c>
      <c r="BB255" s="4">
        <f>[1]节奏总纲!BB255</f>
        <v>45.757658185390426</v>
      </c>
      <c r="BC255" s="4">
        <f>[1]节奏总纲!BC255</f>
        <v>47.7022976997416</v>
      </c>
      <c r="BD255" s="4">
        <f>[1]节奏总纲!BD255</f>
        <v>50.447126540086799</v>
      </c>
      <c r="BE255" s="4">
        <f>[1]节奏总纲!BE255</f>
        <v>55.163514462811563</v>
      </c>
    </row>
    <row r="256" spans="29:57" x14ac:dyDescent="0.15">
      <c r="AC256" s="4">
        <f>[1]节奏总纲!AC256</f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f>[1]节奏总纲!AZ256</f>
        <v>253</v>
      </c>
      <c r="BA256" s="4">
        <f>[1]节奏总纲!BA256</f>
        <v>44.274754731175527</v>
      </c>
      <c r="BB256" s="4">
        <f>[1]节奏总纲!BB256</f>
        <v>45.785554289418052</v>
      </c>
      <c r="BC256" s="4">
        <f>[1]节奏总纲!BC256</f>
        <v>47.730014417505458</v>
      </c>
      <c r="BD256" s="4">
        <f>[1]节奏总纲!BD256</f>
        <v>50.473884561635977</v>
      </c>
      <c r="BE256" s="4">
        <f>[1]节奏总纲!BE256</f>
        <v>55.189224284008354</v>
      </c>
    </row>
    <row r="257" spans="29:57" x14ac:dyDescent="0.15">
      <c r="AC257" s="4">
        <f>[1]节奏总纲!AC257</f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f>[1]节奏总纲!AZ257</f>
        <v>254</v>
      </c>
      <c r="BA257" s="4">
        <f>[1]节奏总纲!BA257</f>
        <v>44.300610177479435</v>
      </c>
      <c r="BB257" s="4">
        <f>[1]节奏总纲!BB257</f>
        <v>45.813450393445684</v>
      </c>
      <c r="BC257" s="4">
        <f>[1]节奏总纲!BC257</f>
        <v>47.757731135269317</v>
      </c>
      <c r="BD257" s="4">
        <f>[1]节奏总纲!BD257</f>
        <v>50.500642583185162</v>
      </c>
      <c r="BE257" s="4">
        <f>[1]节奏总纲!BE257</f>
        <v>55.214934105205138</v>
      </c>
    </row>
    <row r="258" spans="29:57" x14ac:dyDescent="0.15">
      <c r="AC258" s="4">
        <f>[1]节奏总纲!AC258</f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f>[1]节奏总纲!AZ258</f>
        <v>255</v>
      </c>
      <c r="BA258" s="4">
        <f>[1]节奏总纲!BA258</f>
        <v>44.326465623783335</v>
      </c>
      <c r="BB258" s="4">
        <f>[1]节奏总纲!BB258</f>
        <v>45.84134649747331</v>
      </c>
      <c r="BC258" s="4">
        <f>[1]节奏总纲!BC258</f>
        <v>47.785447853033176</v>
      </c>
      <c r="BD258" s="4">
        <f>[1]节奏总纲!BD258</f>
        <v>50.527400604734339</v>
      </c>
      <c r="BE258" s="4">
        <f>[1]节奏总纲!BE258</f>
        <v>55.24064392640193</v>
      </c>
    </row>
    <row r="259" spans="29:57" x14ac:dyDescent="0.15">
      <c r="AC259" s="4">
        <f>[1]节奏总纲!AC259</f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f>[1]节奏总纲!AZ259</f>
        <v>256</v>
      </c>
      <c r="BA259" s="4">
        <f>[1]节奏总纲!BA259</f>
        <v>44.352321070087235</v>
      </c>
      <c r="BB259" s="4">
        <f>[1]节奏总纲!BB259</f>
        <v>45.869242601500943</v>
      </c>
      <c r="BC259" s="4">
        <f>[1]节奏总纲!BC259</f>
        <v>47.813164570797035</v>
      </c>
      <c r="BD259" s="4">
        <f>[1]节奏总纲!BD259</f>
        <v>50.554158626283517</v>
      </c>
      <c r="BE259" s="4">
        <f>[1]节奏总纲!BE259</f>
        <v>55.266353747598714</v>
      </c>
    </row>
    <row r="260" spans="29:57" x14ac:dyDescent="0.15">
      <c r="AC260" s="4">
        <f>[1]节奏总纲!AC260</f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f>[1]节奏总纲!AZ260</f>
        <v>257</v>
      </c>
      <c r="BA260" s="4">
        <f>[1]节奏总纲!BA260</f>
        <v>44.378176516391136</v>
      </c>
      <c r="BB260" s="4">
        <f>[1]节奏总纲!BB260</f>
        <v>45.897138705528576</v>
      </c>
      <c r="BC260" s="4">
        <f>[1]节奏总纲!BC260</f>
        <v>47.840881288560894</v>
      </c>
      <c r="BD260" s="4">
        <f>[1]节奏总纲!BD260</f>
        <v>50.580916647832701</v>
      </c>
      <c r="BE260" s="4">
        <f>[1]节奏总纲!BE260</f>
        <v>55.292063568795498</v>
      </c>
    </row>
    <row r="261" spans="29:57" x14ac:dyDescent="0.15">
      <c r="AC261" s="4">
        <f>[1]节奏总纲!AC261</f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f>[1]节奏总纲!AZ261</f>
        <v>258</v>
      </c>
      <c r="BA261" s="4">
        <f>[1]节奏总纲!BA261</f>
        <v>44.404031962695043</v>
      </c>
      <c r="BB261" s="4">
        <f>[1]节奏总纲!BB261</f>
        <v>45.925034809556202</v>
      </c>
      <c r="BC261" s="4">
        <f>[1]节奏总纲!BC261</f>
        <v>47.868598006324753</v>
      </c>
      <c r="BD261" s="4">
        <f>[1]节奏总纲!BD261</f>
        <v>50.607674669381879</v>
      </c>
      <c r="BE261" s="4">
        <f>[1]节奏总纲!BE261</f>
        <v>55.31777338999229</v>
      </c>
    </row>
    <row r="262" spans="29:57" x14ac:dyDescent="0.15">
      <c r="AC262" s="4">
        <f>[1]节奏总纲!AC262</f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f>[1]节奏总纲!AZ262</f>
        <v>259</v>
      </c>
      <c r="BA262" s="4">
        <f>[1]节奏总纲!BA262</f>
        <v>44.429887408998944</v>
      </c>
      <c r="BB262" s="4">
        <f>[1]节奏总纲!BB262</f>
        <v>45.952930913583835</v>
      </c>
      <c r="BC262" s="4">
        <f>[1]节奏总纲!BC262</f>
        <v>47.896314724088612</v>
      </c>
      <c r="BD262" s="4">
        <f>[1]节奏总纲!BD262</f>
        <v>50.634432690931064</v>
      </c>
      <c r="BE262" s="4">
        <f>[1]节奏总纲!BE262</f>
        <v>55.343483211189074</v>
      </c>
    </row>
    <row r="263" spans="29:57" x14ac:dyDescent="0.15">
      <c r="AC263" s="4">
        <f>[1]节奏总纲!AC263</f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f>[1]节奏总纲!AZ263</f>
        <v>260</v>
      </c>
      <c r="BA263" s="4">
        <f>[1]节奏总纲!BA263</f>
        <v>44.455742855302844</v>
      </c>
      <c r="BB263" s="4">
        <f>[1]节奏总纲!BB263</f>
        <v>45.98082701761146</v>
      </c>
      <c r="BC263" s="4">
        <f>[1]节奏总纲!BC263</f>
        <v>47.92403144185247</v>
      </c>
      <c r="BD263" s="4">
        <f>[1]节奏总纲!BD263</f>
        <v>50.661190712480241</v>
      </c>
      <c r="BE263" s="4">
        <f>[1]节奏总纲!BE263</f>
        <v>55.369193032385866</v>
      </c>
    </row>
    <row r="264" spans="29:57" x14ac:dyDescent="0.15">
      <c r="AC264" s="4">
        <f>[1]节奏总纲!AC264</f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f>[1]节奏总纲!AZ264</f>
        <v>261</v>
      </c>
      <c r="BA264" s="4">
        <f>[1]节奏总纲!BA264</f>
        <v>44.481598301606752</v>
      </c>
      <c r="BB264" s="4">
        <f>[1]节奏总纲!BB264</f>
        <v>46.007529841290832</v>
      </c>
      <c r="BC264" s="4">
        <f>[1]节奏总纲!BC264</f>
        <v>47.951748159616329</v>
      </c>
      <c r="BD264" s="4">
        <f>[1]节奏总纲!BD264</f>
        <v>50.687948734029419</v>
      </c>
      <c r="BE264" s="4">
        <f>[1]节奏总纲!BE264</f>
        <v>55.39490285358265</v>
      </c>
    </row>
    <row r="265" spans="29:57" x14ac:dyDescent="0.15">
      <c r="AC265" s="4">
        <f>[1]节奏总纲!AC265</f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f>[1]节奏总纲!AZ265</f>
        <v>262</v>
      </c>
      <c r="BA265" s="4">
        <f>[1]节奏总纲!BA265</f>
        <v>44.507453747910652</v>
      </c>
      <c r="BB265" s="4">
        <f>[1]节奏总纲!BB265</f>
        <v>46.031609894814238</v>
      </c>
      <c r="BC265" s="4">
        <f>[1]节奏总纲!BC265</f>
        <v>47.979464877380188</v>
      </c>
      <c r="BD265" s="4">
        <f>[1]节奏总纲!BD265</f>
        <v>50.714706755578604</v>
      </c>
      <c r="BE265" s="4">
        <f>[1]节奏总纲!BE265</f>
        <v>55.420612674779434</v>
      </c>
    </row>
    <row r="266" spans="29:57" x14ac:dyDescent="0.15">
      <c r="AC266" s="4">
        <f>[1]节奏总纲!AC266</f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f>[1]节奏总纲!AZ266</f>
        <v>263</v>
      </c>
      <c r="BA266" s="4">
        <f>[1]节奏总纲!BA266</f>
        <v>44.533309194214553</v>
      </c>
      <c r="BB266" s="4">
        <f>[1]节奏总纲!BB266</f>
        <v>46.055689948337651</v>
      </c>
      <c r="BC266" s="4">
        <f>[1]节奏总纲!BC266</f>
        <v>48.006200084618079</v>
      </c>
      <c r="BD266" s="4">
        <f>[1]节奏总纲!BD266</f>
        <v>50.741464777127781</v>
      </c>
      <c r="BE266" s="4">
        <f>[1]节奏总纲!BE266</f>
        <v>55.446322495976226</v>
      </c>
    </row>
    <row r="267" spans="29:57" x14ac:dyDescent="0.15">
      <c r="AC267" s="4">
        <f>[1]节奏总纲!AC267</f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f>[1]节奏总纲!AZ267</f>
        <v>264</v>
      </c>
      <c r="BA267" s="4">
        <f>[1]节奏总纲!BA267</f>
        <v>44.55916464051846</v>
      </c>
      <c r="BB267" s="4">
        <f>[1]节奏总纲!BB267</f>
        <v>46.079770001861057</v>
      </c>
      <c r="BC267" s="4">
        <f>[1]节奏总纲!BC267</f>
        <v>48.030128751164241</v>
      </c>
      <c r="BD267" s="4">
        <f>[1]节奏总纲!BD267</f>
        <v>50.768222798676959</v>
      </c>
      <c r="BE267" s="4">
        <f>[1]节奏总纲!BE267</f>
        <v>55.47203231717301</v>
      </c>
    </row>
    <row r="268" spans="29:57" x14ac:dyDescent="0.15">
      <c r="AC268" s="4">
        <f>[1]节奏总纲!AC268</f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f>[1]节奏总纲!AZ268</f>
        <v>265</v>
      </c>
      <c r="BA268" s="4">
        <f>[1]节奏总纲!BA268</f>
        <v>44.585020086822361</v>
      </c>
      <c r="BB268" s="4">
        <f>[1]节奏总纲!BB268</f>
        <v>46.10385005538447</v>
      </c>
      <c r="BC268" s="4">
        <f>[1]节奏总纲!BC268</f>
        <v>48.054057417710396</v>
      </c>
      <c r="BD268" s="4">
        <f>[1]节奏总纲!BD268</f>
        <v>50.794980820226144</v>
      </c>
      <c r="BE268" s="4">
        <f>[1]节奏总纲!BE268</f>
        <v>55.497742138369794</v>
      </c>
    </row>
    <row r="269" spans="29:57" x14ac:dyDescent="0.15">
      <c r="AC269" s="4">
        <f>[1]节奏总纲!AC269</f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f>[1]节奏总纲!AZ269</f>
        <v>266</v>
      </c>
      <c r="BA269" s="4">
        <f>[1]节奏总纲!BA269</f>
        <v>44.610875533126261</v>
      </c>
      <c r="BB269" s="4">
        <f>[1]节奏总纲!BB269</f>
        <v>46.127930108907876</v>
      </c>
      <c r="BC269" s="4">
        <f>[1]节奏总纲!BC269</f>
        <v>48.077986084256551</v>
      </c>
      <c r="BD269" s="4">
        <f>[1]节奏总纲!BD269</f>
        <v>50.821738841775321</v>
      </c>
      <c r="BE269" s="4">
        <f>[1]节奏总纲!BE269</f>
        <v>55.523451959566586</v>
      </c>
    </row>
    <row r="270" spans="29:57" x14ac:dyDescent="0.15">
      <c r="AC270" s="4">
        <f>[1]节奏总纲!AC270</f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f>[1]节奏总纲!AZ270</f>
        <v>267</v>
      </c>
      <c r="BA270" s="4">
        <f>[1]节奏总纲!BA270</f>
        <v>44.636730979430169</v>
      </c>
      <c r="BB270" s="4">
        <f>[1]节奏总纲!BB270</f>
        <v>46.152010162431289</v>
      </c>
      <c r="BC270" s="4">
        <f>[1]节奏总纲!BC270</f>
        <v>48.101914750802706</v>
      </c>
      <c r="BD270" s="4">
        <f>[1]节奏总纲!BD270</f>
        <v>50.848496863324499</v>
      </c>
      <c r="BE270" s="4">
        <f>[1]节奏总纲!BE270</f>
        <v>55.54916178076337</v>
      </c>
    </row>
    <row r="271" spans="29:57" x14ac:dyDescent="0.15">
      <c r="AC271" s="4">
        <f>[1]节奏总纲!AC271</f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f>[1]节奏总纲!AZ271</f>
        <v>268</v>
      </c>
      <c r="BA271" s="4">
        <f>[1]节奏总纲!BA271</f>
        <v>44.662586425734069</v>
      </c>
      <c r="BB271" s="4">
        <f>[1]节奏总纲!BB271</f>
        <v>46.176090215954694</v>
      </c>
      <c r="BC271" s="4">
        <f>[1]节奏总纲!BC271</f>
        <v>48.125843417348868</v>
      </c>
      <c r="BD271" s="4">
        <f>[1]节奏总纲!BD271</f>
        <v>50.875254884873684</v>
      </c>
      <c r="BE271" s="4">
        <f>[1]节奏总纲!BE271</f>
        <v>55.574871601960162</v>
      </c>
    </row>
    <row r="272" spans="29:57" x14ac:dyDescent="0.15">
      <c r="AC272" s="4">
        <f>[1]节奏总纲!AC272</f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f>[1]节奏总纲!AZ272</f>
        <v>269</v>
      </c>
      <c r="BA272" s="4">
        <f>[1]节奏总纲!BA272</f>
        <v>44.68844187203797</v>
      </c>
      <c r="BB272" s="4">
        <f>[1]节奏总纲!BB272</f>
        <v>46.200170269478107</v>
      </c>
      <c r="BC272" s="4">
        <f>[1]节奏总纲!BC272</f>
        <v>48.149772083895023</v>
      </c>
      <c r="BD272" s="4">
        <f>[1]节奏总纲!BD272</f>
        <v>50.902012906422861</v>
      </c>
      <c r="BE272" s="4">
        <f>[1]节奏总纲!BE272</f>
        <v>55.600581423156946</v>
      </c>
    </row>
    <row r="273" spans="29:57" x14ac:dyDescent="0.15">
      <c r="AC273" s="4">
        <f>[1]节奏总纲!AC273</f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f>[1]节奏总纲!AZ273</f>
        <v>270</v>
      </c>
      <c r="BA273" s="4">
        <f>[1]节奏总纲!BA273</f>
        <v>44.714297318341877</v>
      </c>
      <c r="BB273" s="4">
        <f>[1]节奏总纲!BB273</f>
        <v>46.224250323001513</v>
      </c>
      <c r="BC273" s="4">
        <f>[1]节奏总纲!BC273</f>
        <v>48.173700750441178</v>
      </c>
      <c r="BD273" s="4">
        <f>[1]节奏总纲!BD273</f>
        <v>50.928770927972039</v>
      </c>
      <c r="BE273" s="4">
        <f>[1]节奏总纲!BE273</f>
        <v>55.62629124435373</v>
      </c>
    </row>
    <row r="274" spans="29:57" x14ac:dyDescent="0.15">
      <c r="AC274" s="4">
        <f>[1]节奏总纲!AC274</f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f>[1]节奏总纲!AZ274</f>
        <v>271</v>
      </c>
      <c r="BA274" s="4">
        <f>[1]节奏总纲!BA274</f>
        <v>44.740152764645778</v>
      </c>
      <c r="BB274" s="4">
        <f>[1]节奏总纲!BB274</f>
        <v>46.248330376524919</v>
      </c>
      <c r="BC274" s="4">
        <f>[1]节奏总纲!BC274</f>
        <v>48.19762941698734</v>
      </c>
      <c r="BD274" s="4">
        <f>[1]节奏总纲!BD274</f>
        <v>50.955528949521224</v>
      </c>
      <c r="BE274" s="4">
        <f>[1]节奏总纲!BE274</f>
        <v>55.652001065550522</v>
      </c>
    </row>
    <row r="275" spans="29:57" x14ac:dyDescent="0.15">
      <c r="AC275" s="4">
        <f>[1]节奏总纲!AC275</f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f>[1]节奏总纲!AZ275</f>
        <v>272</v>
      </c>
      <c r="BA275" s="4">
        <f>[1]节奏总纲!BA275</f>
        <v>44.766008210949678</v>
      </c>
      <c r="BB275" s="4">
        <f>[1]节奏总纲!BB275</f>
        <v>46.272410430048332</v>
      </c>
      <c r="BC275" s="4">
        <f>[1]节奏总纲!BC275</f>
        <v>48.221558083533495</v>
      </c>
      <c r="BD275" s="4">
        <f>[1]节奏总纲!BD275</f>
        <v>50.982286971070401</v>
      </c>
      <c r="BE275" s="4">
        <f>[1]节奏总纲!BE275</f>
        <v>55.677710886747306</v>
      </c>
    </row>
    <row r="276" spans="29:57" x14ac:dyDescent="0.15">
      <c r="AC276" s="4">
        <f>[1]节奏总纲!AC276</f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f>[1]节奏总纲!AZ276</f>
        <v>273</v>
      </c>
      <c r="BA276" s="4">
        <f>[1]节奏总纲!BA276</f>
        <v>44.791863657253586</v>
      </c>
      <c r="BB276" s="4">
        <f>[1]节奏总纲!BB276</f>
        <v>46.296490483571738</v>
      </c>
      <c r="BC276" s="4">
        <f>[1]节奏总纲!BC276</f>
        <v>48.24548675007965</v>
      </c>
      <c r="BD276" s="4">
        <f>[1]节奏总纲!BD276</f>
        <v>51.007810424246486</v>
      </c>
      <c r="BE276" s="4">
        <f>[1]节奏总纲!BE276</f>
        <v>55.703420707944098</v>
      </c>
    </row>
    <row r="277" spans="29:57" x14ac:dyDescent="0.15">
      <c r="AC277" s="4">
        <f>[1]节奏总纲!AC277</f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f>[1]节奏总纲!AZ277</f>
        <v>274</v>
      </c>
      <c r="BA277" s="4">
        <f>[1]节奏总纲!BA277</f>
        <v>44.817719103557486</v>
      </c>
      <c r="BB277" s="4">
        <f>[1]节奏总纲!BB277</f>
        <v>46.320570537095151</v>
      </c>
      <c r="BC277" s="4">
        <f>[1]节奏总纲!BC277</f>
        <v>48.269415416625804</v>
      </c>
      <c r="BD277" s="4">
        <f>[1]节奏总纲!BD277</f>
        <v>51.030916192165336</v>
      </c>
      <c r="BE277" s="4">
        <f>[1]节奏总纲!BE277</f>
        <v>55.729130529140882</v>
      </c>
    </row>
    <row r="278" spans="29:57" x14ac:dyDescent="0.15">
      <c r="AC278" s="4">
        <f>[1]节奏总纲!AC278</f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f>[1]节奏总纲!AZ278</f>
        <v>275</v>
      </c>
      <c r="BA278" s="4">
        <f>[1]节奏总纲!BA278</f>
        <v>44.843574549861387</v>
      </c>
      <c r="BB278" s="4">
        <f>[1]节奏总纲!BB278</f>
        <v>46.344650590618556</v>
      </c>
      <c r="BC278" s="4">
        <f>[1]节奏总纲!BC278</f>
        <v>48.293344083171966</v>
      </c>
      <c r="BD278" s="4">
        <f>[1]节奏总纲!BD278</f>
        <v>51.054021960084178</v>
      </c>
      <c r="BE278" s="4">
        <f>[1]节奏总纲!BE278</f>
        <v>55.754840350337666</v>
      </c>
    </row>
    <row r="279" spans="29:57" x14ac:dyDescent="0.15">
      <c r="AC279" s="4">
        <f>[1]节奏总纲!AC279</f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f>[1]节奏总纲!AZ279</f>
        <v>276</v>
      </c>
      <c r="BA279" s="4">
        <f>[1]节奏总纲!BA279</f>
        <v>44.869429996165294</v>
      </c>
      <c r="BB279" s="4">
        <f>[1]节奏总纲!BB279</f>
        <v>46.368730644141969</v>
      </c>
      <c r="BC279" s="4">
        <f>[1]节奏总纲!BC279</f>
        <v>48.317272749718121</v>
      </c>
      <c r="BD279" s="4">
        <f>[1]节奏总纲!BD279</f>
        <v>51.077127728003028</v>
      </c>
      <c r="BE279" s="4">
        <f>[1]节奏总纲!BE279</f>
        <v>55.780550171534458</v>
      </c>
    </row>
    <row r="280" spans="29:57" x14ac:dyDescent="0.15">
      <c r="AC280" s="4">
        <f>[1]节奏总纲!AC280</f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f>[1]节奏总纲!AZ280</f>
        <v>277</v>
      </c>
      <c r="BA280" s="4">
        <f>[1]节奏总纲!BA280</f>
        <v>44.895285442469195</v>
      </c>
      <c r="BB280" s="4">
        <f>[1]节奏总纲!BB280</f>
        <v>46.392810697665375</v>
      </c>
      <c r="BC280" s="4">
        <f>[1]节奏总纲!BC280</f>
        <v>48.341201416264276</v>
      </c>
      <c r="BD280" s="4">
        <f>[1]节奏总纲!BD280</f>
        <v>51.10023349592187</v>
      </c>
      <c r="BE280" s="4">
        <f>[1]节奏总纲!BE280</f>
        <v>55.806259992731242</v>
      </c>
    </row>
    <row r="281" spans="29:57" x14ac:dyDescent="0.15">
      <c r="AC281" s="4">
        <f>[1]节奏总纲!AC281</f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f>[1]节奏总纲!AZ281</f>
        <v>278</v>
      </c>
      <c r="BA281" s="4">
        <f>[1]节奏总纲!BA281</f>
        <v>44.921140888773095</v>
      </c>
      <c r="BB281" s="4">
        <f>[1]节奏总纲!BB281</f>
        <v>46.416890751188788</v>
      </c>
      <c r="BC281" s="4">
        <f>[1]节奏总纲!BC281</f>
        <v>48.365130082810438</v>
      </c>
      <c r="BD281" s="4">
        <f>[1]节奏总纲!BD281</f>
        <v>51.12333926384072</v>
      </c>
      <c r="BE281" s="4">
        <f>[1]节奏总纲!BE281</f>
        <v>55.831969813928033</v>
      </c>
    </row>
    <row r="282" spans="29:57" x14ac:dyDescent="0.15">
      <c r="AC282" s="4">
        <f>[1]节奏总纲!AC282</f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f>[1]节奏总纲!AZ282</f>
        <v>279</v>
      </c>
      <c r="BA282" s="4">
        <f>[1]节奏总纲!BA282</f>
        <v>44.946996335076996</v>
      </c>
      <c r="BB282" s="4">
        <f>[1]节奏总纲!BB282</f>
        <v>46.440970804712194</v>
      </c>
      <c r="BC282" s="4">
        <f>[1]节奏总纲!BC282</f>
        <v>48.389058749356593</v>
      </c>
      <c r="BD282" s="4">
        <f>[1]节奏总纲!BD282</f>
        <v>51.146445031759569</v>
      </c>
      <c r="BE282" s="4">
        <f>[1]节奏总纲!BE282</f>
        <v>55.857679635124818</v>
      </c>
    </row>
    <row r="283" spans="29:57" x14ac:dyDescent="0.15">
      <c r="AC283" s="4">
        <f>[1]节奏总纲!AC283</f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f>[1]节奏总纲!AZ283</f>
        <v>280</v>
      </c>
      <c r="BA283" s="4">
        <f>[1]节奏总纲!BA283</f>
        <v>44.972851781380903</v>
      </c>
      <c r="BB283" s="4">
        <f>[1]节奏总纲!BB283</f>
        <v>46.465050858235607</v>
      </c>
      <c r="BC283" s="4">
        <f>[1]节奏总纲!BC283</f>
        <v>48.412987415902748</v>
      </c>
      <c r="BD283" s="4">
        <f>[1]节奏总纲!BD283</f>
        <v>51.169550799678412</v>
      </c>
      <c r="BE283" s="4">
        <f>[1]节奏总纲!BE283</f>
        <v>55.883389456321602</v>
      </c>
    </row>
    <row r="284" spans="29:57" x14ac:dyDescent="0.15">
      <c r="AC284" s="4">
        <f>[1]节奏总纲!AC284</f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f>[1]节奏总纲!AZ284</f>
        <v>281</v>
      </c>
      <c r="BA284" s="4">
        <f>[1]节奏总纲!BA284</f>
        <v>44.998707227684804</v>
      </c>
      <c r="BB284" s="4">
        <f>[1]节奏总纲!BB284</f>
        <v>46.489130911759013</v>
      </c>
      <c r="BC284" s="4">
        <f>[1]节奏总纲!BC284</f>
        <v>48.43691608244891</v>
      </c>
      <c r="BD284" s="4">
        <f>[1]节奏总纲!BD284</f>
        <v>51.192656567597261</v>
      </c>
      <c r="BE284" s="4">
        <f>[1]节奏总纲!BE284</f>
        <v>55.909099277518393</v>
      </c>
    </row>
    <row r="285" spans="29:57" x14ac:dyDescent="0.15">
      <c r="AC285" s="4">
        <f>[1]节奏总纲!AC285</f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f>[1]节奏总纲!AZ285</f>
        <v>282</v>
      </c>
      <c r="BA285" s="4">
        <f>[1]节奏总纲!BA285</f>
        <v>45.021201039060998</v>
      </c>
      <c r="BB285" s="4">
        <f>[1]节奏总纲!BB285</f>
        <v>46.513210965282425</v>
      </c>
      <c r="BC285" s="4">
        <f>[1]节奏总纲!BC285</f>
        <v>48.460844748995065</v>
      </c>
      <c r="BD285" s="4">
        <f>[1]节奏总纲!BD285</f>
        <v>51.215762335516104</v>
      </c>
      <c r="BE285" s="4">
        <f>[1]节奏总纲!BE285</f>
        <v>55.934809098715178</v>
      </c>
    </row>
    <row r="286" spans="29:57" x14ac:dyDescent="0.15">
      <c r="AC286" s="4">
        <f>[1]节奏总纲!AC286</f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f>[1]节奏总纲!AZ286</f>
        <v>283</v>
      </c>
      <c r="BA286" s="4">
        <f>[1]节奏总纲!BA286</f>
        <v>45.043517922283101</v>
      </c>
      <c r="BB286" s="4">
        <f>[1]节奏总纲!BB286</f>
        <v>46.537291018805831</v>
      </c>
      <c r="BC286" s="4">
        <f>[1]节奏总纲!BC286</f>
        <v>48.48477341554122</v>
      </c>
      <c r="BD286" s="4">
        <f>[1]节奏总纲!BD286</f>
        <v>51.238868103434953</v>
      </c>
      <c r="BE286" s="4">
        <f>[1]节奏总纲!BE286</f>
        <v>55.960518919911962</v>
      </c>
    </row>
    <row r="287" spans="29:57" x14ac:dyDescent="0.15">
      <c r="AC287" s="4">
        <f>[1]节奏总纲!AC287</f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f>[1]节奏总纲!AZ287</f>
        <v>284</v>
      </c>
      <c r="BA287" s="4">
        <f>[1]节奏总纲!BA287</f>
        <v>45.065834805505204</v>
      </c>
      <c r="BB287" s="4">
        <f>[1]节奏总纲!BB287</f>
        <v>46.561371072329244</v>
      </c>
      <c r="BC287" s="4">
        <f>[1]节奏总纲!BC287</f>
        <v>48.508702082087382</v>
      </c>
      <c r="BD287" s="4">
        <f>[1]节奏总纲!BD287</f>
        <v>51.261973871353796</v>
      </c>
      <c r="BE287" s="4">
        <f>[1]节奏总纲!BE287</f>
        <v>55.986228741108754</v>
      </c>
    </row>
    <row r="288" spans="29:57" x14ac:dyDescent="0.15">
      <c r="AC288" s="4">
        <f>[1]节奏总纲!AC288</f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f>[1]节奏总纲!AZ288</f>
        <v>285</v>
      </c>
      <c r="BA288" s="4">
        <f>[1]节奏总纲!BA288</f>
        <v>45.088151688727308</v>
      </c>
      <c r="BB288" s="4">
        <f>[1]节奏总纲!BB288</f>
        <v>46.58545112585265</v>
      </c>
      <c r="BC288" s="4">
        <f>[1]节奏总纲!BC288</f>
        <v>48.532630748633537</v>
      </c>
      <c r="BD288" s="4">
        <f>[1]节奏总纲!BD288</f>
        <v>51.285079639272645</v>
      </c>
      <c r="BE288" s="4">
        <f>[1]节奏总纲!BE288</f>
        <v>56.010312347085055</v>
      </c>
    </row>
    <row r="289" spans="29:57" x14ac:dyDescent="0.15">
      <c r="AC289" s="4">
        <f>[1]节奏总纲!AC289</f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f>[1]节奏总纲!AZ289</f>
        <v>286</v>
      </c>
      <c r="BA289" s="4">
        <f>[1]节奏总纲!BA289</f>
        <v>45.110468571949411</v>
      </c>
      <c r="BB289" s="4">
        <f>[1]节奏总纲!BB289</f>
        <v>46.609531179376063</v>
      </c>
      <c r="BC289" s="4">
        <f>[1]节奏总纲!BC289</f>
        <v>48.556559415179692</v>
      </c>
      <c r="BD289" s="4">
        <f>[1]节奏总纲!BD289</f>
        <v>51.308185407191495</v>
      </c>
      <c r="BE289" s="4">
        <f>[1]节奏总纲!BE289</f>
        <v>56.032520096468168</v>
      </c>
    </row>
    <row r="290" spans="29:57" x14ac:dyDescent="0.15">
      <c r="AC290" s="4">
        <f>[1]节奏总纲!AC290</f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f>[1]节奏总纲!AZ290</f>
        <v>287</v>
      </c>
      <c r="BA290" s="4">
        <f>[1]节奏总纲!BA290</f>
        <v>45.132785455171515</v>
      </c>
      <c r="BB290" s="4">
        <f>[1]节奏总纲!BB290</f>
        <v>46.633611232899469</v>
      </c>
      <c r="BC290" s="4">
        <f>[1]节奏总纲!BC290</f>
        <v>48.580488081725846</v>
      </c>
      <c r="BD290" s="4">
        <f>[1]节奏总纲!BD290</f>
        <v>51.331291175110337</v>
      </c>
      <c r="BE290" s="4">
        <f>[1]节奏总纲!BE290</f>
        <v>56.054727845851275</v>
      </c>
    </row>
    <row r="291" spans="29:57" x14ac:dyDescent="0.15">
      <c r="AC291" s="4">
        <f>[1]节奏总纲!AC291</f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f>[1]节奏总纲!AZ291</f>
        <v>288</v>
      </c>
      <c r="BA291" s="4">
        <f>[1]节奏总纲!BA291</f>
        <v>45.155102338393618</v>
      </c>
      <c r="BB291" s="4">
        <f>[1]节奏总纲!BB291</f>
        <v>46.657691286422882</v>
      </c>
      <c r="BC291" s="4">
        <f>[1]节奏总纲!BC291</f>
        <v>48.604416748272008</v>
      </c>
      <c r="BD291" s="4">
        <f>[1]节奏总纲!BD291</f>
        <v>51.354396943029187</v>
      </c>
      <c r="BE291" s="4">
        <f>[1]节奏总纲!BE291</f>
        <v>56.076935595234382</v>
      </c>
    </row>
    <row r="292" spans="29:57" x14ac:dyDescent="0.15">
      <c r="AC292" s="4">
        <f>[1]节奏总纲!AC292</f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f>[1]节奏总纲!AZ292</f>
        <v>289</v>
      </c>
      <c r="BA292" s="4">
        <f>[1]节奏总纲!BA292</f>
        <v>45.177419221615722</v>
      </c>
      <c r="BB292" s="4">
        <f>[1]节奏总纲!BB292</f>
        <v>46.681771339946287</v>
      </c>
      <c r="BC292" s="4">
        <f>[1]节奏总纲!BC292</f>
        <v>48.628345414818163</v>
      </c>
      <c r="BD292" s="4">
        <f>[1]节奏总纲!BD292</f>
        <v>51.377502710948029</v>
      </c>
      <c r="BE292" s="4">
        <f>[1]节奏总纲!BE292</f>
        <v>56.099143344617488</v>
      </c>
    </row>
    <row r="293" spans="29:57" x14ac:dyDescent="0.15">
      <c r="AC293" s="4">
        <f>[1]节奏总纲!AC293</f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f>[1]节奏总纲!AZ293</f>
        <v>290</v>
      </c>
      <c r="BA293" s="4">
        <f>[1]节奏总纲!BA293</f>
        <v>45.199736104837825</v>
      </c>
      <c r="BB293" s="4">
        <f>[1]节奏总纲!BB293</f>
        <v>46.7058513934697</v>
      </c>
      <c r="BC293" s="4">
        <f>[1]节奏总纲!BC293</f>
        <v>48.652274081364318</v>
      </c>
      <c r="BD293" s="4">
        <f>[1]节奏总纲!BD293</f>
        <v>51.400608478866879</v>
      </c>
      <c r="BE293" s="4">
        <f>[1]节奏总纲!BE293</f>
        <v>56.121351094000602</v>
      </c>
    </row>
    <row r="294" spans="29:57" x14ac:dyDescent="0.15">
      <c r="AC294" s="4">
        <f>[1]节奏总纲!AC294</f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f>[1]节奏总纲!AZ294</f>
        <v>291</v>
      </c>
      <c r="BA294" s="4">
        <f>[1]节奏总纲!BA294</f>
        <v>45.222052988059936</v>
      </c>
      <c r="BB294" s="4">
        <f>[1]节奏总纲!BB294</f>
        <v>46.729931446993106</v>
      </c>
      <c r="BC294" s="4">
        <f>[1]节奏总纲!BC294</f>
        <v>48.67620274791048</v>
      </c>
      <c r="BD294" s="4">
        <f>[1]节奏总纲!BD294</f>
        <v>51.423714246785721</v>
      </c>
      <c r="BE294" s="4">
        <f>[1]节奏总纲!BE294</f>
        <v>56.143558843383708</v>
      </c>
    </row>
    <row r="295" spans="29:57" x14ac:dyDescent="0.15">
      <c r="AC295" s="4">
        <f>[1]节奏总纲!AC295</f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f>[1]节奏总纲!AZ295</f>
        <v>292</v>
      </c>
      <c r="BA295" s="4">
        <f>[1]节奏总纲!BA295</f>
        <v>45.244369871282039</v>
      </c>
      <c r="BB295" s="4">
        <f>[1]节奏总纲!BB295</f>
        <v>46.754011500516519</v>
      </c>
      <c r="BC295" s="4">
        <f>[1]节奏总纲!BC295</f>
        <v>48.700131414456635</v>
      </c>
      <c r="BD295" s="4">
        <f>[1]节奏总纲!BD295</f>
        <v>51.446820014704571</v>
      </c>
      <c r="BE295" s="4">
        <f>[1]节奏总纲!BE295</f>
        <v>56.165766592766815</v>
      </c>
    </row>
    <row r="296" spans="29:57" x14ac:dyDescent="0.15">
      <c r="AC296" s="4">
        <f>[1]节奏总纲!AC296</f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f>[1]节奏总纲!AZ296</f>
        <v>293</v>
      </c>
      <c r="BA296" s="4">
        <f>[1]节奏总纲!BA296</f>
        <v>45.266686754504143</v>
      </c>
      <c r="BB296" s="4">
        <f>[1]节奏总纲!BB296</f>
        <v>46.778091554039925</v>
      </c>
      <c r="BC296" s="4">
        <f>[1]节奏总纲!BC296</f>
        <v>48.72406008100279</v>
      </c>
      <c r="BD296" s="4">
        <f>[1]节奏总纲!BD296</f>
        <v>51.46992578262342</v>
      </c>
      <c r="BE296" s="4">
        <f>[1]节奏总纲!BE296</f>
        <v>56.187974342149921</v>
      </c>
    </row>
    <row r="297" spans="29:57" x14ac:dyDescent="0.15">
      <c r="AC297" s="4">
        <f>[1]节奏总纲!AC297</f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f>[1]节奏总纲!AZ297</f>
        <v>294</v>
      </c>
      <c r="BA297" s="4">
        <f>[1]节奏总纲!BA297</f>
        <v>45.289003637726246</v>
      </c>
      <c r="BB297" s="4">
        <f>[1]节奏总纲!BB297</f>
        <v>46.802171607563338</v>
      </c>
      <c r="BC297" s="4">
        <f>[1]节奏总纲!BC297</f>
        <v>48.747988747548945</v>
      </c>
      <c r="BD297" s="4">
        <f>[1]节奏总纲!BD297</f>
        <v>51.493031550542263</v>
      </c>
      <c r="BE297" s="4">
        <f>[1]节奏总纲!BE297</f>
        <v>56.210182091533035</v>
      </c>
    </row>
    <row r="298" spans="29:57" x14ac:dyDescent="0.15">
      <c r="AC298" s="4">
        <f>[1]节奏总纲!AC298</f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f>[1]节奏总纲!AZ298</f>
        <v>295</v>
      </c>
      <c r="BA298" s="4">
        <f>[1]节奏总纲!BA298</f>
        <v>45.31132052094835</v>
      </c>
      <c r="BB298" s="4">
        <f>[1]节奏总纲!BB298</f>
        <v>46.826251661086744</v>
      </c>
      <c r="BC298" s="4">
        <f>[1]节奏总纲!BC298</f>
        <v>48.771917414095107</v>
      </c>
      <c r="BD298" s="4">
        <f>[1]节奏总纲!BD298</f>
        <v>51.516137318461112</v>
      </c>
      <c r="BE298" s="4">
        <f>[1]节奏总纲!BE298</f>
        <v>56.232389840916142</v>
      </c>
    </row>
    <row r="299" spans="29:57" x14ac:dyDescent="0.15">
      <c r="AC299" s="4">
        <f>[1]节奏总纲!AC299</f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f>[1]节奏总纲!AZ299</f>
        <v>296</v>
      </c>
      <c r="BA299" s="4">
        <f>[1]节奏总纲!BA299</f>
        <v>45.333637404170453</v>
      </c>
      <c r="BB299" s="4">
        <f>[1]节奏总纲!BB299</f>
        <v>46.850331714610157</v>
      </c>
      <c r="BC299" s="4">
        <f>[1]节奏总纲!BC299</f>
        <v>48.795846080641262</v>
      </c>
      <c r="BD299" s="4">
        <f>[1]节奏总纲!BD299</f>
        <v>51.539243086379955</v>
      </c>
      <c r="BE299" s="4">
        <f>[1]节奏总纲!BE299</f>
        <v>56.254597590299248</v>
      </c>
    </row>
    <row r="300" spans="29:57" x14ac:dyDescent="0.15">
      <c r="AC300" s="4">
        <f>[1]节奏总纲!AC300</f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f>[1]节奏总纲!AZ300</f>
        <v>297</v>
      </c>
      <c r="BA300" s="4">
        <f>[1]节奏总纲!BA300</f>
        <v>45.355954287392557</v>
      </c>
      <c r="BB300" s="4">
        <f>[1]节奏总纲!BB300</f>
        <v>46.874411768133562</v>
      </c>
      <c r="BC300" s="4">
        <f>[1]节奏总纲!BC300</f>
        <v>48.819774747187417</v>
      </c>
      <c r="BD300" s="4">
        <f>[1]节奏总纲!BD300</f>
        <v>51.562348854298804</v>
      </c>
      <c r="BE300" s="4">
        <f>[1]节奏总纲!BE300</f>
        <v>56.276805339682355</v>
      </c>
    </row>
    <row r="301" spans="29:57" x14ac:dyDescent="0.15">
      <c r="AC301" s="4">
        <f>[1]节奏总纲!AC301</f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f>[1]节奏总纲!AZ301</f>
        <v>298</v>
      </c>
      <c r="BA301" s="4">
        <f>[1]节奏总纲!BA301</f>
        <v>45.37827117061466</v>
      </c>
      <c r="BB301" s="4">
        <f>[1]节奏总纲!BB301</f>
        <v>46.898491821656968</v>
      </c>
      <c r="BC301" s="4">
        <f>[1]节奏总纲!BC301</f>
        <v>48.843703413733579</v>
      </c>
      <c r="BD301" s="4">
        <f>[1]节奏总纲!BD301</f>
        <v>51.585454622217647</v>
      </c>
      <c r="BE301" s="4">
        <f>[1]节奏总纲!BE301</f>
        <v>56.299013089065468</v>
      </c>
    </row>
    <row r="302" spans="29:57" x14ac:dyDescent="0.15">
      <c r="AC302" s="4">
        <f>[1]节奏总纲!AC302</f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f>[1]节奏总纲!AZ302</f>
        <v>299</v>
      </c>
      <c r="BA302" s="4">
        <f>[1]节奏总纲!BA302</f>
        <v>45.400588053836763</v>
      </c>
      <c r="BB302" s="4">
        <f>[1]节奏总纲!BB302</f>
        <v>46.922571875180381</v>
      </c>
      <c r="BC302" s="4">
        <f>[1]节奏总纲!BC302</f>
        <v>48.867632080279733</v>
      </c>
      <c r="BD302" s="4">
        <f>[1]节奏总纲!BD302</f>
        <v>51.608560390136496</v>
      </c>
      <c r="BE302" s="4">
        <f>[1]节奏总纲!BE302</f>
        <v>56.321220838448575</v>
      </c>
    </row>
    <row r="303" spans="29:57" x14ac:dyDescent="0.15">
      <c r="AC303" s="4">
        <f>[1]节奏总纲!AC303</f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f>[1]节奏总纲!AZ303</f>
        <v>300</v>
      </c>
      <c r="BA303" s="4">
        <f>[1]节奏总纲!BA303</f>
        <v>45.422904937058867</v>
      </c>
      <c r="BB303" s="4">
        <f>[1]节奏总纲!BB303</f>
        <v>46.946651928703787</v>
      </c>
      <c r="BC303" s="4">
        <f>[1]节奏总纲!BC303</f>
        <v>48.891560746825888</v>
      </c>
      <c r="BD303" s="4">
        <f>[1]节奏总纲!BD303</f>
        <v>51.631666158055346</v>
      </c>
      <c r="BE303" s="4">
        <f>[1]节奏总纲!BE303</f>
        <v>56.343428587831681</v>
      </c>
    </row>
    <row r="304" spans="29:57" x14ac:dyDescent="0.15">
      <c r="AC304" s="4">
        <f>[1]节奏总纲!AC304</f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f>[1]节奏总纲!AZ304</f>
        <v>301</v>
      </c>
      <c r="BA304" s="4">
        <f>[1]节奏总纲!BA304</f>
        <v>45.44522182028097</v>
      </c>
      <c r="BB304" s="4">
        <f>[1]节奏总纲!BB304</f>
        <v>46.9707319822272</v>
      </c>
      <c r="BC304" s="4">
        <f>[1]节奏总纲!BC304</f>
        <v>48.91548941337205</v>
      </c>
      <c r="BD304" s="4">
        <f>[1]节奏总纲!BD304</f>
        <v>51.654771925974188</v>
      </c>
      <c r="BE304" s="4">
        <f>[1]节奏总纲!BE304</f>
        <v>56.365636337214795</v>
      </c>
    </row>
    <row r="305" spans="29:57" x14ac:dyDescent="0.15">
      <c r="AC305" s="4">
        <f>[1]节奏总纲!AC305</f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f>[1]节奏总纲!AZ305</f>
        <v>302</v>
      </c>
      <c r="BA305" s="4">
        <f>[1]节奏总纲!BA305</f>
        <v>45.467538703503074</v>
      </c>
      <c r="BB305" s="4">
        <f>[1]节奏总纲!BB305</f>
        <v>46.994812035750606</v>
      </c>
      <c r="BC305" s="4">
        <f>[1]节奏总纲!BC305</f>
        <v>48.939418079918205</v>
      </c>
      <c r="BD305" s="4">
        <f>[1]节奏总纲!BD305</f>
        <v>51.677877693893038</v>
      </c>
      <c r="BE305" s="4">
        <f>[1]节奏总纲!BE305</f>
        <v>56.387844086597902</v>
      </c>
    </row>
    <row r="306" spans="29:57" x14ac:dyDescent="0.15">
      <c r="AC306" s="4">
        <f>[1]节奏总纲!AC306</f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f>[1]节奏总纲!AZ306</f>
        <v>303</v>
      </c>
      <c r="BA306" s="4">
        <f>[1]节奏总纲!BA306</f>
        <v>45.489855586725177</v>
      </c>
      <c r="BB306" s="4">
        <f>[1]节奏总纲!BB306</f>
        <v>47.016308935086101</v>
      </c>
      <c r="BC306" s="4">
        <f>[1]节奏总纲!BC306</f>
        <v>48.96334674646436</v>
      </c>
      <c r="BD306" s="4">
        <f>[1]节奏总纲!BD306</f>
        <v>51.70098346181188</v>
      </c>
      <c r="BE306" s="4">
        <f>[1]节奏总纲!BE306</f>
        <v>56.410051835981008</v>
      </c>
    </row>
    <row r="307" spans="29:57" x14ac:dyDescent="0.15">
      <c r="AC307" s="4">
        <f>[1]节奏总纲!AC307</f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f>[1]节奏总纲!AZ307</f>
        <v>304</v>
      </c>
      <c r="BA307" s="4">
        <f>[1]节奏总纲!BA307</f>
        <v>45.512172469947281</v>
      </c>
      <c r="BB307" s="4">
        <f>[1]节奏总纲!BB307</f>
        <v>47.037096473408994</v>
      </c>
      <c r="BC307" s="4">
        <f>[1]节奏总纲!BC307</f>
        <v>48.987275413010522</v>
      </c>
      <c r="BD307" s="4">
        <f>[1]节奏总纲!BD307</f>
        <v>51.72408922973073</v>
      </c>
      <c r="BE307" s="4">
        <f>[1]节奏总纲!BE307</f>
        <v>56.432259585364115</v>
      </c>
    </row>
    <row r="308" spans="29:57" x14ac:dyDescent="0.15">
      <c r="AC308" s="4">
        <f>[1]节奏总纲!AC308</f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f>[1]节奏总纲!AZ308</f>
        <v>305</v>
      </c>
      <c r="BA308" s="4">
        <f>[1]节奏总纲!BA308</f>
        <v>45.534489353169384</v>
      </c>
      <c r="BB308" s="4">
        <f>[1]节奏总纲!BB308</f>
        <v>47.057884011731893</v>
      </c>
      <c r="BC308" s="4">
        <f>[1]节奏总纲!BC308</f>
        <v>49.009673493801003</v>
      </c>
      <c r="BD308" s="4">
        <f>[1]节奏总纲!BD308</f>
        <v>51.747194997649579</v>
      </c>
      <c r="BE308" s="4">
        <f>[1]节奏总纲!BE308</f>
        <v>56.454467334747228</v>
      </c>
    </row>
    <row r="309" spans="29:57" x14ac:dyDescent="0.15">
      <c r="AC309" s="4">
        <f>[1]节奏总纲!AC309</f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f>[1]节奏总纲!AZ309</f>
        <v>306</v>
      </c>
      <c r="BA309" s="4">
        <f>[1]节奏总纲!BA309</f>
        <v>45.556806236391488</v>
      </c>
      <c r="BB309" s="4">
        <f>[1]节奏总纲!BB309</f>
        <v>47.078671550054786</v>
      </c>
      <c r="BC309" s="4">
        <f>[1]节奏总纲!BC309</f>
        <v>49.030333272797542</v>
      </c>
      <c r="BD309" s="4">
        <f>[1]节奏总纲!BD309</f>
        <v>51.770300765568422</v>
      </c>
      <c r="BE309" s="4">
        <f>[1]节奏总纲!BE309</f>
        <v>56.476675084130335</v>
      </c>
    </row>
    <row r="310" spans="29:57" x14ac:dyDescent="0.15">
      <c r="AC310" s="4">
        <f>[1]节奏总纲!AC310</f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f>[1]节奏总纲!AZ310</f>
        <v>307</v>
      </c>
      <c r="BA310" s="4">
        <f>[1]节奏总纲!BA310</f>
        <v>45.579123119613591</v>
      </c>
      <c r="BB310" s="4">
        <f>[1]节奏总纲!BB310</f>
        <v>47.099459088377678</v>
      </c>
      <c r="BC310" s="4">
        <f>[1]节奏总纲!BC310</f>
        <v>49.05099305179408</v>
      </c>
      <c r="BD310" s="4">
        <f>[1]节奏总纲!BD310</f>
        <v>51.793406533487271</v>
      </c>
      <c r="BE310" s="4">
        <f>[1]节奏总纲!BE310</f>
        <v>56.498882833513441</v>
      </c>
    </row>
    <row r="311" spans="29:57" x14ac:dyDescent="0.15">
      <c r="AC311" s="4">
        <f>[1]节奏总纲!AC311</f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f>[1]节奏总纲!AZ311</f>
        <v>308</v>
      </c>
      <c r="BA311" s="4">
        <f>[1]节奏总纲!BA311</f>
        <v>45.601440002835695</v>
      </c>
      <c r="BB311" s="4">
        <f>[1]节奏总纲!BB311</f>
        <v>47.12024662670057</v>
      </c>
      <c r="BC311" s="4">
        <f>[1]节奏总纲!BC311</f>
        <v>49.071652830790612</v>
      </c>
      <c r="BD311" s="4">
        <f>[1]节奏总纲!BD311</f>
        <v>51.816512301406114</v>
      </c>
      <c r="BE311" s="4">
        <f>[1]节奏总纲!BE311</f>
        <v>56.521090582896548</v>
      </c>
    </row>
    <row r="312" spans="29:57" x14ac:dyDescent="0.15">
      <c r="AC312" s="4">
        <f>[1]节奏总纲!AC312</f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f>[1]节奏总纲!AZ312</f>
        <v>309</v>
      </c>
      <c r="BA312" s="4">
        <f>[1]节奏总纲!BA312</f>
        <v>45.623756886057798</v>
      </c>
      <c r="BB312" s="4">
        <f>[1]节奏总纲!BB312</f>
        <v>47.14103416502347</v>
      </c>
      <c r="BC312" s="4">
        <f>[1]节奏总纲!BC312</f>
        <v>49.09231260978715</v>
      </c>
      <c r="BD312" s="4">
        <f>[1]节奏总纲!BD312</f>
        <v>51.839618069324963</v>
      </c>
      <c r="BE312" s="4">
        <f>[1]节奏总纲!BE312</f>
        <v>56.543298332279662</v>
      </c>
    </row>
    <row r="313" spans="29:57" x14ac:dyDescent="0.15">
      <c r="AC313" s="4">
        <f>[1]节奏总纲!AC313</f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f>[1]节奏总纲!AZ313</f>
        <v>310</v>
      </c>
      <c r="BA313" s="4">
        <f>[1]节奏总纲!BA313</f>
        <v>45.646073769279901</v>
      </c>
      <c r="BB313" s="4">
        <f>[1]节奏总纲!BB313</f>
        <v>47.161821703346362</v>
      </c>
      <c r="BC313" s="4">
        <f>[1]节奏总纲!BC313</f>
        <v>49.112972388783689</v>
      </c>
      <c r="BD313" s="4">
        <f>[1]节奏总纲!BD313</f>
        <v>51.862723837243806</v>
      </c>
      <c r="BE313" s="4">
        <f>[1]节奏总纲!BE313</f>
        <v>56.565506081662768</v>
      </c>
    </row>
    <row r="314" spans="29:57" x14ac:dyDescent="0.15">
      <c r="AC314" s="4">
        <f>[1]节奏总纲!AC314</f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f>[1]节奏总纲!AZ314</f>
        <v>311</v>
      </c>
      <c r="BA314" s="4">
        <f>[1]节奏总纲!BA314</f>
        <v>45.668390652502012</v>
      </c>
      <c r="BB314" s="4">
        <f>[1]节奏总纲!BB314</f>
        <v>47.182609241669255</v>
      </c>
      <c r="BC314" s="4">
        <f>[1]节奏总纲!BC314</f>
        <v>49.133632167780227</v>
      </c>
      <c r="BD314" s="4">
        <f>[1]节奏总纲!BD314</f>
        <v>51.885829605162655</v>
      </c>
      <c r="BE314" s="4">
        <f>[1]节奏总纲!BE314</f>
        <v>56.587713831045875</v>
      </c>
    </row>
    <row r="315" spans="29:57" x14ac:dyDescent="0.15">
      <c r="AC315" s="4">
        <f>[1]节奏总纲!AC315</f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f>[1]节奏总纲!AZ315</f>
        <v>312</v>
      </c>
      <c r="BA315" s="4">
        <f>[1]节奏总纲!BA315</f>
        <v>45.690707535724115</v>
      </c>
      <c r="BB315" s="4">
        <f>[1]节奏总纲!BB315</f>
        <v>47.203396779992147</v>
      </c>
      <c r="BC315" s="4">
        <f>[1]节奏总纲!BC315</f>
        <v>49.154291946776759</v>
      </c>
      <c r="BD315" s="4">
        <f>[1]节奏总纲!BD315</f>
        <v>51.908935373081505</v>
      </c>
      <c r="BE315" s="4">
        <f>[1]节奏总纲!BE315</f>
        <v>56.609921580428981</v>
      </c>
    </row>
    <row r="316" spans="29:57" x14ac:dyDescent="0.15">
      <c r="AC316" s="4">
        <f>[1]节奏总纲!AC316</f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f>[1]节奏总纲!AZ316</f>
        <v>313</v>
      </c>
      <c r="BA316" s="4">
        <f>[1]节奏总纲!BA316</f>
        <v>45.713024418946219</v>
      </c>
      <c r="BB316" s="4">
        <f>[1]节奏总纲!BB316</f>
        <v>47.224184318315039</v>
      </c>
      <c r="BC316" s="4">
        <f>[1]节奏总纲!BC316</f>
        <v>49.174951725773298</v>
      </c>
      <c r="BD316" s="4">
        <f>[1]节奏总纲!BD316</f>
        <v>51.932041141000347</v>
      </c>
      <c r="BE316" s="4">
        <f>[1]节奏总纲!BE316</f>
        <v>56.632129329812095</v>
      </c>
    </row>
    <row r="317" spans="29:57" x14ac:dyDescent="0.15">
      <c r="AC317" s="4">
        <f>[1]节奏总纲!AC317</f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f>[1]节奏总纲!AZ317</f>
        <v>314</v>
      </c>
      <c r="BA317" s="4">
        <f>[1]节奏总纲!BA317</f>
        <v>45.735341302168322</v>
      </c>
      <c r="BB317" s="4">
        <f>[1]节奏总纲!BB317</f>
        <v>47.244971856637939</v>
      </c>
      <c r="BC317" s="4">
        <f>[1]节奏总纲!BC317</f>
        <v>49.195611504769836</v>
      </c>
      <c r="BD317" s="4">
        <f>[1]节奏总纲!BD317</f>
        <v>51.955146908919197</v>
      </c>
      <c r="BE317" s="4">
        <f>[1]节奏总纲!BE317</f>
        <v>56.654337079195201</v>
      </c>
    </row>
    <row r="318" spans="29:57" x14ac:dyDescent="0.15">
      <c r="AC318" s="4">
        <f>[1]节奏总纲!AC318</f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f>[1]节奏总纲!AZ318</f>
        <v>315</v>
      </c>
      <c r="BA318" s="4">
        <f>[1]节奏总纲!BA318</f>
        <v>45.757658185390426</v>
      </c>
      <c r="BB318" s="4">
        <f>[1]节奏总纲!BB318</f>
        <v>47.265759394960831</v>
      </c>
      <c r="BC318" s="4">
        <f>[1]节奏总纲!BC318</f>
        <v>49.216271283766375</v>
      </c>
      <c r="BD318" s="4">
        <f>[1]节奏总纲!BD318</f>
        <v>51.978252676838039</v>
      </c>
      <c r="BE318" s="4">
        <f>[1]节奏总纲!BE318</f>
        <v>56.676544828578308</v>
      </c>
    </row>
    <row r="319" spans="29:57" x14ac:dyDescent="0.15">
      <c r="AC319" s="4">
        <f>[1]节奏总纲!AC319</f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f>[1]节奏总纲!AZ319</f>
        <v>316</v>
      </c>
      <c r="BA319" s="4">
        <f>[1]节奏总纲!BA319</f>
        <v>45.779975068612529</v>
      </c>
      <c r="BB319" s="4">
        <f>[1]节奏总纲!BB319</f>
        <v>47.286546933283724</v>
      </c>
      <c r="BC319" s="4">
        <f>[1]节奏总纲!BC319</f>
        <v>49.236931062762913</v>
      </c>
      <c r="BD319" s="4">
        <f>[1]节奏总纲!BD319</f>
        <v>52.001173105835825</v>
      </c>
      <c r="BE319" s="4">
        <f>[1]节奏总纲!BE319</f>
        <v>56.698752577961415</v>
      </c>
    </row>
    <row r="320" spans="29:57" x14ac:dyDescent="0.15">
      <c r="AC320" s="4">
        <f>[1]节奏总纲!AC320</f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f>[1]节奏总纲!AZ320</f>
        <v>317</v>
      </c>
      <c r="BA320" s="4">
        <f>[1]节奏总纲!BA320</f>
        <v>45.802291951834633</v>
      </c>
      <c r="BB320" s="4">
        <f>[1]节奏总纲!BB320</f>
        <v>47.307334471606616</v>
      </c>
      <c r="BC320" s="4">
        <f>[1]节奏总纲!BC320</f>
        <v>49.257590841759445</v>
      </c>
      <c r="BD320" s="4">
        <f>[1]节奏总纲!BD320</f>
        <v>52.021126446631868</v>
      </c>
      <c r="BE320" s="4">
        <f>[1]节奏总纲!BE320</f>
        <v>56.720960327344528</v>
      </c>
    </row>
    <row r="321" spans="29:57" x14ac:dyDescent="0.15">
      <c r="AC321" s="4">
        <f>[1]节奏总纲!AC321</f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f>[1]节奏总纲!AZ321</f>
        <v>318</v>
      </c>
      <c r="BA321" s="4">
        <f>[1]节奏总纲!BA321</f>
        <v>45.824608835056736</v>
      </c>
      <c r="BB321" s="4">
        <f>[1]节奏总纲!BB321</f>
        <v>47.328122009929508</v>
      </c>
      <c r="BC321" s="4">
        <f>[1]节奏总纲!BC321</f>
        <v>49.278250620755983</v>
      </c>
      <c r="BD321" s="4">
        <f>[1]节奏总纲!BD321</f>
        <v>52.041079787427918</v>
      </c>
      <c r="BE321" s="4">
        <f>[1]节奏总纲!BE321</f>
        <v>56.743168076727635</v>
      </c>
    </row>
    <row r="322" spans="29:57" x14ac:dyDescent="0.15">
      <c r="AC322" s="4">
        <f>[1]节奏总纲!AC322</f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f>[1]节奏总纲!AZ322</f>
        <v>319</v>
      </c>
      <c r="BA322" s="4">
        <f>[1]节奏总纲!BA322</f>
        <v>45.84692571827884</v>
      </c>
      <c r="BB322" s="4">
        <f>[1]节奏总纲!BB322</f>
        <v>47.348909548252408</v>
      </c>
      <c r="BC322" s="4">
        <f>[1]节奏总纲!BC322</f>
        <v>49.298910399752522</v>
      </c>
      <c r="BD322" s="4">
        <f>[1]节奏总纲!BD322</f>
        <v>52.061033128223968</v>
      </c>
      <c r="BE322" s="4">
        <f>[1]节奏总纲!BE322</f>
        <v>56.765375826110741</v>
      </c>
    </row>
    <row r="323" spans="29:57" x14ac:dyDescent="0.15">
      <c r="AC323" s="4">
        <f>[1]节奏总纲!AC323</f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f>[1]节奏总纲!AZ323</f>
        <v>320</v>
      </c>
      <c r="BA323" s="4">
        <f>[1]节奏总纲!BA323</f>
        <v>45.869242601500943</v>
      </c>
      <c r="BB323" s="4">
        <f>[1]节奏总纲!BB323</f>
        <v>47.3696970865753</v>
      </c>
      <c r="BC323" s="4">
        <f>[1]节奏总纲!BC323</f>
        <v>49.319570178749061</v>
      </c>
      <c r="BD323" s="4">
        <f>[1]节奏总纲!BD323</f>
        <v>52.080986469020011</v>
      </c>
      <c r="BE323" s="4">
        <f>[1]节奏总纲!BE323</f>
        <v>56.787583575493848</v>
      </c>
    </row>
    <row r="324" spans="29:57" x14ac:dyDescent="0.15">
      <c r="AC324" s="4">
        <f>[1]节奏总纲!AC324</f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f>[1]节奏总纲!AZ324</f>
        <v>321</v>
      </c>
      <c r="BA324" s="4">
        <f>[1]节奏总纲!BA324</f>
        <v>45.891559484723047</v>
      </c>
      <c r="BB324" s="4">
        <f>[1]节奏总纲!BB324</f>
        <v>47.390484624898193</v>
      </c>
      <c r="BC324" s="4">
        <f>[1]节奏总纲!BC324</f>
        <v>49.340229957745592</v>
      </c>
      <c r="BD324" s="4">
        <f>[1]节奏总纲!BD324</f>
        <v>52.100939809816062</v>
      </c>
      <c r="BE324" s="4">
        <f>[1]节奏总纲!BE324</f>
        <v>56.809791324876961</v>
      </c>
    </row>
    <row r="325" spans="29:57" x14ac:dyDescent="0.15">
      <c r="AC325" s="4">
        <f>[1]节奏总纲!AC325</f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f>[1]节奏总纲!AZ325</f>
        <v>322</v>
      </c>
      <c r="BA325" s="4">
        <f>[1]节奏总纲!BA325</f>
        <v>45.91387636794515</v>
      </c>
      <c r="BB325" s="4">
        <f>[1]节奏总纲!BB325</f>
        <v>47.411272163221085</v>
      </c>
      <c r="BC325" s="4">
        <f>[1]节奏总纲!BC325</f>
        <v>49.360889736742131</v>
      </c>
      <c r="BD325" s="4">
        <f>[1]节奏总纲!BD325</f>
        <v>52.120893150612112</v>
      </c>
      <c r="BE325" s="4">
        <f>[1]节奏总纲!BE325</f>
        <v>56.831999074260068</v>
      </c>
    </row>
    <row r="326" spans="29:57" x14ac:dyDescent="0.15">
      <c r="AC326" s="4">
        <f>[1]节奏总纲!AC326</f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f>[1]节奏总纲!AZ326</f>
        <v>323</v>
      </c>
      <c r="BA326" s="4">
        <f>[1]节奏总纲!BA326</f>
        <v>45.936193251167253</v>
      </c>
      <c r="BB326" s="4">
        <f>[1]节奏总纲!BB326</f>
        <v>47.432059701543984</v>
      </c>
      <c r="BC326" s="4">
        <f>[1]节奏总纲!BC326</f>
        <v>49.381549515738669</v>
      </c>
      <c r="BD326" s="4">
        <f>[1]节奏总纲!BD326</f>
        <v>52.140846491408155</v>
      </c>
      <c r="BE326" s="4">
        <f>[1]节奏总纲!BE326</f>
        <v>56.854206823643175</v>
      </c>
    </row>
    <row r="327" spans="29:57" x14ac:dyDescent="0.15">
      <c r="AC327" s="4">
        <f>[1]节奏总纲!AC327</f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f>[1]节奏总纲!AZ327</f>
        <v>324</v>
      </c>
      <c r="BA327" s="4">
        <f>[1]节奏总纲!BA327</f>
        <v>45.958510134389357</v>
      </c>
      <c r="BB327" s="4">
        <f>[1]节奏总纲!BB327</f>
        <v>47.452847239866877</v>
      </c>
      <c r="BC327" s="4">
        <f>[1]节奏总纲!BC327</f>
        <v>49.402209294735208</v>
      </c>
      <c r="BD327" s="4">
        <f>[1]节奏总纲!BD327</f>
        <v>52.160799832204205</v>
      </c>
      <c r="BE327" s="4">
        <f>[1]节奏总纲!BE327</f>
        <v>56.876414573026281</v>
      </c>
    </row>
    <row r="328" spans="29:57" x14ac:dyDescent="0.15">
      <c r="AC328" s="4">
        <f>[1]节奏总纲!AC328</f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f>[1]节奏总纲!AZ328</f>
        <v>325</v>
      </c>
      <c r="BA328" s="4">
        <f>[1]节奏总纲!BA328</f>
        <v>45.98082701761146</v>
      </c>
      <c r="BB328" s="4">
        <f>[1]节奏总纲!BB328</f>
        <v>47.473634778189769</v>
      </c>
      <c r="BC328" s="4">
        <f>[1]节奏总纲!BC328</f>
        <v>49.422869073731739</v>
      </c>
      <c r="BD328" s="4">
        <f>[1]节奏总纲!BD328</f>
        <v>52.180753173000248</v>
      </c>
      <c r="BE328" s="4">
        <f>[1]节奏总纲!BE328</f>
        <v>56.898622322409395</v>
      </c>
    </row>
    <row r="329" spans="29:57" x14ac:dyDescent="0.15">
      <c r="AC329" s="4">
        <f>[1]节奏总纲!AC329</f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f>[1]节奏总纲!AZ329</f>
        <v>326</v>
      </c>
      <c r="BA329" s="4">
        <f>[1]节奏总纲!BA329</f>
        <v>46.002713830586146</v>
      </c>
      <c r="BB329" s="4">
        <f>[1]节奏总纲!BB329</f>
        <v>47.494422316512662</v>
      </c>
      <c r="BC329" s="4">
        <f>[1]节奏总纲!BC329</f>
        <v>49.443528852728278</v>
      </c>
      <c r="BD329" s="4">
        <f>[1]节奏总纲!BD329</f>
        <v>52.200706513796298</v>
      </c>
      <c r="BE329" s="4">
        <f>[1]节奏总纲!BE329</f>
        <v>56.920830071792501</v>
      </c>
    </row>
    <row r="330" spans="29:57" x14ac:dyDescent="0.15">
      <c r="AC330" s="4">
        <f>[1]节奏总纲!AC330</f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f>[1]节奏总纲!AZ330</f>
        <v>327</v>
      </c>
      <c r="BA330" s="4">
        <f>[1]节奏总纲!BA330</f>
        <v>46.021977873404879</v>
      </c>
      <c r="BB330" s="4">
        <f>[1]节奏总纲!BB330</f>
        <v>47.515209854835554</v>
      </c>
      <c r="BC330" s="4">
        <f>[1]节奏总纲!BC330</f>
        <v>49.464188631724817</v>
      </c>
      <c r="BD330" s="4">
        <f>[1]节奏总纲!BD330</f>
        <v>52.220659854592348</v>
      </c>
      <c r="BE330" s="4">
        <f>[1]节奏总纲!BE330</f>
        <v>56.943037821175608</v>
      </c>
    </row>
    <row r="331" spans="29:57" x14ac:dyDescent="0.15">
      <c r="AC331" s="4">
        <f>[1]节奏总纲!AC331</f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f>[1]节奏总纲!AZ331</f>
        <v>328</v>
      </c>
      <c r="BA331" s="4">
        <f>[1]节奏总纲!BA331</f>
        <v>46.041241916223605</v>
      </c>
      <c r="BB331" s="4">
        <f>[1]节奏总纲!BB331</f>
        <v>47.535997393158453</v>
      </c>
      <c r="BC331" s="4">
        <f>[1]节奏总纲!BC331</f>
        <v>49.484848410721355</v>
      </c>
      <c r="BD331" s="4">
        <f>[1]节奏总纲!BD331</f>
        <v>52.240613195388391</v>
      </c>
      <c r="BE331" s="4">
        <f>[1]节奏总纲!BE331</f>
        <v>56.965245570558714</v>
      </c>
    </row>
    <row r="332" spans="29:57" x14ac:dyDescent="0.15">
      <c r="AC332" s="4">
        <f>[1]节奏总纲!AC332</f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f>[1]节奏总纲!AZ332</f>
        <v>329</v>
      </c>
      <c r="BA332" s="4">
        <f>[1]节奏总纲!BA332</f>
        <v>46.060505959042331</v>
      </c>
      <c r="BB332" s="4">
        <f>[1]节奏总纲!BB332</f>
        <v>47.556784931481346</v>
      </c>
      <c r="BC332" s="4">
        <f>[1]节奏总纲!BC332</f>
        <v>49.505508189717887</v>
      </c>
      <c r="BD332" s="4">
        <f>[1]节奏总纲!BD332</f>
        <v>52.260566536184442</v>
      </c>
      <c r="BE332" s="4">
        <f>[1]节奏总纲!BE332</f>
        <v>56.987453319941828</v>
      </c>
    </row>
    <row r="333" spans="29:57" x14ac:dyDescent="0.15">
      <c r="AC333" s="4">
        <f>[1]节奏总纲!AC333</f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f>[1]节奏总纲!AZ333</f>
        <v>330</v>
      </c>
      <c r="BA333" s="4">
        <f>[1]节奏总纲!BA333</f>
        <v>46.079770001861057</v>
      </c>
      <c r="BB333" s="4">
        <f>[1]节奏总纲!BB333</f>
        <v>47.577572469804238</v>
      </c>
      <c r="BC333" s="4">
        <f>[1]节奏总纲!BC333</f>
        <v>49.526167968714425</v>
      </c>
      <c r="BD333" s="4">
        <f>[1]节奏总纲!BD333</f>
        <v>52.280519876980485</v>
      </c>
      <c r="BE333" s="4">
        <f>[1]节奏总纲!BE333</f>
        <v>57.008345591208631</v>
      </c>
    </row>
    <row r="334" spans="29:57" x14ac:dyDescent="0.15">
      <c r="AC334" s="4">
        <f>[1]节奏总纲!AC334</f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f>[1]节奏总纲!AZ334</f>
        <v>331</v>
      </c>
      <c r="BA334" s="4">
        <f>[1]节奏总纲!BA334</f>
        <v>46.099034044679783</v>
      </c>
      <c r="BB334" s="4">
        <f>[1]节奏总纲!BB334</f>
        <v>47.598360008127131</v>
      </c>
      <c r="BC334" s="4">
        <f>[1]节奏总纲!BC334</f>
        <v>49.546827747710964</v>
      </c>
      <c r="BD334" s="4">
        <f>[1]节奏总纲!BD334</f>
        <v>52.300473217776535</v>
      </c>
      <c r="BE334" s="4">
        <f>[1]节奏总纲!BE334</f>
        <v>57.027529471561998</v>
      </c>
    </row>
    <row r="335" spans="29:57" x14ac:dyDescent="0.15">
      <c r="AC335" s="4">
        <f>[1]节奏总纲!AC335</f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f>[1]节奏总纲!AZ335</f>
        <v>332</v>
      </c>
      <c r="BA335" s="4">
        <f>[1]节奏总纲!BA335</f>
        <v>46.118298087498509</v>
      </c>
      <c r="BB335" s="4">
        <f>[1]节奏总纲!BB335</f>
        <v>47.619147546450023</v>
      </c>
      <c r="BC335" s="4">
        <f>[1]节奏总纲!BC335</f>
        <v>49.567487526707502</v>
      </c>
      <c r="BD335" s="4">
        <f>[1]节奏总纲!BD335</f>
        <v>52.320426558572585</v>
      </c>
      <c r="BE335" s="4">
        <f>[1]节奏总纲!BE335</f>
        <v>57.046713351915365</v>
      </c>
    </row>
    <row r="336" spans="29:57" x14ac:dyDescent="0.15">
      <c r="AC336" s="4">
        <f>[1]节奏总纲!AC336</f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f>[1]节奏总纲!AZ336</f>
        <v>333</v>
      </c>
      <c r="BA336" s="4">
        <f>[1]节奏总纲!BA336</f>
        <v>46.137562130317242</v>
      </c>
      <c r="BB336" s="4">
        <f>[1]节奏总纲!BB336</f>
        <v>47.639935084772922</v>
      </c>
      <c r="BC336" s="4">
        <f>[1]节奏总纲!BC336</f>
        <v>49.588147305704041</v>
      </c>
      <c r="BD336" s="4">
        <f>[1]节奏总纲!BD336</f>
        <v>52.340379899368628</v>
      </c>
      <c r="BE336" s="4">
        <f>[1]节奏总纲!BE336</f>
        <v>57.065897232268732</v>
      </c>
    </row>
    <row r="337" spans="29:57" x14ac:dyDescent="0.15">
      <c r="AC337" s="4">
        <f>[1]节奏总纲!AC337</f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f>[1]节奏总纲!AZ337</f>
        <v>334</v>
      </c>
      <c r="BA337" s="4">
        <f>[1]节奏总纲!BA337</f>
        <v>46.156826173135968</v>
      </c>
      <c r="BB337" s="4">
        <f>[1]节奏总纲!BB337</f>
        <v>47.660722623095815</v>
      </c>
      <c r="BC337" s="4">
        <f>[1]节奏总纲!BC337</f>
        <v>49.608807084700572</v>
      </c>
      <c r="BD337" s="4">
        <f>[1]节奏总纲!BD337</f>
        <v>52.360333240164678</v>
      </c>
      <c r="BE337" s="4">
        <f>[1]节奏总纲!BE337</f>
        <v>57.085081112622099</v>
      </c>
    </row>
    <row r="338" spans="29:57" x14ac:dyDescent="0.15">
      <c r="AC338" s="4">
        <f>[1]节奏总纲!AC338</f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f>[1]节奏总纲!AZ338</f>
        <v>335</v>
      </c>
      <c r="BA338" s="4">
        <f>[1]节奏总纲!BA338</f>
        <v>46.176090215954694</v>
      </c>
      <c r="BB338" s="4">
        <f>[1]节奏总纲!BB338</f>
        <v>47.681510161418707</v>
      </c>
      <c r="BC338" s="4">
        <f>[1]节奏总纲!BC338</f>
        <v>49.629466863697111</v>
      </c>
      <c r="BD338" s="4">
        <f>[1]节奏总纲!BD338</f>
        <v>52.380286580960728</v>
      </c>
      <c r="BE338" s="4">
        <f>[1]节奏总纲!BE338</f>
        <v>57.104264992975466</v>
      </c>
    </row>
    <row r="339" spans="29:57" x14ac:dyDescent="0.15">
      <c r="AC339" s="4">
        <f>[1]节奏总纲!AC339</f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f>[1]节奏总纲!AZ339</f>
        <v>336</v>
      </c>
      <c r="BA339" s="4">
        <f>[1]节奏总纲!BA339</f>
        <v>46.19535425877342</v>
      </c>
      <c r="BB339" s="4">
        <f>[1]节奏总纲!BB339</f>
        <v>47.7022976997416</v>
      </c>
      <c r="BC339" s="4">
        <f>[1]节奏总纲!BC339</f>
        <v>49.65012664269365</v>
      </c>
      <c r="BD339" s="4">
        <f>[1]节奏总纲!BD339</f>
        <v>52.400239921756771</v>
      </c>
      <c r="BE339" s="4">
        <f>[1]节奏总纲!BE339</f>
        <v>57.123448873328833</v>
      </c>
    </row>
    <row r="340" spans="29:57" x14ac:dyDescent="0.15">
      <c r="AC340" s="4">
        <f>[1]节奏总纲!AC340</f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f>[1]节奏总纲!AZ340</f>
        <v>337</v>
      </c>
      <c r="BA340" s="4">
        <f>[1]节奏总纲!BA340</f>
        <v>46.214618301592147</v>
      </c>
      <c r="BB340" s="4">
        <f>[1]节奏总纲!BB340</f>
        <v>47.723085238064499</v>
      </c>
      <c r="BC340" s="4">
        <f>[1]节奏总纲!BC340</f>
        <v>49.670786421690188</v>
      </c>
      <c r="BD340" s="4">
        <f>[1]节奏总纲!BD340</f>
        <v>52.420193262552822</v>
      </c>
      <c r="BE340" s="4">
        <f>[1]节奏总纲!BE340</f>
        <v>57.1426327536822</v>
      </c>
    </row>
    <row r="341" spans="29:57" x14ac:dyDescent="0.15">
      <c r="AC341" s="4">
        <f>[1]节奏总纲!AC341</f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f>[1]节奏总纲!AZ341</f>
        <v>338</v>
      </c>
      <c r="BA341" s="4">
        <f>[1]节奏总纲!BA341</f>
        <v>46.23388234441088</v>
      </c>
      <c r="BB341" s="4">
        <f>[1]节奏总纲!BB341</f>
        <v>47.743872776387391</v>
      </c>
      <c r="BC341" s="4">
        <f>[1]节奏总纲!BC341</f>
        <v>49.69144620068672</v>
      </c>
      <c r="BD341" s="4">
        <f>[1]节奏总纲!BD341</f>
        <v>52.440146603348865</v>
      </c>
      <c r="BE341" s="4">
        <f>[1]节奏总纲!BE341</f>
        <v>57.161816634035567</v>
      </c>
    </row>
    <row r="342" spans="29:57" x14ac:dyDescent="0.15">
      <c r="AC342" s="4">
        <f>[1]节奏总纲!AC342</f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f>[1]节奏总纲!AZ342</f>
        <v>339</v>
      </c>
      <c r="BA342" s="4">
        <f>[1]节奏总纲!BA342</f>
        <v>46.253146387229606</v>
      </c>
      <c r="BB342" s="4">
        <f>[1]节奏总纲!BB342</f>
        <v>47.764660314710284</v>
      </c>
      <c r="BC342" s="4">
        <f>[1]节奏总纲!BC342</f>
        <v>49.712105979683258</v>
      </c>
      <c r="BD342" s="4">
        <f>[1]节奏总纲!BD342</f>
        <v>52.460099944144915</v>
      </c>
      <c r="BE342" s="4">
        <f>[1]节奏总纲!BE342</f>
        <v>57.181000514388934</v>
      </c>
    </row>
    <row r="343" spans="29:57" x14ac:dyDescent="0.15">
      <c r="AC343" s="4">
        <f>[1]节奏总纲!AC343</f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f>[1]节奏总纲!AZ343</f>
        <v>340</v>
      </c>
      <c r="BA343" s="4">
        <f>[1]节奏总纲!BA343</f>
        <v>46.272410430048332</v>
      </c>
      <c r="BB343" s="4">
        <f>[1]节奏总纲!BB343</f>
        <v>47.785447853033176</v>
      </c>
      <c r="BC343" s="4">
        <f>[1]节奏总纲!BC343</f>
        <v>49.732765758679797</v>
      </c>
      <c r="BD343" s="4">
        <f>[1]节奏总纲!BD343</f>
        <v>52.480053284940965</v>
      </c>
      <c r="BE343" s="4">
        <f>[1]节奏总纲!BE343</f>
        <v>57.200184394742301</v>
      </c>
    </row>
    <row r="344" spans="29:57" x14ac:dyDescent="0.15">
      <c r="AC344" s="4">
        <f>[1]节奏总纲!AC344</f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f>[1]节奏总纲!AZ344</f>
        <v>341</v>
      </c>
      <c r="BA344" s="4">
        <f>[1]节奏总纲!BA344</f>
        <v>46.291674472867058</v>
      </c>
      <c r="BB344" s="4">
        <f>[1]节奏总纲!BB344</f>
        <v>47.806235391356068</v>
      </c>
      <c r="BC344" s="4">
        <f>[1]节奏总纲!BC344</f>
        <v>49.753425537676335</v>
      </c>
      <c r="BD344" s="4">
        <f>[1]节奏总纲!BD344</f>
        <v>52.500006625737008</v>
      </c>
      <c r="BE344" s="4">
        <f>[1]节奏总纲!BE344</f>
        <v>57.219368275095675</v>
      </c>
    </row>
    <row r="345" spans="29:57" x14ac:dyDescent="0.15">
      <c r="AC345" s="4">
        <f>[1]节奏总纲!AC345</f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f>[1]节奏总纲!AZ345</f>
        <v>342</v>
      </c>
      <c r="BA345" s="4">
        <f>[1]节奏总纲!BA345</f>
        <v>46.310938515685784</v>
      </c>
      <c r="BB345" s="4">
        <f>[1]节奏总纲!BB345</f>
        <v>47.827022929678968</v>
      </c>
      <c r="BC345" s="4">
        <f>[1]节奏总纲!BC345</f>
        <v>49.774085316672867</v>
      </c>
      <c r="BD345" s="4">
        <f>[1]节奏总纲!BD345</f>
        <v>52.519959966533058</v>
      </c>
      <c r="BE345" s="4">
        <f>[1]节奏总纲!BE345</f>
        <v>57.238552155449042</v>
      </c>
    </row>
    <row r="346" spans="29:57" x14ac:dyDescent="0.15">
      <c r="AC346" s="4">
        <f>[1]节奏总纲!AC346</f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f>[1]节奏总纲!AZ346</f>
        <v>343</v>
      </c>
      <c r="BA346" s="4">
        <f>[1]节奏总纲!BA346</f>
        <v>46.330202558504517</v>
      </c>
      <c r="BB346" s="4">
        <f>[1]节奏总纲!BB346</f>
        <v>47.84781046800186</v>
      </c>
      <c r="BC346" s="4">
        <f>[1]节奏总纲!BC346</f>
        <v>49.794745095669406</v>
      </c>
      <c r="BD346" s="4">
        <f>[1]节奏总纲!BD346</f>
        <v>52.539913307329101</v>
      </c>
      <c r="BE346" s="4">
        <f>[1]节奏总纲!BE346</f>
        <v>57.257736035802409</v>
      </c>
    </row>
    <row r="347" spans="29:57" x14ac:dyDescent="0.15">
      <c r="AC347" s="4">
        <f>[1]节奏总纲!AC347</f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f>[1]节奏总纲!AZ347</f>
        <v>344</v>
      </c>
      <c r="BA347" s="4">
        <f>[1]节奏总纲!BA347</f>
        <v>46.349466601323243</v>
      </c>
      <c r="BB347" s="4">
        <f>[1]节奏总纲!BB347</f>
        <v>47.868598006324753</v>
      </c>
      <c r="BC347" s="4">
        <f>[1]节奏总纲!BC347</f>
        <v>49.815404874665944</v>
      </c>
      <c r="BD347" s="4">
        <f>[1]节奏总纲!BD347</f>
        <v>52.559866648125151</v>
      </c>
      <c r="BE347" s="4">
        <f>[1]节奏总纲!BE347</f>
        <v>57.276919916155776</v>
      </c>
    </row>
    <row r="348" spans="29:57" x14ac:dyDescent="0.15">
      <c r="AC348" s="4">
        <f>[1]节奏总纲!AC348</f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f>[1]节奏总纲!AZ348</f>
        <v>345</v>
      </c>
      <c r="BA348" s="4">
        <f>[1]节奏总纲!BA348</f>
        <v>46.368730644141969</v>
      </c>
      <c r="BB348" s="4">
        <f>[1]节奏总纲!BB348</f>
        <v>47.889385544647645</v>
      </c>
      <c r="BC348" s="4">
        <f>[1]节奏总纲!BC348</f>
        <v>49.836064653662483</v>
      </c>
      <c r="BD348" s="4">
        <f>[1]节奏总纲!BD348</f>
        <v>52.579819988921201</v>
      </c>
      <c r="BE348" s="4">
        <f>[1]节奏总纲!BE348</f>
        <v>57.296103796509144</v>
      </c>
    </row>
    <row r="349" spans="29:57" x14ac:dyDescent="0.15">
      <c r="AC349" s="4">
        <f>[1]节奏总纲!AC349</f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f>[1]节奏总纲!AZ349</f>
        <v>346</v>
      </c>
      <c r="BA349" s="4">
        <f>[1]节奏总纲!BA349</f>
        <v>46.387994686960695</v>
      </c>
      <c r="BB349" s="4">
        <f>[1]节奏总纲!BB349</f>
        <v>47.910173082970537</v>
      </c>
      <c r="BC349" s="4">
        <f>[1]节奏总纲!BC349</f>
        <v>49.856724432659014</v>
      </c>
      <c r="BD349" s="4">
        <f>[1]节奏总纲!BD349</f>
        <v>52.599773329717245</v>
      </c>
      <c r="BE349" s="4">
        <f>[1]节奏总纲!BE349</f>
        <v>57.315287676862511</v>
      </c>
    </row>
    <row r="350" spans="29:57" x14ac:dyDescent="0.15">
      <c r="AC350" s="4">
        <f>[1]节奏总纲!AC350</f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f>[1]节奏总纲!AZ350</f>
        <v>347</v>
      </c>
      <c r="BA350" s="4">
        <f>[1]节奏总纲!BA350</f>
        <v>46.407258729779421</v>
      </c>
      <c r="BB350" s="4">
        <f>[1]节奏总纲!BB350</f>
        <v>47.930960621293437</v>
      </c>
      <c r="BC350" s="4">
        <f>[1]节奏总纲!BC350</f>
        <v>49.877384211655553</v>
      </c>
      <c r="BD350" s="4">
        <f>[1]节奏总纲!BD350</f>
        <v>52.619726670513295</v>
      </c>
      <c r="BE350" s="4">
        <f>[1]节奏总纲!BE350</f>
        <v>57.334471557215878</v>
      </c>
    </row>
    <row r="351" spans="29:57" x14ac:dyDescent="0.15">
      <c r="AC351" s="4">
        <f>[1]节奏总纲!AC351</f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f>[1]节奏总纲!AZ351</f>
        <v>348</v>
      </c>
      <c r="BA351" s="4">
        <f>[1]节奏总纲!BA351</f>
        <v>46.426522772598148</v>
      </c>
      <c r="BB351" s="4">
        <f>[1]节奏总纲!BB351</f>
        <v>47.951748159616329</v>
      </c>
      <c r="BC351" s="4">
        <f>[1]节奏总纲!BC351</f>
        <v>49.898043990652091</v>
      </c>
      <c r="BD351" s="4">
        <f>[1]节奏总纲!BD351</f>
        <v>52.639680011309345</v>
      </c>
      <c r="BE351" s="4">
        <f>[1]节奏总纲!BE351</f>
        <v>57.353655437569245</v>
      </c>
    </row>
    <row r="352" spans="29:57" x14ac:dyDescent="0.15">
      <c r="AC352" s="4">
        <f>[1]节奏总纲!AC352</f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f>[1]节奏总纲!AZ352</f>
        <v>349</v>
      </c>
      <c r="BA352" s="4">
        <f>[1]节奏总纲!BA352</f>
        <v>46.445786815416881</v>
      </c>
      <c r="BB352" s="4">
        <f>[1]节奏总纲!BB352</f>
        <v>47.972535697939222</v>
      </c>
      <c r="BC352" s="4">
        <f>[1]节奏总纲!BC352</f>
        <v>49.91870376964863</v>
      </c>
      <c r="BD352" s="4">
        <f>[1]节奏总纲!BD352</f>
        <v>52.659633352105388</v>
      </c>
      <c r="BE352" s="4">
        <f>[1]节奏总纲!BE352</f>
        <v>57.372839317922612</v>
      </c>
    </row>
    <row r="353" spans="29:57" x14ac:dyDescent="0.15">
      <c r="AC353" s="4">
        <f>[1]节奏总纲!AC353</f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f>[1]节奏总纲!AZ353</f>
        <v>350</v>
      </c>
      <c r="BA353" s="4">
        <f>[1]节奏总纲!BA353</f>
        <v>46.465050858235607</v>
      </c>
      <c r="BB353" s="4">
        <f>[1]节奏总纲!BB353</f>
        <v>47.993323236262114</v>
      </c>
      <c r="BC353" s="4">
        <f>[1]节奏总纲!BC353</f>
        <v>49.939363548645169</v>
      </c>
      <c r="BD353" s="4">
        <f>[1]节奏总纲!BD353</f>
        <v>52.679586692901438</v>
      </c>
      <c r="BE353" s="4">
        <f>[1]节奏总纲!BE353</f>
        <v>57.392023198275979</v>
      </c>
    </row>
    <row r="354" spans="29:57" x14ac:dyDescent="0.15">
      <c r="AC354" s="4">
        <f>[1]节奏总纲!AC354</f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f>[1]节奏总纲!AZ354</f>
        <v>351</v>
      </c>
      <c r="BA354" s="4">
        <f>[1]节奏总纲!BA354</f>
        <v>46.484314901054333</v>
      </c>
      <c r="BB354" s="4">
        <f>[1]节奏总纲!BB354</f>
        <v>48.012182251254622</v>
      </c>
      <c r="BC354" s="4">
        <f>[1]节奏总纲!BC354</f>
        <v>49.9600233276417</v>
      </c>
      <c r="BD354" s="4">
        <f>[1]节奏总纲!BD354</f>
        <v>52.699540033697481</v>
      </c>
      <c r="BE354" s="4">
        <f>[1]节奏总纲!BE354</f>
        <v>57.411207078629346</v>
      </c>
    </row>
    <row r="355" spans="29:57" x14ac:dyDescent="0.15">
      <c r="AC355" s="4">
        <f>[1]节奏总纲!AC355</f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f>[1]节奏总纲!AZ355</f>
        <v>352</v>
      </c>
      <c r="BA355" s="4">
        <f>[1]节奏总纲!BA355</f>
        <v>46.503578943873059</v>
      </c>
      <c r="BB355" s="4">
        <f>[1]节奏总纲!BB355</f>
        <v>48.030128751164234</v>
      </c>
      <c r="BC355" s="4">
        <f>[1]节奏总纲!BC355</f>
        <v>49.980683106638239</v>
      </c>
      <c r="BD355" s="4">
        <f>[1]节奏总纲!BD355</f>
        <v>52.719493374493531</v>
      </c>
      <c r="BE355" s="4">
        <f>[1]节奏总纲!BE355</f>
        <v>57.430390958982713</v>
      </c>
    </row>
    <row r="356" spans="29:57" x14ac:dyDescent="0.15">
      <c r="AC356" s="4">
        <f>[1]节奏总纲!AC356</f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f>[1]节奏总纲!AZ356</f>
        <v>353</v>
      </c>
      <c r="BA356" s="4">
        <f>[1]节奏总纲!BA356</f>
        <v>46.522842986691785</v>
      </c>
      <c r="BB356" s="4">
        <f>[1]节奏总纲!BB356</f>
        <v>48.048075251073854</v>
      </c>
      <c r="BC356" s="4">
        <f>[1]节奏总纲!BC356</f>
        <v>50.00115951426713</v>
      </c>
      <c r="BD356" s="4">
        <f>[1]节奏总纲!BD356</f>
        <v>52.739446715289581</v>
      </c>
      <c r="BE356" s="4">
        <f>[1]节奏总纲!BE356</f>
        <v>57.44957483933608</v>
      </c>
    </row>
    <row r="357" spans="29:57" x14ac:dyDescent="0.15">
      <c r="AC357" s="4">
        <f>[1]节奏总纲!AC357</f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f>[1]节奏总纲!AZ357</f>
        <v>354</v>
      </c>
      <c r="BA357" s="4">
        <f>[1]节奏总纲!BA357</f>
        <v>46.542107029510518</v>
      </c>
      <c r="BB357" s="4">
        <f>[1]节奏总纲!BB357</f>
        <v>48.066021750983474</v>
      </c>
      <c r="BC357" s="4">
        <f>[1]节奏总纲!BC357</f>
        <v>50.018998195299922</v>
      </c>
      <c r="BD357" s="4">
        <f>[1]节奏总纲!BD357</f>
        <v>52.759400056085624</v>
      </c>
      <c r="BE357" s="4">
        <f>[1]节奏总纲!BE357</f>
        <v>57.468758719689447</v>
      </c>
    </row>
    <row r="358" spans="29:57" x14ac:dyDescent="0.15">
      <c r="AC358" s="4">
        <f>[1]节奏总纲!AC358</f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f>[1]节奏总纲!AZ358</f>
        <v>355</v>
      </c>
      <c r="BA358" s="4">
        <f>[1]节奏总纲!BA358</f>
        <v>46.561371072329244</v>
      </c>
      <c r="BB358" s="4">
        <f>[1]节奏总纲!BB358</f>
        <v>48.083968250893093</v>
      </c>
      <c r="BC358" s="4">
        <f>[1]节奏总纲!BC358</f>
        <v>50.036836876332707</v>
      </c>
      <c r="BD358" s="4">
        <f>[1]节奏总纲!BD358</f>
        <v>52.779353396881675</v>
      </c>
      <c r="BE358" s="4">
        <f>[1]节奏总纲!BE358</f>
        <v>57.487942600042821</v>
      </c>
    </row>
    <row r="359" spans="29:57" x14ac:dyDescent="0.15">
      <c r="AC359" s="4">
        <f>[1]节奏总纲!AC359</f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f>[1]节奏总纲!AZ359</f>
        <v>356</v>
      </c>
      <c r="BA359" s="4">
        <f>[1]节奏总纲!BA359</f>
        <v>46.58063511514797</v>
      </c>
      <c r="BB359" s="4">
        <f>[1]节奏总纲!BB359</f>
        <v>48.101914750802706</v>
      </c>
      <c r="BC359" s="4">
        <f>[1]节奏总纲!BC359</f>
        <v>50.054675557365492</v>
      </c>
      <c r="BD359" s="4">
        <f>[1]节奏总纲!BD359</f>
        <v>52.799306737677718</v>
      </c>
      <c r="BE359" s="4">
        <f>[1]节奏总纲!BE359</f>
        <v>57.507126480396188</v>
      </c>
    </row>
    <row r="360" spans="29:57" x14ac:dyDescent="0.15">
      <c r="AC360" s="4">
        <f>[1]节奏总纲!AC360</f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f>[1]节奏总纲!AZ360</f>
        <v>357</v>
      </c>
      <c r="BA360" s="4">
        <f>[1]节奏总纲!BA360</f>
        <v>46.599899157966696</v>
      </c>
      <c r="BB360" s="4">
        <f>[1]节奏总纲!BB360</f>
        <v>48.119861250712326</v>
      </c>
      <c r="BC360" s="4">
        <f>[1]节奏总纲!BC360</f>
        <v>50.072514238398277</v>
      </c>
      <c r="BD360" s="4">
        <f>[1]节奏总纲!BD360</f>
        <v>52.819260078473768</v>
      </c>
      <c r="BE360" s="4">
        <f>[1]节奏总纲!BE360</f>
        <v>57.526310360749555</v>
      </c>
    </row>
    <row r="361" spans="29:57" x14ac:dyDescent="0.15">
      <c r="AC361" s="4">
        <f>[1]节奏总纲!AC361</f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f>[1]节奏总纲!AZ361</f>
        <v>358</v>
      </c>
      <c r="BA361" s="4">
        <f>[1]节奏总纲!BA361</f>
        <v>46.619163200785422</v>
      </c>
      <c r="BB361" s="4">
        <f>[1]节奏总纲!BB361</f>
        <v>48.137807750621946</v>
      </c>
      <c r="BC361" s="4">
        <f>[1]节奏总纲!BC361</f>
        <v>50.090352919431069</v>
      </c>
      <c r="BD361" s="4">
        <f>[1]节奏总纲!BD361</f>
        <v>52.839213419269818</v>
      </c>
      <c r="BE361" s="4">
        <f>[1]节奏总纲!BE361</f>
        <v>57.545494241102922</v>
      </c>
    </row>
    <row r="362" spans="29:57" x14ac:dyDescent="0.15">
      <c r="AC362" s="4">
        <f>[1]节奏总纲!AC362</f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f>[1]节奏总纲!AZ362</f>
        <v>359</v>
      </c>
      <c r="BA362" s="4">
        <f>[1]节奏总纲!BA362</f>
        <v>46.638427243604156</v>
      </c>
      <c r="BB362" s="4">
        <f>[1]节奏总纲!BB362</f>
        <v>48.155754250531558</v>
      </c>
      <c r="BC362" s="4">
        <f>[1]节奏总纲!BC362</f>
        <v>50.108191600463854</v>
      </c>
      <c r="BD362" s="4">
        <f>[1]节奏总纲!BD362</f>
        <v>52.859166760065861</v>
      </c>
      <c r="BE362" s="4">
        <f>[1]节奏总纲!BE362</f>
        <v>57.564678121456289</v>
      </c>
    </row>
    <row r="363" spans="29:57" x14ac:dyDescent="0.15">
      <c r="AC363" s="4">
        <f>[1]节奏总纲!AC363</f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f>[1]节奏总纲!AZ363</f>
        <v>360</v>
      </c>
      <c r="BA363" s="4">
        <f>[1]节奏总纲!BA363</f>
        <v>46.657691286422882</v>
      </c>
      <c r="BB363" s="4">
        <f>[1]节奏总纲!BB363</f>
        <v>48.173700750441178</v>
      </c>
      <c r="BC363" s="4">
        <f>[1]节奏总纲!BC363</f>
        <v>50.126030281496639</v>
      </c>
      <c r="BD363" s="4">
        <f>[1]节奏总纲!BD363</f>
        <v>52.879120100861911</v>
      </c>
      <c r="BE363" s="4">
        <f>[1]节奏总纲!BE363</f>
        <v>57.583862001809656</v>
      </c>
    </row>
  </sheetData>
  <mergeCells count="16">
    <mergeCell ref="BQ2:BU2"/>
    <mergeCell ref="BX2:CB2"/>
    <mergeCell ref="B6:D6"/>
    <mergeCell ref="B22:D22"/>
    <mergeCell ref="W2:AA2"/>
    <mergeCell ref="AD2:AH2"/>
    <mergeCell ref="AM2:AQ2"/>
    <mergeCell ref="AT2:AX2"/>
    <mergeCell ref="BA2:BE2"/>
    <mergeCell ref="BJ2:BN2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4BE9B-779E-4776-AC4D-ECF55285952D}">
  <sheetPr codeName="Sheet2"/>
  <dimension ref="B1:D57"/>
  <sheetViews>
    <sheetView workbookViewId="0">
      <selection activeCell="F33" sqref="F33"/>
    </sheetView>
  </sheetViews>
  <sheetFormatPr defaultColWidth="6.625" defaultRowHeight="11.25" x14ac:dyDescent="0.15"/>
  <cols>
    <col min="1" max="1" width="6.625" style="13"/>
    <col min="2" max="2" width="10.5" style="15" bestFit="1" customWidth="1"/>
    <col min="3" max="3" width="23.875" style="15" bestFit="1" customWidth="1"/>
    <col min="4" max="4" width="23" style="15" bestFit="1" customWidth="1"/>
    <col min="5" max="16384" width="6.625" style="13"/>
  </cols>
  <sheetData>
    <row r="1" spans="2:4" x14ac:dyDescent="0.15">
      <c r="C1" s="17" t="s">
        <v>192</v>
      </c>
    </row>
    <row r="3" spans="2:4" x14ac:dyDescent="0.15">
      <c r="B3" s="12" t="s">
        <v>111</v>
      </c>
      <c r="C3" s="12" t="s">
        <v>27</v>
      </c>
      <c r="D3" s="12" t="s">
        <v>28</v>
      </c>
    </row>
    <row r="4" spans="2:4" x14ac:dyDescent="0.15">
      <c r="B4" s="84" t="s">
        <v>35</v>
      </c>
      <c r="C4" s="14" t="s">
        <v>36</v>
      </c>
      <c r="D4" s="14"/>
    </row>
    <row r="5" spans="2:4" x14ac:dyDescent="0.15">
      <c r="B5" s="84"/>
      <c r="C5" s="14"/>
      <c r="D5" s="14" t="s">
        <v>38</v>
      </c>
    </row>
    <row r="6" spans="2:4" x14ac:dyDescent="0.15">
      <c r="B6" s="84"/>
      <c r="C6" s="14"/>
      <c r="D6" s="14" t="s">
        <v>39</v>
      </c>
    </row>
    <row r="7" spans="2:4" x14ac:dyDescent="0.15">
      <c r="B7" s="84"/>
      <c r="C7" s="14"/>
      <c r="D7" s="14" t="s">
        <v>40</v>
      </c>
    </row>
    <row r="8" spans="2:4" x14ac:dyDescent="0.15">
      <c r="B8" s="84"/>
      <c r="C8" s="14"/>
      <c r="D8" s="14" t="s">
        <v>41</v>
      </c>
    </row>
    <row r="9" spans="2:4" x14ac:dyDescent="0.15">
      <c r="B9" s="84"/>
      <c r="C9" s="14"/>
      <c r="D9" s="14" t="s">
        <v>42</v>
      </c>
    </row>
    <row r="10" spans="2:4" x14ac:dyDescent="0.15">
      <c r="B10" s="84"/>
      <c r="C10" s="16" t="s">
        <v>43</v>
      </c>
      <c r="D10" s="14" t="s">
        <v>43</v>
      </c>
    </row>
    <row r="11" spans="2:4" x14ac:dyDescent="0.15">
      <c r="B11" s="84" t="s">
        <v>44</v>
      </c>
      <c r="C11" s="14"/>
      <c r="D11" s="14" t="s">
        <v>45</v>
      </c>
    </row>
    <row r="12" spans="2:4" x14ac:dyDescent="0.15">
      <c r="B12" s="84"/>
      <c r="C12" s="14"/>
      <c r="D12" s="14" t="s">
        <v>46</v>
      </c>
    </row>
    <row r="13" spans="2:4" x14ac:dyDescent="0.15">
      <c r="B13" s="84"/>
      <c r="C13" s="14"/>
      <c r="D13" s="14" t="s">
        <v>47</v>
      </c>
    </row>
    <row r="14" spans="2:4" x14ac:dyDescent="0.15">
      <c r="B14" s="84" t="s">
        <v>49</v>
      </c>
      <c r="C14" s="14"/>
      <c r="D14" s="14" t="s">
        <v>50</v>
      </c>
    </row>
    <row r="15" spans="2:4" x14ac:dyDescent="0.15">
      <c r="B15" s="84"/>
      <c r="C15" s="14"/>
      <c r="D15" s="14" t="s">
        <v>51</v>
      </c>
    </row>
    <row r="16" spans="2:4" x14ac:dyDescent="0.15">
      <c r="B16" s="84"/>
      <c r="C16" s="14" t="s">
        <v>52</v>
      </c>
      <c r="D16" s="14"/>
    </row>
    <row r="17" spans="2:4" x14ac:dyDescent="0.15">
      <c r="B17" s="84"/>
      <c r="C17" s="16" t="s">
        <v>182</v>
      </c>
      <c r="D17" s="14"/>
    </row>
    <row r="18" spans="2:4" x14ac:dyDescent="0.15">
      <c r="B18" s="84"/>
      <c r="C18" s="13"/>
      <c r="D18" s="14" t="s">
        <v>53</v>
      </c>
    </row>
    <row r="19" spans="2:4" x14ac:dyDescent="0.15">
      <c r="B19" s="84" t="s">
        <v>54</v>
      </c>
      <c r="C19" s="18" t="s">
        <v>186</v>
      </c>
      <c r="D19" s="14" t="s">
        <v>55</v>
      </c>
    </row>
    <row r="20" spans="2:4" x14ac:dyDescent="0.15">
      <c r="B20" s="84"/>
      <c r="C20" s="18" t="s">
        <v>187</v>
      </c>
      <c r="D20" s="14" t="s">
        <v>57</v>
      </c>
    </row>
    <row r="21" spans="2:4" x14ac:dyDescent="0.15">
      <c r="B21" s="84"/>
      <c r="C21" s="14"/>
      <c r="D21" s="14" t="s">
        <v>58</v>
      </c>
    </row>
    <row r="22" spans="2:4" x14ac:dyDescent="0.15">
      <c r="B22" s="84"/>
      <c r="C22" s="16" t="s">
        <v>188</v>
      </c>
      <c r="D22" s="14"/>
    </row>
    <row r="23" spans="2:4" x14ac:dyDescent="0.15">
      <c r="B23" s="84" t="s">
        <v>59</v>
      </c>
      <c r="C23" s="14"/>
      <c r="D23" s="14" t="s">
        <v>60</v>
      </c>
    </row>
    <row r="24" spans="2:4" x14ac:dyDescent="0.15">
      <c r="B24" s="84"/>
      <c r="C24" s="16" t="s">
        <v>61</v>
      </c>
      <c r="D24" s="14"/>
    </row>
    <row r="25" spans="2:4" x14ac:dyDescent="0.15">
      <c r="B25" s="84"/>
      <c r="C25" s="16" t="s">
        <v>183</v>
      </c>
      <c r="D25" s="14"/>
    </row>
    <row r="26" spans="2:4" x14ac:dyDescent="0.15">
      <c r="B26" s="84"/>
      <c r="C26" s="16" t="s">
        <v>184</v>
      </c>
      <c r="D26" s="14"/>
    </row>
    <row r="27" spans="2:4" x14ac:dyDescent="0.15">
      <c r="B27" s="84"/>
      <c r="C27" s="16" t="s">
        <v>185</v>
      </c>
      <c r="D27" s="14"/>
    </row>
    <row r="28" spans="2:4" x14ac:dyDescent="0.15">
      <c r="B28" s="84"/>
      <c r="C28" s="14"/>
      <c r="D28" s="14" t="s">
        <v>62</v>
      </c>
    </row>
    <row r="29" spans="2:4" x14ac:dyDescent="0.15">
      <c r="B29" s="84" t="s">
        <v>64</v>
      </c>
      <c r="C29" s="14"/>
      <c r="D29" s="14" t="s">
        <v>65</v>
      </c>
    </row>
    <row r="30" spans="2:4" x14ac:dyDescent="0.15">
      <c r="B30" s="84"/>
      <c r="C30" s="14" t="s">
        <v>66</v>
      </c>
      <c r="D30" s="14"/>
    </row>
    <row r="31" spans="2:4" x14ac:dyDescent="0.15">
      <c r="B31" s="84"/>
      <c r="C31" s="14"/>
      <c r="D31" s="14" t="s">
        <v>67</v>
      </c>
    </row>
    <row r="32" spans="2:4" x14ac:dyDescent="0.15">
      <c r="B32" s="84" t="s">
        <v>68</v>
      </c>
      <c r="C32" s="14"/>
      <c r="D32" s="14" t="s">
        <v>69</v>
      </c>
    </row>
    <row r="33" spans="2:4" x14ac:dyDescent="0.15">
      <c r="B33" s="84"/>
      <c r="C33" s="14"/>
      <c r="D33" s="14" t="s">
        <v>70</v>
      </c>
    </row>
    <row r="34" spans="2:4" x14ac:dyDescent="0.15">
      <c r="B34" s="12" t="s">
        <v>71</v>
      </c>
      <c r="C34" s="14"/>
      <c r="D34" s="14" t="s">
        <v>71</v>
      </c>
    </row>
    <row r="35" spans="2:4" x14ac:dyDescent="0.15">
      <c r="B35" s="84" t="s">
        <v>72</v>
      </c>
      <c r="C35" s="16" t="s">
        <v>73</v>
      </c>
      <c r="D35" s="14"/>
    </row>
    <row r="36" spans="2:4" x14ac:dyDescent="0.15">
      <c r="B36" s="84"/>
      <c r="C36" s="14" t="s">
        <v>74</v>
      </c>
      <c r="D36" s="14"/>
    </row>
    <row r="37" spans="2:4" x14ac:dyDescent="0.15">
      <c r="B37" s="84"/>
      <c r="C37" s="14" t="s">
        <v>75</v>
      </c>
      <c r="D37" s="14"/>
    </row>
    <row r="38" spans="2:4" x14ac:dyDescent="0.15">
      <c r="B38" s="84"/>
      <c r="C38" s="14"/>
      <c r="D38" s="14" t="s">
        <v>76</v>
      </c>
    </row>
    <row r="39" spans="2:4" x14ac:dyDescent="0.15">
      <c r="B39" s="84"/>
      <c r="C39" s="14"/>
      <c r="D39" s="14" t="s">
        <v>77</v>
      </c>
    </row>
    <row r="40" spans="2:4" x14ac:dyDescent="0.15">
      <c r="B40" s="84"/>
      <c r="C40" s="16" t="s">
        <v>78</v>
      </c>
      <c r="D40" s="14"/>
    </row>
    <row r="41" spans="2:4" x14ac:dyDescent="0.15">
      <c r="B41" s="84"/>
      <c r="C41" s="16" t="s">
        <v>79</v>
      </c>
      <c r="D41" s="14"/>
    </row>
    <row r="42" spans="2:4" x14ac:dyDescent="0.15">
      <c r="B42" s="84" t="s">
        <v>80</v>
      </c>
      <c r="C42" s="14"/>
      <c r="D42" s="16" t="s">
        <v>81</v>
      </c>
    </row>
    <row r="43" spans="2:4" x14ac:dyDescent="0.15">
      <c r="B43" s="84"/>
      <c r="C43" s="14"/>
      <c r="D43" s="16" t="s">
        <v>82</v>
      </c>
    </row>
    <row r="44" spans="2:4" x14ac:dyDescent="0.15">
      <c r="B44" s="84"/>
      <c r="C44" s="14"/>
      <c r="D44" s="14" t="s">
        <v>83</v>
      </c>
    </row>
    <row r="45" spans="2:4" x14ac:dyDescent="0.15">
      <c r="B45" s="84" t="s">
        <v>84</v>
      </c>
      <c r="C45" s="14"/>
      <c r="D45" s="14" t="s">
        <v>85</v>
      </c>
    </row>
    <row r="46" spans="2:4" x14ac:dyDescent="0.15">
      <c r="B46" s="84"/>
      <c r="C46" s="14"/>
      <c r="D46" s="14" t="s">
        <v>86</v>
      </c>
    </row>
    <row r="47" spans="2:4" x14ac:dyDescent="0.15">
      <c r="B47" s="84"/>
      <c r="C47" s="14"/>
      <c r="D47" s="14" t="s">
        <v>87</v>
      </c>
    </row>
    <row r="48" spans="2:4" x14ac:dyDescent="0.15">
      <c r="B48" s="84"/>
      <c r="C48" s="14"/>
      <c r="D48" s="14" t="s">
        <v>88</v>
      </c>
    </row>
    <row r="49" spans="2:4" x14ac:dyDescent="0.15">
      <c r="B49" s="84"/>
      <c r="C49" s="14"/>
      <c r="D49" s="14"/>
    </row>
    <row r="50" spans="2:4" x14ac:dyDescent="0.15">
      <c r="B50" s="84"/>
      <c r="C50" s="14"/>
      <c r="D50" s="14" t="s">
        <v>89</v>
      </c>
    </row>
    <row r="51" spans="2:4" x14ac:dyDescent="0.15">
      <c r="B51" s="84"/>
      <c r="C51" s="14"/>
      <c r="D51" s="14" t="s">
        <v>90</v>
      </c>
    </row>
    <row r="52" spans="2:4" x14ac:dyDescent="0.15">
      <c r="B52" s="84"/>
      <c r="C52" s="14"/>
      <c r="D52" s="14" t="s">
        <v>91</v>
      </c>
    </row>
    <row r="53" spans="2:4" x14ac:dyDescent="0.15">
      <c r="B53" s="84"/>
      <c r="C53" s="14"/>
      <c r="D53" s="14" t="s">
        <v>92</v>
      </c>
    </row>
    <row r="54" spans="2:4" x14ac:dyDescent="0.15">
      <c r="B54" s="84" t="s">
        <v>93</v>
      </c>
      <c r="C54" s="14"/>
      <c r="D54" s="14" t="s">
        <v>94</v>
      </c>
    </row>
    <row r="55" spans="2:4" x14ac:dyDescent="0.15">
      <c r="B55" s="84"/>
      <c r="C55" s="14"/>
      <c r="D55" s="14" t="s">
        <v>95</v>
      </c>
    </row>
    <row r="56" spans="2:4" x14ac:dyDescent="0.15">
      <c r="B56" s="84"/>
      <c r="C56" s="16" t="s">
        <v>190</v>
      </c>
      <c r="D56" s="14"/>
    </row>
    <row r="57" spans="2:4" x14ac:dyDescent="0.15">
      <c r="B57" s="84"/>
      <c r="C57" s="16" t="s">
        <v>191</v>
      </c>
      <c r="D57" s="14" t="s">
        <v>189</v>
      </c>
    </row>
  </sheetData>
  <mergeCells count="11">
    <mergeCell ref="B32:B33"/>
    <mergeCell ref="B35:B41"/>
    <mergeCell ref="B42:B44"/>
    <mergeCell ref="B45:B53"/>
    <mergeCell ref="B54:B57"/>
    <mergeCell ref="B29:B31"/>
    <mergeCell ref="B4:B10"/>
    <mergeCell ref="B11:B13"/>
    <mergeCell ref="B14:B18"/>
    <mergeCell ref="B19:B22"/>
    <mergeCell ref="B23:B2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D73B-145D-47B4-AE55-553A7C4A4490}">
  <sheetPr codeName="Sheet3"/>
  <dimension ref="A1:BF359"/>
  <sheetViews>
    <sheetView topLeftCell="A314" workbookViewId="0">
      <selection activeCell="F309" sqref="F309:H358"/>
    </sheetView>
  </sheetViews>
  <sheetFormatPr defaultColWidth="6.625" defaultRowHeight="11.25" x14ac:dyDescent="0.15"/>
  <cols>
    <col min="1" max="2" width="6.625" style="40" customWidth="1"/>
    <col min="3" max="7" width="6.625" style="40"/>
    <col min="8" max="8" width="29.75" style="40" customWidth="1"/>
    <col min="9" max="9" width="23" style="40" bestFit="1" customWidth="1"/>
    <col min="10" max="11" width="23.25" style="40" customWidth="1"/>
    <col min="12" max="12" width="6.625" style="40" customWidth="1"/>
    <col min="13" max="14" width="6.625" style="40"/>
    <col min="15" max="34" width="6.625" style="40" customWidth="1"/>
    <col min="35" max="35" width="6.625" style="38" customWidth="1"/>
    <col min="36" max="36" width="6.625" style="22" customWidth="1"/>
    <col min="37" max="43" width="6.625" style="19" customWidth="1"/>
    <col min="44" max="44" width="8.25" style="19" customWidth="1"/>
    <col min="45" max="48" width="6.625" style="19" customWidth="1"/>
    <col min="49" max="49" width="6.625" style="35"/>
    <col min="50" max="51" width="6.625" style="35" customWidth="1"/>
    <col min="52" max="57" width="6.625" style="35"/>
    <col min="58" max="16384" width="6.625" style="19"/>
  </cols>
  <sheetData>
    <row r="1" spans="2:57" x14ac:dyDescent="0.15">
      <c r="L1" s="40" t="s">
        <v>204</v>
      </c>
      <c r="M1" s="40">
        <v>0.32</v>
      </c>
      <c r="O1" s="40">
        <v>0</v>
      </c>
      <c r="Q1" s="46">
        <v>0.5</v>
      </c>
      <c r="S1" s="40">
        <v>1.6</v>
      </c>
      <c r="U1" s="40">
        <v>0</v>
      </c>
      <c r="W1" s="40">
        <v>0</v>
      </c>
      <c r="Y1" s="40">
        <v>1</v>
      </c>
      <c r="AC1" s="40">
        <v>0</v>
      </c>
      <c r="AG1" s="40">
        <v>0</v>
      </c>
    </row>
    <row r="2" spans="2:57" x14ac:dyDescent="0.15">
      <c r="L2" s="40" t="s">
        <v>205</v>
      </c>
      <c r="M2" s="40">
        <v>14</v>
      </c>
      <c r="O2" s="40">
        <v>0</v>
      </c>
      <c r="Q2" s="46">
        <v>2.5</v>
      </c>
      <c r="S2" s="40">
        <v>820</v>
      </c>
      <c r="U2" s="40">
        <v>0</v>
      </c>
      <c r="W2" s="40">
        <v>0</v>
      </c>
      <c r="Y2" s="40">
        <v>1900</v>
      </c>
      <c r="AC2" s="40">
        <v>0</v>
      </c>
      <c r="AG2" s="40">
        <v>5</v>
      </c>
    </row>
    <row r="3" spans="2:57" x14ac:dyDescent="0.15">
      <c r="L3" s="40" t="s">
        <v>206</v>
      </c>
      <c r="M3" s="40">
        <v>0</v>
      </c>
      <c r="O3" s="40">
        <v>0</v>
      </c>
      <c r="Q3" s="46">
        <v>0</v>
      </c>
      <c r="S3" s="40">
        <v>0</v>
      </c>
      <c r="U3" s="40">
        <v>0</v>
      </c>
      <c r="W3" s="40">
        <v>0</v>
      </c>
      <c r="Y3" s="40">
        <v>0</v>
      </c>
      <c r="AC3" s="40">
        <v>0</v>
      </c>
      <c r="AG3" s="40">
        <v>0</v>
      </c>
      <c r="AX3" s="87" t="s">
        <v>335</v>
      </c>
      <c r="AY3" s="87"/>
      <c r="AZ3" s="87"/>
      <c r="BA3" s="87"/>
      <c r="BB3" s="87"/>
      <c r="BC3" s="87"/>
      <c r="BD3" s="87"/>
      <c r="BE3" s="87"/>
    </row>
    <row r="4" spans="2:57" x14ac:dyDescent="0.15">
      <c r="L4" s="40" t="s">
        <v>207</v>
      </c>
      <c r="M4" s="40">
        <v>10</v>
      </c>
      <c r="O4" s="40">
        <v>200</v>
      </c>
      <c r="Q4" s="46">
        <v>1</v>
      </c>
      <c r="S4" s="40">
        <v>10000</v>
      </c>
      <c r="U4" s="40">
        <v>3000</v>
      </c>
      <c r="W4" s="40">
        <v>1000</v>
      </c>
      <c r="Y4" s="40">
        <v>10000</v>
      </c>
      <c r="AC4" s="40">
        <v>600</v>
      </c>
      <c r="AG4" s="40">
        <v>5</v>
      </c>
    </row>
    <row r="6" spans="2:57" x14ac:dyDescent="0.15">
      <c r="M6" s="88" t="s">
        <v>195</v>
      </c>
      <c r="N6" s="88"/>
      <c r="O6" s="85" t="s">
        <v>198</v>
      </c>
      <c r="P6" s="85"/>
      <c r="Q6" s="88" t="s">
        <v>199</v>
      </c>
      <c r="R6" s="88"/>
      <c r="S6" s="85" t="s">
        <v>201</v>
      </c>
      <c r="T6" s="85"/>
      <c r="U6" s="88" t="s">
        <v>202</v>
      </c>
      <c r="V6" s="88"/>
      <c r="W6" s="85" t="s">
        <v>208</v>
      </c>
      <c r="X6" s="85"/>
      <c r="Y6" s="88" t="s">
        <v>337</v>
      </c>
      <c r="Z6" s="88"/>
      <c r="AA6" s="85"/>
      <c r="AB6" s="85"/>
      <c r="AC6" s="88" t="s">
        <v>203</v>
      </c>
      <c r="AD6" s="88"/>
      <c r="AE6" s="85" t="s">
        <v>49</v>
      </c>
      <c r="AF6" s="85"/>
      <c r="AG6" s="85" t="s">
        <v>338</v>
      </c>
      <c r="AH6" s="85"/>
      <c r="AI6" s="39"/>
      <c r="AM6" s="85" t="s">
        <v>194</v>
      </c>
      <c r="AN6" s="85"/>
      <c r="AO6" s="85"/>
      <c r="AP6" s="85"/>
      <c r="AQ6" s="85"/>
      <c r="AR6" s="85"/>
      <c r="AS6" s="85"/>
      <c r="AT6" s="85"/>
      <c r="AU6" s="85"/>
    </row>
    <row r="7" spans="2:57" s="6" customFormat="1" ht="33.75" x14ac:dyDescent="0.15">
      <c r="C7" s="6" t="s">
        <v>29</v>
      </c>
      <c r="D7" s="6" t="s">
        <v>30</v>
      </c>
      <c r="E7" s="6" t="s">
        <v>492</v>
      </c>
      <c r="F7" s="6" t="s">
        <v>18</v>
      </c>
      <c r="G7" s="6" t="s">
        <v>110</v>
      </c>
      <c r="H7" s="6" t="s">
        <v>31</v>
      </c>
      <c r="I7" s="6" t="s">
        <v>32</v>
      </c>
      <c r="J7" s="6" t="s">
        <v>33</v>
      </c>
      <c r="K7" s="6" t="s">
        <v>34</v>
      </c>
      <c r="M7" s="21" t="s">
        <v>196</v>
      </c>
      <c r="N7" s="21" t="s">
        <v>197</v>
      </c>
      <c r="O7" s="6" t="s">
        <v>196</v>
      </c>
      <c r="P7" s="6" t="s">
        <v>197</v>
      </c>
      <c r="Q7" s="21" t="s">
        <v>196</v>
      </c>
      <c r="R7" s="21" t="s">
        <v>197</v>
      </c>
      <c r="S7" s="6" t="s">
        <v>196</v>
      </c>
      <c r="T7" s="6" t="s">
        <v>197</v>
      </c>
      <c r="U7" s="21" t="s">
        <v>196</v>
      </c>
      <c r="V7" s="21" t="s">
        <v>197</v>
      </c>
      <c r="W7" s="6" t="s">
        <v>196</v>
      </c>
      <c r="X7" s="6" t="s">
        <v>197</v>
      </c>
      <c r="Y7" s="21" t="s">
        <v>196</v>
      </c>
      <c r="Z7" s="21" t="s">
        <v>197</v>
      </c>
      <c r="AC7" s="21" t="s">
        <v>196</v>
      </c>
      <c r="AD7" s="21" t="s">
        <v>197</v>
      </c>
      <c r="AE7" s="6" t="s">
        <v>196</v>
      </c>
      <c r="AF7" s="6" t="s">
        <v>197</v>
      </c>
      <c r="AG7" s="6" t="s">
        <v>339</v>
      </c>
      <c r="AH7" s="6" t="s">
        <v>197</v>
      </c>
      <c r="AI7" s="24"/>
      <c r="AJ7" s="23"/>
      <c r="AL7" s="6" t="s">
        <v>18</v>
      </c>
      <c r="AM7" s="6" t="s">
        <v>195</v>
      </c>
      <c r="AN7" s="6" t="s">
        <v>198</v>
      </c>
      <c r="AO7" s="6" t="s">
        <v>199</v>
      </c>
      <c r="AP7" s="6" t="s">
        <v>200</v>
      </c>
      <c r="AQ7" s="6" t="s">
        <v>209</v>
      </c>
      <c r="AS7" s="6" t="s">
        <v>203</v>
      </c>
      <c r="AT7" s="6" t="s">
        <v>49</v>
      </c>
      <c r="AU7" s="6" t="s">
        <v>338</v>
      </c>
      <c r="AW7" s="35"/>
      <c r="AX7" s="35" t="s">
        <v>195</v>
      </c>
      <c r="AY7" s="35" t="s">
        <v>198</v>
      </c>
      <c r="AZ7" s="35" t="s">
        <v>199</v>
      </c>
      <c r="BA7" s="35" t="s">
        <v>200</v>
      </c>
      <c r="BB7" s="35" t="s">
        <v>209</v>
      </c>
      <c r="BC7" s="35"/>
      <c r="BD7" s="35" t="s">
        <v>336</v>
      </c>
      <c r="BE7" s="35" t="s">
        <v>49</v>
      </c>
    </row>
    <row r="8" spans="2:57" x14ac:dyDescent="0.15">
      <c r="B8" s="75">
        <f>IF(F8&lt;&gt;F7,COUNTIFS($F$8:$F$999,$F8,$H$8:$H$999,"&lt;&gt;")+COUNTIFS($F$8:$F$999,$F8,$I$8:$I$999,"&lt;&gt;")+COUNTIFS($F$8:$F$999,$F8,$J$8:$J$999,"&lt;&gt;"),"")</f>
        <v>5</v>
      </c>
      <c r="C8" s="85" t="s">
        <v>37</v>
      </c>
      <c r="D8" s="40">
        <f>INDEX(节奏总纲!$AM$4:$AM$83,$F8)</f>
        <v>7.4349177498517554E-3</v>
      </c>
      <c r="E8" s="40">
        <f>求节点(节奏总纲!$P$4:$P$163,节奏总纲!$O$4:$O$163,$D8)</f>
        <v>0.10358867312681475</v>
      </c>
      <c r="F8" s="40">
        <v>1</v>
      </c>
      <c r="G8" s="85">
        <v>1</v>
      </c>
      <c r="H8" s="45" t="s">
        <v>340</v>
      </c>
      <c r="M8" s="40">
        <f>ROUNDUP((M$2*$F8^M$1+M$3)/M$4,0)*M$4</f>
        <v>20</v>
      </c>
      <c r="N8" s="40">
        <f>M8*COUNTA($H8:$K8)</f>
        <v>20</v>
      </c>
      <c r="O8" s="40">
        <f>ROUNDUP((O$2*$F8^O$1+O$3)/O$4,0)*O$4</f>
        <v>0</v>
      </c>
      <c r="P8" s="40">
        <f>O8*COUNTA($H8:$K8)</f>
        <v>0</v>
      </c>
      <c r="Q8" s="46">
        <f>ROUNDUP((Q$2*$F8^Q$1+Q$3)/Q$4,0)*Q$4</f>
        <v>3</v>
      </c>
      <c r="R8" s="46">
        <f>Q8*COUNTA($H8:$K8)</f>
        <v>3</v>
      </c>
      <c r="S8" s="40">
        <f>ROUNDUP((S$2*$F8^S$1+S$3)/S$4,0)*S$4</f>
        <v>10000</v>
      </c>
      <c r="T8" s="40">
        <f>S8*COUNTA($H8:$K8)</f>
        <v>10000</v>
      </c>
      <c r="U8" s="40">
        <f>ROUNDUP((U$2*$F8^U$1+U$3)/U$4,0)*U$4</f>
        <v>0</v>
      </c>
      <c r="V8" s="40">
        <f>U8*COUNTA($H8:$K8)</f>
        <v>0</v>
      </c>
      <c r="W8" s="40">
        <f t="shared" ref="W8" si="0">IF(F8&lt;28,0,ROUNDUP((W$2*$F8^W$1+W$3)/W$4,0)*W$4)</f>
        <v>0</v>
      </c>
      <c r="X8" s="40">
        <f>W8*COUNTA($H8:$K8)</f>
        <v>0</v>
      </c>
      <c r="Y8" s="40">
        <f t="shared" ref="Y8" si="1">IF(F8&lt;28,0,ROUNDUP((Y$2*$F8^Y$1+Y$3)/Y$4,0)*Y$4)</f>
        <v>0</v>
      </c>
      <c r="Z8" s="40">
        <f>Y8*COUNTA($H8:$K8)</f>
        <v>0</v>
      </c>
      <c r="AC8" s="40">
        <f>ROUNDUP((AC$2*$F8^AC$1+AC$3)/AC$4,0)*AC$4</f>
        <v>0</v>
      </c>
      <c r="AD8" s="40">
        <f>AC8*COUNTA($H8:$K8)</f>
        <v>0</v>
      </c>
      <c r="AG8" s="40">
        <f t="shared" ref="AG8:AG88" si="2">ROUNDUP((AG$2*$F8^AG$1+AG$3)/AG$4,0)*AG$4</f>
        <v>5</v>
      </c>
      <c r="AH8" s="40">
        <f>AG8*COUNTA($H8:$K8)</f>
        <v>5</v>
      </c>
      <c r="AL8" s="19">
        <v>1</v>
      </c>
      <c r="AM8" s="19">
        <f>SUMIFS($N$8:$N$999,$F$8:$F$999,"&lt;="&amp;$AL8)</f>
        <v>100</v>
      </c>
      <c r="AN8" s="19">
        <f>SUMIFS($P$8:$P$999,$F$8:$F$999,"&lt;="&amp;$AL8)</f>
        <v>0</v>
      </c>
      <c r="AO8" s="46">
        <f>SUMIFS($R$8:$R$999,$F$8:$F$999,"&lt;="&amp;$AL8)</f>
        <v>15</v>
      </c>
      <c r="AP8" s="19">
        <f>SUMIFS($T$8:$T$999,$F$8:$F$999,"&lt;="&amp;$AL8)+SUMIFS($V$8:$V$999,$F$8:$F$999,"&lt;="&amp;$AL8)</f>
        <v>50000</v>
      </c>
      <c r="AQ8" s="19">
        <f>SUMIFS($X$8:$X$999,$F$8:$F$999,"&lt;="&amp;$AL8)+SUMIFS($Z$8:$Z$999,$F$8:$F$999,"&lt;="&amp;$AL8)</f>
        <v>0</v>
      </c>
      <c r="AS8" s="19">
        <f>SUMIFS($AD$8:$AD$999,$F$8:$F$999,"&lt;="&amp;$AL8)</f>
        <v>0</v>
      </c>
      <c r="AT8" s="19">
        <f>SUMIFS($AF$8:$AF$999,$F$8:$F$999,"&lt;="&amp;$AL8)</f>
        <v>0</v>
      </c>
      <c r="AU8" s="38">
        <f>SUMIFS($AH$8:$AH$999,$F$8:$F$999,"&lt;="&amp;$AL8)</f>
        <v>25</v>
      </c>
      <c r="AV8" s="72"/>
      <c r="AX8" s="35">
        <f>AM8/'[1]功能-推荐任务'!D59</f>
        <v>0.33333333333333331</v>
      </c>
      <c r="AY8" s="37" t="e">
        <f>AN8/'[1]功能-推荐任务'!E59</f>
        <v>#DIV/0!</v>
      </c>
      <c r="AZ8" s="47">
        <f>AO8/'[1]功能-推荐任务'!F59</f>
        <v>0.15</v>
      </c>
      <c r="BA8" s="35">
        <f>AP8/'[1]功能-推荐任务'!G59</f>
        <v>2.4390243902439025E-2</v>
      </c>
      <c r="BB8" s="35">
        <f>AQ8/'[1]功能-推荐任务'!H59</f>
        <v>0</v>
      </c>
      <c r="BD8" s="35" t="e">
        <f>AS8/'[1]功能-推荐任务'!J59</f>
        <v>#DIV/0!</v>
      </c>
    </row>
    <row r="9" spans="2:57" x14ac:dyDescent="0.15">
      <c r="B9" s="79" t="str">
        <f t="shared" ref="B9:B72" si="3">IF(F9&lt;&gt;F8,COUNTIFS($F$8:$F$999,$F9,$H$8:$H$999,"&lt;&gt;")+COUNTIFS($F$8:$F$999,$F9,$I$8:$I$999,"&lt;&gt;")+COUNTIFS($F$8:$F$999,$F9,$J$8:$J$999,"&lt;&gt;"),"")</f>
        <v/>
      </c>
      <c r="C9" s="85"/>
      <c r="D9" s="75">
        <f>INDEX(节奏总纲!$AM$4:$AM$83,$F9)</f>
        <v>7.4349177498517554E-3</v>
      </c>
      <c r="E9" s="75">
        <f>求节点(节奏总纲!$P$4:$P$163,节奏总纲!$O$4:$O$163,$D9)</f>
        <v>0.10358867312681475</v>
      </c>
      <c r="F9" s="40">
        <v>1</v>
      </c>
      <c r="G9" s="85"/>
      <c r="H9" s="42" t="s">
        <v>17</v>
      </c>
      <c r="I9" s="42"/>
      <c r="J9" s="42"/>
      <c r="M9" s="60">
        <f t="shared" ref="M9:M76" si="4">ROUNDUP((M$2*$F9^M$1+M$3)/M$4,0)*M$4</f>
        <v>20</v>
      </c>
      <c r="N9" s="60">
        <f t="shared" ref="N9:N76" si="5">M9*COUNTA($H9:$K9)</f>
        <v>20</v>
      </c>
      <c r="O9" s="60">
        <f t="shared" ref="O9:O76" si="6">ROUNDUP((O$2*$F9^O$1+O$3)/O$4,0)*O$4</f>
        <v>0</v>
      </c>
      <c r="P9" s="60">
        <f t="shared" ref="P9:P76" si="7">O9*COUNTA($H9:$K9)</f>
        <v>0</v>
      </c>
      <c r="Q9" s="60">
        <f t="shared" ref="Q9:Q76" si="8">ROUNDUP((Q$2*$F9^Q$1+Q$3)/Q$4,0)*Q$4</f>
        <v>3</v>
      </c>
      <c r="R9" s="60">
        <f t="shared" ref="R9:R76" si="9">Q9*COUNTA($H9:$K9)</f>
        <v>3</v>
      </c>
      <c r="S9" s="60">
        <f t="shared" ref="S9:S76" si="10">ROUNDUP((S$2*$F9^S$1+S$3)/S$4,0)*S$4</f>
        <v>10000</v>
      </c>
      <c r="T9" s="60">
        <f t="shared" ref="T9:T76" si="11">S9*COUNTA($H9:$K9)</f>
        <v>10000</v>
      </c>
      <c r="U9" s="60">
        <f t="shared" ref="U9:U76" si="12">ROUNDUP((U$2*$F9^U$1+U$3)/U$4,0)*U$4</f>
        <v>0</v>
      </c>
      <c r="V9" s="60">
        <f t="shared" ref="V9:V76" si="13">U9*COUNTA($H9:$K9)</f>
        <v>0</v>
      </c>
      <c r="W9" s="60">
        <f t="shared" ref="W9:W76" si="14">IF(F9&lt;28,0,ROUNDUP((W$2*$F9^W$1+W$3)/W$4,0)*W$4)</f>
        <v>0</v>
      </c>
      <c r="X9" s="60">
        <f t="shared" ref="X9:X76" si="15">W9*COUNTA($H9:$K9)</f>
        <v>0</v>
      </c>
      <c r="Y9" s="60">
        <f t="shared" ref="Y9:Y76" si="16">IF(F9&lt;28,0,ROUNDUP((Y$2*$F9^Y$1+Y$3)/Y$4,0)*Y$4)</f>
        <v>0</v>
      </c>
      <c r="Z9" s="60">
        <f t="shared" ref="Z9:Z76" si="17">Y9*COUNTA($H9:$K9)</f>
        <v>0</v>
      </c>
      <c r="AA9" s="42"/>
      <c r="AB9" s="42"/>
      <c r="AC9" s="60">
        <f t="shared" ref="AC9:AC76" si="18">ROUNDUP((AC$2*$F9^AC$1+AC$3)/AC$4,0)*AC$4</f>
        <v>0</v>
      </c>
      <c r="AD9" s="60">
        <f t="shared" ref="AD9:AD76" si="19">AC9*COUNTA($H9:$K9)</f>
        <v>0</v>
      </c>
      <c r="AE9" s="42"/>
      <c r="AF9" s="42"/>
      <c r="AG9" s="60">
        <f t="shared" si="2"/>
        <v>5</v>
      </c>
      <c r="AH9" s="60">
        <f t="shared" ref="AH9:AH76" si="20">AG9*COUNTA($H9:$K9)</f>
        <v>5</v>
      </c>
      <c r="AL9" s="19">
        <v>2</v>
      </c>
      <c r="AM9" s="77">
        <f t="shared" ref="AM9:AM72" si="21">SUMIFS($N$8:$N$999,$F$8:$F$999,"&lt;="&amp;$AL9)</f>
        <v>320</v>
      </c>
      <c r="AN9" s="77">
        <f t="shared" ref="AN9:AN72" si="22">SUMIFS($P$8:$P$999,$F$8:$F$999,"&lt;="&amp;$AL9)</f>
        <v>0</v>
      </c>
      <c r="AO9" s="77">
        <f t="shared" ref="AO9:AO72" si="23">SUMIFS($R$8:$R$999,$F$8:$F$999,"&lt;="&amp;$AL9)</f>
        <v>59</v>
      </c>
      <c r="AP9" s="77">
        <f t="shared" ref="AP9:AP72" si="24">SUMIFS($T$8:$T$999,$F$8:$F$999,"&lt;="&amp;$AL9)+SUMIFS($V$8:$V$999,$F$8:$F$999,"&lt;="&amp;$AL9)</f>
        <v>160000</v>
      </c>
      <c r="AQ9" s="77">
        <f t="shared" ref="AQ9:AQ72" si="25">SUMIFS($X$8:$X$999,$F$8:$F$999,"&lt;="&amp;$AL9)+SUMIFS($Z$8:$Z$999,$F$8:$F$999,"&lt;="&amp;$AL9)</f>
        <v>0</v>
      </c>
      <c r="AR9" s="52"/>
      <c r="AS9" s="77">
        <f t="shared" ref="AS9:AS72" si="26">SUMIFS($AD$8:$AD$999,$F$8:$F$999,"&lt;="&amp;$AL9)</f>
        <v>0</v>
      </c>
      <c r="AT9" s="77">
        <f t="shared" ref="AT9:AT72" si="27">SUMIFS($AF$8:$AF$999,$F$8:$F$999,"&lt;="&amp;$AL9)</f>
        <v>0</v>
      </c>
      <c r="AU9" s="77">
        <f t="shared" ref="AU9:AU72" si="28">SUMIFS($AH$8:$AH$999,$F$8:$F$999,"&lt;="&amp;$AL9)</f>
        <v>80</v>
      </c>
      <c r="AV9" s="72"/>
      <c r="AX9" s="54">
        <f>AM9/'[1]功能-推荐任务'!D60</f>
        <v>1.0666666666666667</v>
      </c>
      <c r="AY9" s="54" t="e">
        <f>AN9/'[1]功能-推荐任务'!E60</f>
        <v>#DIV/0!</v>
      </c>
      <c r="AZ9" s="54">
        <f>AO9/'[1]功能-推荐任务'!F60</f>
        <v>0.59</v>
      </c>
      <c r="BA9" s="54">
        <f>AP9/'[1]功能-推荐任务'!G60</f>
        <v>7.8048780487804878E-2</v>
      </c>
      <c r="BB9" s="54">
        <f>AQ9/'[1]功能-推荐任务'!H60</f>
        <v>0</v>
      </c>
      <c r="BC9" s="37"/>
      <c r="BD9" s="54" t="e">
        <f>AS9/'[1]功能-推荐任务'!J60</f>
        <v>#DIV/0!</v>
      </c>
    </row>
    <row r="10" spans="2:57" x14ac:dyDescent="0.15">
      <c r="B10" s="79" t="str">
        <f t="shared" si="3"/>
        <v/>
      </c>
      <c r="C10" s="85"/>
      <c r="D10" s="75">
        <f>INDEX(节奏总纲!$AM$4:$AM$83,$F10)</f>
        <v>7.4349177498517554E-3</v>
      </c>
      <c r="E10" s="75">
        <f>求节点(节奏总纲!$P$4:$P$163,节奏总纲!$O$4:$O$163,$D10)</f>
        <v>0.10358867312681475</v>
      </c>
      <c r="F10" s="40">
        <v>1</v>
      </c>
      <c r="G10" s="85"/>
      <c r="H10" s="48" t="s">
        <v>484</v>
      </c>
      <c r="I10" s="42"/>
      <c r="J10" s="42"/>
      <c r="M10" s="60">
        <f t="shared" si="4"/>
        <v>20</v>
      </c>
      <c r="N10" s="60">
        <f t="shared" si="5"/>
        <v>20</v>
      </c>
      <c r="O10" s="60">
        <f t="shared" si="6"/>
        <v>0</v>
      </c>
      <c r="P10" s="60">
        <f t="shared" si="7"/>
        <v>0</v>
      </c>
      <c r="Q10" s="60">
        <f t="shared" si="8"/>
        <v>3</v>
      </c>
      <c r="R10" s="60">
        <f t="shared" si="9"/>
        <v>3</v>
      </c>
      <c r="S10" s="60">
        <f t="shared" si="10"/>
        <v>10000</v>
      </c>
      <c r="T10" s="60">
        <f t="shared" si="11"/>
        <v>10000</v>
      </c>
      <c r="U10" s="60">
        <f t="shared" si="12"/>
        <v>0</v>
      </c>
      <c r="V10" s="60">
        <f t="shared" si="13"/>
        <v>0</v>
      </c>
      <c r="W10" s="60">
        <f t="shared" si="14"/>
        <v>0</v>
      </c>
      <c r="X10" s="60">
        <f t="shared" si="15"/>
        <v>0</v>
      </c>
      <c r="Y10" s="60">
        <f t="shared" si="16"/>
        <v>0</v>
      </c>
      <c r="Z10" s="60">
        <f t="shared" si="17"/>
        <v>0</v>
      </c>
      <c r="AA10" s="42"/>
      <c r="AB10" s="42"/>
      <c r="AC10" s="60">
        <f t="shared" si="18"/>
        <v>0</v>
      </c>
      <c r="AD10" s="60">
        <f t="shared" si="19"/>
        <v>0</v>
      </c>
      <c r="AE10" s="42"/>
      <c r="AF10" s="42"/>
      <c r="AG10" s="60">
        <f t="shared" si="2"/>
        <v>5</v>
      </c>
      <c r="AH10" s="60">
        <f t="shared" si="20"/>
        <v>5</v>
      </c>
      <c r="AL10" s="25">
        <v>3</v>
      </c>
      <c r="AM10" s="77">
        <f t="shared" si="21"/>
        <v>520</v>
      </c>
      <c r="AN10" s="77">
        <f t="shared" si="22"/>
        <v>0</v>
      </c>
      <c r="AO10" s="77">
        <f t="shared" si="23"/>
        <v>109</v>
      </c>
      <c r="AP10" s="77">
        <f t="shared" si="24"/>
        <v>260000</v>
      </c>
      <c r="AQ10" s="77">
        <f t="shared" si="25"/>
        <v>0</v>
      </c>
      <c r="AR10" s="52"/>
      <c r="AS10" s="77">
        <f t="shared" si="26"/>
        <v>0</v>
      </c>
      <c r="AT10" s="77">
        <f t="shared" si="27"/>
        <v>0</v>
      </c>
      <c r="AU10" s="77">
        <f t="shared" si="28"/>
        <v>130</v>
      </c>
      <c r="AV10" s="72"/>
      <c r="AX10" s="54">
        <f>AM10/'[1]功能-推荐任务'!D61</f>
        <v>1.7333333333333334</v>
      </c>
      <c r="AY10" s="54" t="e">
        <f>AN10/'[1]功能-推荐任务'!E61</f>
        <v>#DIV/0!</v>
      </c>
      <c r="AZ10" s="54">
        <f>AO10/'[1]功能-推荐任务'!F61</f>
        <v>1.0900000000000001</v>
      </c>
      <c r="BA10" s="54">
        <f>AP10/'[1]功能-推荐任务'!G61</f>
        <v>0.12682926829268293</v>
      </c>
      <c r="BB10" s="54">
        <f>AQ10/'[1]功能-推荐任务'!H61</f>
        <v>0</v>
      </c>
      <c r="BC10" s="37"/>
      <c r="BD10" s="54" t="e">
        <f>AS10/'[1]功能-推荐任务'!J61</f>
        <v>#DIV/0!</v>
      </c>
    </row>
    <row r="11" spans="2:57" s="63" customFormat="1" x14ac:dyDescent="0.15">
      <c r="B11" s="79" t="str">
        <f t="shared" si="3"/>
        <v/>
      </c>
      <c r="C11" s="85"/>
      <c r="D11" s="75">
        <f>INDEX(节奏总纲!$AM$4:$AM$83,$F11)</f>
        <v>7.4349177498517554E-3</v>
      </c>
      <c r="E11" s="75">
        <f>求节点(节奏总纲!$P$4:$P$163,节奏总纲!$O$4:$O$163,$D11)</f>
        <v>0.10358867312681475</v>
      </c>
      <c r="F11" s="64">
        <v>1</v>
      </c>
      <c r="G11" s="85"/>
      <c r="H11" s="63" t="s">
        <v>612</v>
      </c>
      <c r="M11" s="63">
        <f t="shared" si="4"/>
        <v>20</v>
      </c>
      <c r="N11" s="63">
        <f t="shared" ref="N11:N12" si="29">M11*COUNTA($H11:$K11)</f>
        <v>20</v>
      </c>
      <c r="O11" s="63">
        <f t="shared" si="6"/>
        <v>0</v>
      </c>
      <c r="P11" s="63">
        <f t="shared" ref="P11:P12" si="30">O11*COUNTA($H11:$K11)</f>
        <v>0</v>
      </c>
      <c r="Q11" s="63">
        <f t="shared" si="8"/>
        <v>3</v>
      </c>
      <c r="R11" s="63">
        <f t="shared" ref="R11:R12" si="31">Q11*COUNTA($H11:$K11)</f>
        <v>3</v>
      </c>
      <c r="S11" s="63">
        <f t="shared" si="10"/>
        <v>10000</v>
      </c>
      <c r="T11" s="63">
        <f t="shared" ref="T11:T12" si="32">S11*COUNTA($H11:$K11)</f>
        <v>10000</v>
      </c>
      <c r="U11" s="63">
        <f t="shared" si="12"/>
        <v>0</v>
      </c>
      <c r="V11" s="63">
        <f t="shared" ref="V11:V12" si="33">U11*COUNTA($H11:$K11)</f>
        <v>0</v>
      </c>
      <c r="W11" s="63">
        <f t="shared" ref="W11:W12" si="34">IF(F11&lt;28,0,ROUNDUP((W$2*$F11^W$1+W$3)/W$4,0)*W$4)</f>
        <v>0</v>
      </c>
      <c r="X11" s="63">
        <f t="shared" ref="X11:X12" si="35">W11*COUNTA($H11:$K11)</f>
        <v>0</v>
      </c>
      <c r="Y11" s="63">
        <f t="shared" ref="Y11:Y12" si="36">IF(F11&lt;28,0,ROUNDUP((Y$2*$F11^Y$1+Y$3)/Y$4,0)*Y$4)</f>
        <v>0</v>
      </c>
      <c r="Z11" s="63">
        <f t="shared" ref="Z11:Z12" si="37">Y11*COUNTA($H11:$K11)</f>
        <v>0</v>
      </c>
      <c r="AC11" s="63">
        <f t="shared" si="18"/>
        <v>0</v>
      </c>
      <c r="AD11" s="63">
        <f t="shared" ref="AD11:AD12" si="38">AC11*COUNTA($H11:$K11)</f>
        <v>0</v>
      </c>
      <c r="AG11" s="63">
        <f t="shared" si="2"/>
        <v>5</v>
      </c>
      <c r="AH11" s="63">
        <f t="shared" ref="AH11:AH12" si="39">AG11*COUNTA($H11:$K11)</f>
        <v>5</v>
      </c>
      <c r="AJ11" s="22"/>
      <c r="AL11" s="25">
        <v>4</v>
      </c>
      <c r="AM11" s="77">
        <f t="shared" si="21"/>
        <v>820</v>
      </c>
      <c r="AN11" s="77">
        <f t="shared" si="22"/>
        <v>0</v>
      </c>
      <c r="AO11" s="77">
        <f t="shared" si="23"/>
        <v>159</v>
      </c>
      <c r="AP11" s="77">
        <f t="shared" si="24"/>
        <v>360000</v>
      </c>
      <c r="AQ11" s="77">
        <f t="shared" si="25"/>
        <v>0</v>
      </c>
      <c r="AR11" s="52"/>
      <c r="AS11" s="77">
        <f t="shared" si="26"/>
        <v>0</v>
      </c>
      <c r="AT11" s="77">
        <f t="shared" si="27"/>
        <v>0</v>
      </c>
      <c r="AU11" s="77">
        <f t="shared" si="28"/>
        <v>180</v>
      </c>
      <c r="AV11" s="72"/>
      <c r="AW11" s="35"/>
      <c r="AX11" s="54">
        <f>AM11/'[1]功能-推荐任务'!D62</f>
        <v>2.7333333333333334</v>
      </c>
      <c r="AY11" s="54" t="e">
        <f>AN11/'[1]功能-推荐任务'!E62</f>
        <v>#DIV/0!</v>
      </c>
      <c r="AZ11" s="54">
        <f>AO11/'[1]功能-推荐任务'!F62</f>
        <v>1.59</v>
      </c>
      <c r="BA11" s="54">
        <f>AP11/'[1]功能-推荐任务'!G62</f>
        <v>0.17560975609756097</v>
      </c>
      <c r="BB11" s="54">
        <f>AQ11/'[1]功能-推荐任务'!H62</f>
        <v>0</v>
      </c>
      <c r="BC11" s="37"/>
      <c r="BD11" s="54" t="e">
        <f>AS11/'[1]功能-推荐任务'!J62</f>
        <v>#DIV/0!</v>
      </c>
      <c r="BE11" s="35"/>
    </row>
    <row r="12" spans="2:57" x14ac:dyDescent="0.15">
      <c r="B12" s="79" t="str">
        <f t="shared" si="3"/>
        <v/>
      </c>
      <c r="C12" s="85"/>
      <c r="D12" s="75">
        <f>INDEX(节奏总纲!$AM$4:$AM$83,$F12)</f>
        <v>7.4349177498517554E-3</v>
      </c>
      <c r="E12" s="75">
        <f>求节点(节奏总纲!$P$4:$P$163,节奏总纲!$O$4:$O$163,$D12)</f>
        <v>0.10358867312681475</v>
      </c>
      <c r="F12" s="64">
        <v>1</v>
      </c>
      <c r="G12" s="85"/>
      <c r="H12" s="63" t="s">
        <v>493</v>
      </c>
      <c r="I12" s="42"/>
      <c r="J12" s="42"/>
      <c r="M12" s="63">
        <f t="shared" si="4"/>
        <v>20</v>
      </c>
      <c r="N12" s="63">
        <f t="shared" si="29"/>
        <v>20</v>
      </c>
      <c r="O12" s="63">
        <f t="shared" si="6"/>
        <v>0</v>
      </c>
      <c r="P12" s="63">
        <f t="shared" si="30"/>
        <v>0</v>
      </c>
      <c r="Q12" s="63">
        <f t="shared" si="8"/>
        <v>3</v>
      </c>
      <c r="R12" s="63">
        <f t="shared" si="31"/>
        <v>3</v>
      </c>
      <c r="S12" s="63">
        <f t="shared" si="10"/>
        <v>10000</v>
      </c>
      <c r="T12" s="63">
        <f t="shared" si="32"/>
        <v>10000</v>
      </c>
      <c r="U12" s="63">
        <f t="shared" si="12"/>
        <v>0</v>
      </c>
      <c r="V12" s="63">
        <f t="shared" si="33"/>
        <v>0</v>
      </c>
      <c r="W12" s="63">
        <f t="shared" si="34"/>
        <v>0</v>
      </c>
      <c r="X12" s="63">
        <f t="shared" si="35"/>
        <v>0</v>
      </c>
      <c r="Y12" s="63">
        <f t="shared" si="36"/>
        <v>0</v>
      </c>
      <c r="Z12" s="63">
        <f t="shared" si="37"/>
        <v>0</v>
      </c>
      <c r="AA12" s="63"/>
      <c r="AB12" s="63"/>
      <c r="AC12" s="63">
        <f t="shared" si="18"/>
        <v>0</v>
      </c>
      <c r="AD12" s="63">
        <f t="shared" si="38"/>
        <v>0</v>
      </c>
      <c r="AE12" s="63"/>
      <c r="AF12" s="63"/>
      <c r="AG12" s="63">
        <f t="shared" si="2"/>
        <v>5</v>
      </c>
      <c r="AH12" s="63">
        <f t="shared" si="39"/>
        <v>5</v>
      </c>
      <c r="AL12" s="25">
        <v>5</v>
      </c>
      <c r="AM12" s="77">
        <f t="shared" si="21"/>
        <v>1090</v>
      </c>
      <c r="AN12" s="77">
        <f t="shared" si="22"/>
        <v>0</v>
      </c>
      <c r="AO12" s="77">
        <f t="shared" si="23"/>
        <v>213</v>
      </c>
      <c r="AP12" s="77">
        <f t="shared" si="24"/>
        <v>540000</v>
      </c>
      <c r="AQ12" s="77">
        <f t="shared" si="25"/>
        <v>0</v>
      </c>
      <c r="AR12" s="52"/>
      <c r="AS12" s="77">
        <f t="shared" si="26"/>
        <v>0</v>
      </c>
      <c r="AT12" s="77">
        <f t="shared" si="27"/>
        <v>0</v>
      </c>
      <c r="AU12" s="77">
        <f t="shared" si="28"/>
        <v>225</v>
      </c>
      <c r="AV12" s="72"/>
      <c r="AX12" s="54">
        <f>AM12/'[1]功能-推荐任务'!D63</f>
        <v>3.6333333333333333</v>
      </c>
      <c r="AY12" s="54" t="e">
        <f>AN12/'[1]功能-推荐任务'!E63</f>
        <v>#DIV/0!</v>
      </c>
      <c r="AZ12" s="54">
        <f>AO12/'[1]功能-推荐任务'!F63</f>
        <v>2.13</v>
      </c>
      <c r="BA12" s="54">
        <f>AP12/'[1]功能-推荐任务'!G63</f>
        <v>0.26341463414634148</v>
      </c>
      <c r="BB12" s="54">
        <f>AQ12/'[1]功能-推荐任务'!H63</f>
        <v>0</v>
      </c>
      <c r="BC12" s="37"/>
      <c r="BD12" s="54" t="e">
        <f>AS12/'[1]功能-推荐任务'!J63</f>
        <v>#DIV/0!</v>
      </c>
    </row>
    <row r="13" spans="2:57" x14ac:dyDescent="0.15">
      <c r="B13" s="79">
        <f t="shared" si="3"/>
        <v>11</v>
      </c>
      <c r="C13" s="85"/>
      <c r="D13" s="75">
        <f>INDEX(节奏总纲!$AM$4:$AM$83,$F13)</f>
        <v>2.3963093307967063E-2</v>
      </c>
      <c r="E13" s="75">
        <f>求节点(节奏总纲!$P$4:$P$163,节奏总纲!$O$4:$O$163,$D13)</f>
        <v>0.33387121731586833</v>
      </c>
      <c r="F13" s="64">
        <v>2</v>
      </c>
      <c r="G13" s="85"/>
      <c r="H13" s="63" t="s">
        <v>494</v>
      </c>
      <c r="I13" s="63"/>
      <c r="J13" s="63"/>
      <c r="K13" s="63"/>
      <c r="M13" s="60">
        <f t="shared" si="4"/>
        <v>20</v>
      </c>
      <c r="N13" s="60">
        <f t="shared" si="5"/>
        <v>20</v>
      </c>
      <c r="O13" s="60">
        <f t="shared" si="6"/>
        <v>0</v>
      </c>
      <c r="P13" s="60">
        <f t="shared" si="7"/>
        <v>0</v>
      </c>
      <c r="Q13" s="60">
        <f t="shared" si="8"/>
        <v>4</v>
      </c>
      <c r="R13" s="60">
        <f t="shared" si="9"/>
        <v>4</v>
      </c>
      <c r="S13" s="60">
        <f t="shared" si="10"/>
        <v>10000</v>
      </c>
      <c r="T13" s="60">
        <f t="shared" si="11"/>
        <v>10000</v>
      </c>
      <c r="U13" s="60">
        <f t="shared" si="12"/>
        <v>0</v>
      </c>
      <c r="V13" s="60">
        <f t="shared" si="13"/>
        <v>0</v>
      </c>
      <c r="W13" s="60">
        <f t="shared" si="14"/>
        <v>0</v>
      </c>
      <c r="X13" s="60">
        <f t="shared" si="15"/>
        <v>0</v>
      </c>
      <c r="Y13" s="60">
        <f t="shared" si="16"/>
        <v>0</v>
      </c>
      <c r="Z13" s="60">
        <f t="shared" si="17"/>
        <v>0</v>
      </c>
      <c r="AA13" s="42"/>
      <c r="AB13" s="42"/>
      <c r="AC13" s="60">
        <f t="shared" si="18"/>
        <v>0</v>
      </c>
      <c r="AD13" s="60">
        <f t="shared" si="19"/>
        <v>0</v>
      </c>
      <c r="AE13" s="42"/>
      <c r="AF13" s="42"/>
      <c r="AG13" s="60">
        <f t="shared" si="2"/>
        <v>5</v>
      </c>
      <c r="AH13" s="60">
        <f t="shared" si="20"/>
        <v>5</v>
      </c>
      <c r="AL13" s="25">
        <v>6</v>
      </c>
      <c r="AM13" s="77">
        <f t="shared" si="21"/>
        <v>1510</v>
      </c>
      <c r="AN13" s="77">
        <f t="shared" si="22"/>
        <v>0</v>
      </c>
      <c r="AO13" s="77">
        <f t="shared" si="23"/>
        <v>311</v>
      </c>
      <c r="AP13" s="77">
        <f t="shared" si="24"/>
        <v>820000</v>
      </c>
      <c r="AQ13" s="77">
        <f t="shared" si="25"/>
        <v>0</v>
      </c>
      <c r="AR13" s="52"/>
      <c r="AS13" s="77">
        <f t="shared" si="26"/>
        <v>0</v>
      </c>
      <c r="AT13" s="77">
        <f t="shared" si="27"/>
        <v>0</v>
      </c>
      <c r="AU13" s="77">
        <f t="shared" si="28"/>
        <v>295</v>
      </c>
      <c r="AV13" s="72"/>
      <c r="AX13" s="54">
        <f>AM13/'[1]功能-推荐任务'!D64</f>
        <v>5.0333333333333332</v>
      </c>
      <c r="AY13" s="54" t="e">
        <f>AN13/'[1]功能-推荐任务'!E64</f>
        <v>#DIV/0!</v>
      </c>
      <c r="AZ13" s="54">
        <f>AO13/'[1]功能-推荐任务'!F64</f>
        <v>3.11</v>
      </c>
      <c r="BA13" s="54">
        <f>AP13/'[1]功能-推荐任务'!G64</f>
        <v>0.4</v>
      </c>
      <c r="BB13" s="54">
        <f>AQ13/'[1]功能-推荐任务'!H64</f>
        <v>0</v>
      </c>
      <c r="BC13" s="37"/>
      <c r="BD13" s="54" t="e">
        <f>AS13/'[1]功能-推荐任务'!J64</f>
        <v>#DIV/0!</v>
      </c>
    </row>
    <row r="14" spans="2:57" x14ac:dyDescent="0.15">
      <c r="B14" s="79" t="str">
        <f t="shared" si="3"/>
        <v/>
      </c>
      <c r="C14" s="85"/>
      <c r="D14" s="75">
        <f>INDEX(节奏总纲!$AM$4:$AM$83,$F14)</f>
        <v>2.3963093307967063E-2</v>
      </c>
      <c r="E14" s="75">
        <f>求节点(节奏总纲!$P$4:$P$163,节奏总纲!$O$4:$O$163,$D14)</f>
        <v>0.33387121731586833</v>
      </c>
      <c r="F14" s="64">
        <v>2</v>
      </c>
      <c r="G14" s="85"/>
      <c r="H14" s="63" t="s">
        <v>495</v>
      </c>
      <c r="I14" s="63"/>
      <c r="J14" s="63"/>
      <c r="K14" s="63"/>
      <c r="M14" s="60">
        <f t="shared" si="4"/>
        <v>20</v>
      </c>
      <c r="N14" s="60">
        <f t="shared" si="5"/>
        <v>20</v>
      </c>
      <c r="O14" s="60">
        <f t="shared" si="6"/>
        <v>0</v>
      </c>
      <c r="P14" s="60">
        <f t="shared" si="7"/>
        <v>0</v>
      </c>
      <c r="Q14" s="60">
        <f t="shared" si="8"/>
        <v>4</v>
      </c>
      <c r="R14" s="60">
        <f t="shared" si="9"/>
        <v>4</v>
      </c>
      <c r="S14" s="60">
        <f t="shared" si="10"/>
        <v>10000</v>
      </c>
      <c r="T14" s="60">
        <f t="shared" si="11"/>
        <v>10000</v>
      </c>
      <c r="U14" s="60">
        <f t="shared" si="12"/>
        <v>0</v>
      </c>
      <c r="V14" s="60">
        <f t="shared" si="13"/>
        <v>0</v>
      </c>
      <c r="W14" s="60">
        <f t="shared" si="14"/>
        <v>0</v>
      </c>
      <c r="X14" s="60">
        <f t="shared" si="15"/>
        <v>0</v>
      </c>
      <c r="Y14" s="60">
        <f t="shared" si="16"/>
        <v>0</v>
      </c>
      <c r="Z14" s="60">
        <f t="shared" si="17"/>
        <v>0</v>
      </c>
      <c r="AA14" s="42"/>
      <c r="AB14" s="42"/>
      <c r="AC14" s="60">
        <f t="shared" si="18"/>
        <v>0</v>
      </c>
      <c r="AD14" s="60">
        <f t="shared" si="19"/>
        <v>0</v>
      </c>
      <c r="AE14" s="42"/>
      <c r="AF14" s="42"/>
      <c r="AG14" s="60">
        <f t="shared" si="2"/>
        <v>5</v>
      </c>
      <c r="AH14" s="60">
        <f t="shared" si="20"/>
        <v>5</v>
      </c>
      <c r="AL14" s="25">
        <v>7</v>
      </c>
      <c r="AM14" s="77">
        <f t="shared" si="21"/>
        <v>1930</v>
      </c>
      <c r="AN14" s="77">
        <f t="shared" si="22"/>
        <v>0</v>
      </c>
      <c r="AO14" s="77">
        <f t="shared" si="23"/>
        <v>409</v>
      </c>
      <c r="AP14" s="77">
        <f t="shared" si="24"/>
        <v>1100000</v>
      </c>
      <c r="AQ14" s="77">
        <f t="shared" si="25"/>
        <v>0</v>
      </c>
      <c r="AR14" s="52"/>
      <c r="AS14" s="77">
        <f t="shared" si="26"/>
        <v>0</v>
      </c>
      <c r="AT14" s="77">
        <f t="shared" si="27"/>
        <v>0</v>
      </c>
      <c r="AU14" s="77">
        <f t="shared" si="28"/>
        <v>365</v>
      </c>
      <c r="AV14" s="72"/>
      <c r="AX14" s="54">
        <f>AM14/'[1]功能-推荐任务'!D65</f>
        <v>6.4333333333333336</v>
      </c>
      <c r="AY14" s="54" t="e">
        <f>AN14/'[1]功能-推荐任务'!E65</f>
        <v>#DIV/0!</v>
      </c>
      <c r="AZ14" s="54">
        <f>AO14/'[1]功能-推荐任务'!F65</f>
        <v>4.09</v>
      </c>
      <c r="BA14" s="54">
        <f>AP14/'[1]功能-推荐任务'!G65</f>
        <v>0.53658536585365857</v>
      </c>
      <c r="BB14" s="54">
        <f>AQ14/'[1]功能-推荐任务'!H65</f>
        <v>0</v>
      </c>
      <c r="BC14" s="37"/>
      <c r="BD14" s="54" t="e">
        <f>AS14/'[1]功能-推荐任务'!J65</f>
        <v>#DIV/0!</v>
      </c>
    </row>
    <row r="15" spans="2:57" x14ac:dyDescent="0.15">
      <c r="B15" s="79" t="str">
        <f t="shared" si="3"/>
        <v/>
      </c>
      <c r="C15" s="85"/>
      <c r="D15" s="75">
        <f>INDEX(节奏总纲!$AM$4:$AM$83,$F15)</f>
        <v>2.3963093307967063E-2</v>
      </c>
      <c r="E15" s="75">
        <f>求节点(节奏总纲!$P$4:$P$163,节奏总纲!$O$4:$O$163,$D15)</f>
        <v>0.33387121731586833</v>
      </c>
      <c r="F15" s="64">
        <v>2</v>
      </c>
      <c r="G15" s="85"/>
      <c r="H15" s="63" t="s">
        <v>496</v>
      </c>
      <c r="I15" s="63"/>
      <c r="J15" s="63"/>
      <c r="K15" s="63"/>
      <c r="M15" s="60">
        <f t="shared" si="4"/>
        <v>20</v>
      </c>
      <c r="N15" s="60">
        <f t="shared" si="5"/>
        <v>20</v>
      </c>
      <c r="O15" s="60">
        <f t="shared" si="6"/>
        <v>0</v>
      </c>
      <c r="P15" s="60">
        <f t="shared" si="7"/>
        <v>0</v>
      </c>
      <c r="Q15" s="60">
        <f t="shared" si="8"/>
        <v>4</v>
      </c>
      <c r="R15" s="60">
        <f t="shared" si="9"/>
        <v>4</v>
      </c>
      <c r="S15" s="60">
        <f t="shared" si="10"/>
        <v>10000</v>
      </c>
      <c r="T15" s="60">
        <f t="shared" si="11"/>
        <v>10000</v>
      </c>
      <c r="U15" s="60">
        <f t="shared" si="12"/>
        <v>0</v>
      </c>
      <c r="V15" s="60">
        <f t="shared" si="13"/>
        <v>0</v>
      </c>
      <c r="W15" s="60">
        <f t="shared" si="14"/>
        <v>0</v>
      </c>
      <c r="X15" s="60">
        <f t="shared" si="15"/>
        <v>0</v>
      </c>
      <c r="Y15" s="60">
        <f t="shared" si="16"/>
        <v>0</v>
      </c>
      <c r="Z15" s="60">
        <f t="shared" si="17"/>
        <v>0</v>
      </c>
      <c r="AA15" s="42"/>
      <c r="AB15" s="42"/>
      <c r="AC15" s="60">
        <f t="shared" si="18"/>
        <v>0</v>
      </c>
      <c r="AD15" s="60">
        <f t="shared" si="19"/>
        <v>0</v>
      </c>
      <c r="AE15" s="42"/>
      <c r="AF15" s="42"/>
      <c r="AG15" s="60">
        <f t="shared" si="2"/>
        <v>5</v>
      </c>
      <c r="AH15" s="60">
        <f t="shared" si="20"/>
        <v>5</v>
      </c>
      <c r="AL15" s="25">
        <v>8</v>
      </c>
      <c r="AM15" s="77">
        <f t="shared" si="21"/>
        <v>2320</v>
      </c>
      <c r="AN15" s="77">
        <f t="shared" si="22"/>
        <v>0</v>
      </c>
      <c r="AO15" s="77">
        <f t="shared" si="23"/>
        <v>513</v>
      </c>
      <c r="AP15" s="77">
        <f t="shared" si="24"/>
        <v>1490000</v>
      </c>
      <c r="AQ15" s="77">
        <f t="shared" si="25"/>
        <v>0</v>
      </c>
      <c r="AR15" s="52"/>
      <c r="AS15" s="77">
        <f t="shared" si="26"/>
        <v>0</v>
      </c>
      <c r="AT15" s="77">
        <f t="shared" si="27"/>
        <v>0</v>
      </c>
      <c r="AU15" s="77">
        <f t="shared" si="28"/>
        <v>430</v>
      </c>
      <c r="AV15" s="72"/>
      <c r="AX15" s="54">
        <f>AM15/'[1]功能-推荐任务'!D66</f>
        <v>7.7333333333333334</v>
      </c>
      <c r="AY15" s="54" t="e">
        <f>AN15/'[1]功能-推荐任务'!E66</f>
        <v>#DIV/0!</v>
      </c>
      <c r="AZ15" s="54">
        <f>AO15/'[1]功能-推荐任务'!F66</f>
        <v>5.13</v>
      </c>
      <c r="BA15" s="54">
        <f>AP15/'[1]功能-推荐任务'!G66</f>
        <v>0.72682926829268291</v>
      </c>
      <c r="BB15" s="54">
        <f>AQ15/'[1]功能-推荐任务'!H66</f>
        <v>0</v>
      </c>
      <c r="BC15" s="37"/>
      <c r="BD15" s="54" t="e">
        <f>AS15/'[1]功能-推荐任务'!J66</f>
        <v>#DIV/0!</v>
      </c>
    </row>
    <row r="16" spans="2:57" x14ac:dyDescent="0.15">
      <c r="B16" s="79" t="str">
        <f t="shared" si="3"/>
        <v/>
      </c>
      <c r="C16" s="85"/>
      <c r="D16" s="75">
        <f>INDEX(节奏总纲!$AM$4:$AM$83,$F16)</f>
        <v>2.3963093307967063E-2</v>
      </c>
      <c r="E16" s="75">
        <f>求节点(节奏总纲!$P$4:$P$163,节奏总纲!$O$4:$O$163,$D16)</f>
        <v>0.33387121731586833</v>
      </c>
      <c r="F16" s="64">
        <v>2</v>
      </c>
      <c r="G16" s="85"/>
      <c r="H16" s="63" t="s">
        <v>497</v>
      </c>
      <c r="I16" s="63"/>
      <c r="J16" s="63"/>
      <c r="K16" s="63"/>
      <c r="M16" s="60">
        <f t="shared" si="4"/>
        <v>20</v>
      </c>
      <c r="N16" s="60">
        <f t="shared" si="5"/>
        <v>20</v>
      </c>
      <c r="O16" s="60">
        <f t="shared" si="6"/>
        <v>0</v>
      </c>
      <c r="P16" s="60">
        <f t="shared" si="7"/>
        <v>0</v>
      </c>
      <c r="Q16" s="60">
        <f t="shared" si="8"/>
        <v>4</v>
      </c>
      <c r="R16" s="60">
        <f t="shared" si="9"/>
        <v>4</v>
      </c>
      <c r="S16" s="60">
        <f t="shared" si="10"/>
        <v>10000</v>
      </c>
      <c r="T16" s="60">
        <f t="shared" si="11"/>
        <v>10000</v>
      </c>
      <c r="U16" s="60">
        <f t="shared" si="12"/>
        <v>0</v>
      </c>
      <c r="V16" s="60">
        <f t="shared" si="13"/>
        <v>0</v>
      </c>
      <c r="W16" s="60">
        <f t="shared" si="14"/>
        <v>0</v>
      </c>
      <c r="X16" s="60">
        <f t="shared" si="15"/>
        <v>0</v>
      </c>
      <c r="Y16" s="60">
        <f t="shared" si="16"/>
        <v>0</v>
      </c>
      <c r="Z16" s="60">
        <f t="shared" si="17"/>
        <v>0</v>
      </c>
      <c r="AA16" s="42"/>
      <c r="AB16" s="42"/>
      <c r="AC16" s="60">
        <f t="shared" si="18"/>
        <v>0</v>
      </c>
      <c r="AD16" s="60">
        <f t="shared" si="19"/>
        <v>0</v>
      </c>
      <c r="AE16" s="42"/>
      <c r="AF16" s="42"/>
      <c r="AG16" s="60">
        <f t="shared" si="2"/>
        <v>5</v>
      </c>
      <c r="AH16" s="60">
        <f t="shared" si="20"/>
        <v>5</v>
      </c>
      <c r="AL16" s="25">
        <v>9</v>
      </c>
      <c r="AM16" s="77">
        <f t="shared" si="21"/>
        <v>2500</v>
      </c>
      <c r="AN16" s="77">
        <f t="shared" si="22"/>
        <v>0</v>
      </c>
      <c r="AO16" s="77">
        <f t="shared" si="23"/>
        <v>561</v>
      </c>
      <c r="AP16" s="77">
        <f t="shared" si="24"/>
        <v>1670000</v>
      </c>
      <c r="AQ16" s="77">
        <f t="shared" si="25"/>
        <v>0</v>
      </c>
      <c r="AR16" s="52"/>
      <c r="AS16" s="77">
        <f t="shared" si="26"/>
        <v>0</v>
      </c>
      <c r="AT16" s="77">
        <f t="shared" si="27"/>
        <v>0</v>
      </c>
      <c r="AU16" s="77">
        <f t="shared" si="28"/>
        <v>460</v>
      </c>
      <c r="AV16" s="72"/>
      <c r="AX16" s="54">
        <f>AM16/'[1]功能-推荐任务'!D67</f>
        <v>8.3333333333333339</v>
      </c>
      <c r="AY16" s="54" t="e">
        <f>AN16/'[1]功能-推荐任务'!E67</f>
        <v>#DIV/0!</v>
      </c>
      <c r="AZ16" s="54">
        <f>AO16/'[1]功能-推荐任务'!F67</f>
        <v>5.61</v>
      </c>
      <c r="BA16" s="54">
        <f>AP16/'[1]功能-推荐任务'!G67</f>
        <v>0.81463414634146336</v>
      </c>
      <c r="BB16" s="54">
        <f>AQ16/'[1]功能-推荐任务'!H67</f>
        <v>0</v>
      </c>
      <c r="BC16" s="37"/>
      <c r="BD16" s="54" t="e">
        <f>AS16/'[1]功能-推荐任务'!J67</f>
        <v>#DIV/0!</v>
      </c>
    </row>
    <row r="17" spans="1:57" s="63" customFormat="1" x14ac:dyDescent="0.15">
      <c r="B17" s="79" t="str">
        <f t="shared" si="3"/>
        <v/>
      </c>
      <c r="C17" s="85"/>
      <c r="D17" s="75">
        <f>INDEX(节奏总纲!$AM$4:$AM$83,$F17)</f>
        <v>2.3963093307967063E-2</v>
      </c>
      <c r="E17" s="75">
        <f>求节点(节奏总纲!$P$4:$P$163,节奏总纲!$O$4:$O$163,$D17)</f>
        <v>0.33387121731586833</v>
      </c>
      <c r="F17" s="64">
        <v>2</v>
      </c>
      <c r="G17" s="85"/>
      <c r="H17" s="63" t="s">
        <v>364</v>
      </c>
      <c r="M17" s="63">
        <f t="shared" si="4"/>
        <v>20</v>
      </c>
      <c r="N17" s="63">
        <f t="shared" ref="N17:N27" si="40">M17*COUNTA($H17:$K17)</f>
        <v>20</v>
      </c>
      <c r="O17" s="63">
        <f t="shared" si="6"/>
        <v>0</v>
      </c>
      <c r="P17" s="63">
        <f t="shared" ref="P17:P27" si="41">O17*COUNTA($H17:$K17)</f>
        <v>0</v>
      </c>
      <c r="Q17" s="63">
        <f t="shared" si="8"/>
        <v>4</v>
      </c>
      <c r="R17" s="63">
        <f t="shared" ref="R17:R27" si="42">Q17*COUNTA($H17:$K17)</f>
        <v>4</v>
      </c>
      <c r="S17" s="63">
        <f t="shared" si="10"/>
        <v>10000</v>
      </c>
      <c r="T17" s="63">
        <f t="shared" ref="T17:T27" si="43">S17*COUNTA($H17:$K17)</f>
        <v>10000</v>
      </c>
      <c r="U17" s="63">
        <f t="shared" si="12"/>
        <v>0</v>
      </c>
      <c r="V17" s="63">
        <f t="shared" ref="V17:V27" si="44">U17*COUNTA($H17:$K17)</f>
        <v>0</v>
      </c>
      <c r="W17" s="63">
        <f t="shared" ref="W17:W27" si="45">IF(F17&lt;28,0,ROUNDUP((W$2*$F17^W$1+W$3)/W$4,0)*W$4)</f>
        <v>0</v>
      </c>
      <c r="X17" s="63">
        <f t="shared" ref="X17:X27" si="46">W17*COUNTA($H17:$K17)</f>
        <v>0</v>
      </c>
      <c r="Y17" s="63">
        <f t="shared" ref="Y17:Y27" si="47">IF(F17&lt;28,0,ROUNDUP((Y$2*$F17^Y$1+Y$3)/Y$4,0)*Y$4)</f>
        <v>0</v>
      </c>
      <c r="Z17" s="63">
        <f t="shared" ref="Z17:Z27" si="48">Y17*COUNTA($H17:$K17)</f>
        <v>0</v>
      </c>
      <c r="AC17" s="63">
        <f t="shared" si="18"/>
        <v>0</v>
      </c>
      <c r="AD17" s="63">
        <f t="shared" ref="AD17:AD27" si="49">AC17*COUNTA($H17:$K17)</f>
        <v>0</v>
      </c>
      <c r="AG17" s="63">
        <f t="shared" si="2"/>
        <v>5</v>
      </c>
      <c r="AH17" s="63">
        <f t="shared" ref="AH17:AH27" si="50">AG17*COUNTA($H17:$K17)</f>
        <v>5</v>
      </c>
      <c r="AJ17" s="22"/>
      <c r="AL17" s="25">
        <v>10</v>
      </c>
      <c r="AM17" s="77">
        <f t="shared" si="21"/>
        <v>2890</v>
      </c>
      <c r="AN17" s="77">
        <f t="shared" si="22"/>
        <v>0</v>
      </c>
      <c r="AO17" s="77">
        <f t="shared" si="23"/>
        <v>665</v>
      </c>
      <c r="AP17" s="77">
        <f t="shared" si="24"/>
        <v>2190000</v>
      </c>
      <c r="AQ17" s="77">
        <f t="shared" si="25"/>
        <v>0</v>
      </c>
      <c r="AR17" s="52"/>
      <c r="AS17" s="77">
        <f t="shared" si="26"/>
        <v>0</v>
      </c>
      <c r="AT17" s="77">
        <f t="shared" si="27"/>
        <v>0</v>
      </c>
      <c r="AU17" s="77">
        <f t="shared" si="28"/>
        <v>525</v>
      </c>
      <c r="AV17" s="72"/>
      <c r="AW17" s="35"/>
      <c r="AX17" s="54">
        <f>AM17/'[1]功能-推荐任务'!D68</f>
        <v>9.6333333333333329</v>
      </c>
      <c r="AY17" s="54" t="e">
        <f>AN17/'[1]功能-推荐任务'!E68</f>
        <v>#DIV/0!</v>
      </c>
      <c r="AZ17" s="54">
        <f>AO17/'[1]功能-推荐任务'!F68</f>
        <v>6.65</v>
      </c>
      <c r="BA17" s="54">
        <f>AP17/'[1]功能-推荐任务'!G68</f>
        <v>1.0682926829268293</v>
      </c>
      <c r="BB17" s="54">
        <f>AQ17/'[1]功能-推荐任务'!H68</f>
        <v>0</v>
      </c>
      <c r="BC17" s="37"/>
      <c r="BD17" s="54" t="e">
        <f>AS17/'[1]功能-推荐任务'!J68</f>
        <v>#DIV/0!</v>
      </c>
      <c r="BE17" s="35"/>
    </row>
    <row r="18" spans="1:57" s="63" customFormat="1" x14ac:dyDescent="0.15">
      <c r="B18" s="79" t="str">
        <f t="shared" si="3"/>
        <v/>
      </c>
      <c r="C18" s="85"/>
      <c r="D18" s="75">
        <f>INDEX(节奏总纲!$AM$4:$AM$83,$F18)</f>
        <v>2.3963093307967063E-2</v>
      </c>
      <c r="E18" s="75">
        <f>求节点(节奏总纲!$P$4:$P$163,节奏总纲!$O$4:$O$163,$D18)</f>
        <v>0.33387121731586833</v>
      </c>
      <c r="F18" s="64">
        <v>2</v>
      </c>
      <c r="G18" s="85"/>
      <c r="H18" s="63" t="s">
        <v>373</v>
      </c>
      <c r="M18" s="63">
        <f t="shared" si="4"/>
        <v>20</v>
      </c>
      <c r="N18" s="63">
        <f t="shared" si="40"/>
        <v>20</v>
      </c>
      <c r="O18" s="63">
        <f t="shared" si="6"/>
        <v>0</v>
      </c>
      <c r="P18" s="63">
        <f t="shared" si="41"/>
        <v>0</v>
      </c>
      <c r="Q18" s="63">
        <f t="shared" si="8"/>
        <v>4</v>
      </c>
      <c r="R18" s="63">
        <f t="shared" si="42"/>
        <v>4</v>
      </c>
      <c r="S18" s="63">
        <f t="shared" si="10"/>
        <v>10000</v>
      </c>
      <c r="T18" s="63">
        <f t="shared" si="43"/>
        <v>10000</v>
      </c>
      <c r="U18" s="63">
        <f t="shared" si="12"/>
        <v>0</v>
      </c>
      <c r="V18" s="63">
        <f t="shared" si="44"/>
        <v>0</v>
      </c>
      <c r="W18" s="63">
        <f t="shared" si="45"/>
        <v>0</v>
      </c>
      <c r="X18" s="63">
        <f t="shared" si="46"/>
        <v>0</v>
      </c>
      <c r="Y18" s="63">
        <f t="shared" si="47"/>
        <v>0</v>
      </c>
      <c r="Z18" s="63">
        <f t="shared" si="48"/>
        <v>0</v>
      </c>
      <c r="AC18" s="63">
        <f t="shared" si="18"/>
        <v>0</v>
      </c>
      <c r="AD18" s="63">
        <f t="shared" si="49"/>
        <v>0</v>
      </c>
      <c r="AG18" s="63">
        <f t="shared" si="2"/>
        <v>5</v>
      </c>
      <c r="AH18" s="63">
        <f t="shared" si="50"/>
        <v>5</v>
      </c>
      <c r="AJ18" s="22"/>
      <c r="AL18" s="25">
        <v>11</v>
      </c>
      <c r="AM18" s="77">
        <f t="shared" si="21"/>
        <v>3130</v>
      </c>
      <c r="AN18" s="77">
        <f t="shared" si="22"/>
        <v>0</v>
      </c>
      <c r="AO18" s="77">
        <f t="shared" si="23"/>
        <v>719</v>
      </c>
      <c r="AP18" s="77">
        <f t="shared" si="24"/>
        <v>2430000</v>
      </c>
      <c r="AQ18" s="77">
        <f t="shared" si="25"/>
        <v>0</v>
      </c>
      <c r="AR18" s="52"/>
      <c r="AS18" s="77">
        <f t="shared" si="26"/>
        <v>0</v>
      </c>
      <c r="AT18" s="77">
        <f t="shared" si="27"/>
        <v>0</v>
      </c>
      <c r="AU18" s="77">
        <f t="shared" si="28"/>
        <v>555</v>
      </c>
      <c r="AV18" s="72"/>
      <c r="AW18" s="35"/>
      <c r="AX18" s="54">
        <f>AM18/'[1]功能-推荐任务'!D69</f>
        <v>10.433333333333334</v>
      </c>
      <c r="AY18" s="54" t="e">
        <f>AN18/'[1]功能-推荐任务'!E69</f>
        <v>#DIV/0!</v>
      </c>
      <c r="AZ18" s="54">
        <f>AO18/'[1]功能-推荐任务'!F69</f>
        <v>7.19</v>
      </c>
      <c r="BA18" s="54">
        <f>AP18/'[1]功能-推荐任务'!G69</f>
        <v>1.1853658536585365</v>
      </c>
      <c r="BB18" s="54">
        <f>AQ18/'[1]功能-推荐任务'!H69</f>
        <v>0</v>
      </c>
      <c r="BC18" s="37"/>
      <c r="BD18" s="54" t="e">
        <f>AS18/'[1]功能-推荐任务'!J69</f>
        <v>#DIV/0!</v>
      </c>
      <c r="BE18" s="35"/>
    </row>
    <row r="19" spans="1:57" x14ac:dyDescent="0.15">
      <c r="B19" s="79" t="str">
        <f t="shared" si="3"/>
        <v/>
      </c>
      <c r="C19" s="85"/>
      <c r="D19" s="75">
        <f>INDEX(节奏总纲!$AM$4:$AM$83,$F19)</f>
        <v>2.3963093307967063E-2</v>
      </c>
      <c r="E19" s="75">
        <f>求节点(节奏总纲!$P$4:$P$163,节奏总纲!$O$4:$O$163,$D19)</f>
        <v>0.33387121731586833</v>
      </c>
      <c r="F19" s="64">
        <v>2</v>
      </c>
      <c r="G19" s="85"/>
      <c r="H19" s="63" t="s">
        <v>361</v>
      </c>
      <c r="I19" s="63"/>
      <c r="J19" s="63"/>
      <c r="K19" s="63"/>
      <c r="M19" s="63">
        <f t="shared" si="4"/>
        <v>20</v>
      </c>
      <c r="N19" s="63">
        <f t="shared" si="40"/>
        <v>20</v>
      </c>
      <c r="O19" s="63">
        <f t="shared" si="6"/>
        <v>0</v>
      </c>
      <c r="P19" s="63">
        <f t="shared" si="41"/>
        <v>0</v>
      </c>
      <c r="Q19" s="63">
        <f t="shared" si="8"/>
        <v>4</v>
      </c>
      <c r="R19" s="63">
        <f t="shared" si="42"/>
        <v>4</v>
      </c>
      <c r="S19" s="63">
        <f t="shared" si="10"/>
        <v>10000</v>
      </c>
      <c r="T19" s="63">
        <f t="shared" si="43"/>
        <v>10000</v>
      </c>
      <c r="U19" s="63">
        <f t="shared" si="12"/>
        <v>0</v>
      </c>
      <c r="V19" s="63">
        <f t="shared" si="44"/>
        <v>0</v>
      </c>
      <c r="W19" s="63">
        <f t="shared" si="45"/>
        <v>0</v>
      </c>
      <c r="X19" s="63">
        <f t="shared" si="46"/>
        <v>0</v>
      </c>
      <c r="Y19" s="63">
        <f t="shared" si="47"/>
        <v>0</v>
      </c>
      <c r="Z19" s="63">
        <f t="shared" si="48"/>
        <v>0</v>
      </c>
      <c r="AA19" s="63"/>
      <c r="AB19" s="63"/>
      <c r="AC19" s="63">
        <f t="shared" si="18"/>
        <v>0</v>
      </c>
      <c r="AD19" s="63">
        <f t="shared" si="49"/>
        <v>0</v>
      </c>
      <c r="AE19" s="63"/>
      <c r="AF19" s="63"/>
      <c r="AG19" s="63">
        <f t="shared" si="2"/>
        <v>5</v>
      </c>
      <c r="AH19" s="63">
        <f t="shared" si="50"/>
        <v>5</v>
      </c>
      <c r="AL19" s="25">
        <v>12</v>
      </c>
      <c r="AM19" s="77">
        <f t="shared" si="21"/>
        <v>3490</v>
      </c>
      <c r="AN19" s="77">
        <f t="shared" si="22"/>
        <v>0</v>
      </c>
      <c r="AO19" s="77">
        <f t="shared" si="23"/>
        <v>800</v>
      </c>
      <c r="AP19" s="77">
        <f t="shared" si="24"/>
        <v>2880000</v>
      </c>
      <c r="AQ19" s="77">
        <f t="shared" si="25"/>
        <v>0</v>
      </c>
      <c r="AR19" s="52"/>
      <c r="AS19" s="77">
        <f t="shared" si="26"/>
        <v>0</v>
      </c>
      <c r="AT19" s="77">
        <f t="shared" si="27"/>
        <v>0</v>
      </c>
      <c r="AU19" s="77">
        <f t="shared" si="28"/>
        <v>600</v>
      </c>
      <c r="AV19" s="72"/>
      <c r="AX19" s="54">
        <f>AM19/'[1]功能-推荐任务'!D70</f>
        <v>11.633333333333333</v>
      </c>
      <c r="AY19" s="54" t="e">
        <f>AN19/'[1]功能-推荐任务'!E70</f>
        <v>#DIV/0!</v>
      </c>
      <c r="AZ19" s="54">
        <f>AO19/'[1]功能-推荐任务'!F70</f>
        <v>8</v>
      </c>
      <c r="BA19" s="54">
        <f>AP19/'[1]功能-推荐任务'!G70</f>
        <v>1.4048780487804877</v>
      </c>
      <c r="BB19" s="54">
        <f>AQ19/'[1]功能-推荐任务'!H70</f>
        <v>0</v>
      </c>
      <c r="BC19" s="37"/>
      <c r="BD19" s="54" t="e">
        <f>AS19/'[1]功能-推荐任务'!J70</f>
        <v>#DIV/0!</v>
      </c>
    </row>
    <row r="20" spans="1:57" s="25" customFormat="1" x14ac:dyDescent="0.15">
      <c r="A20" s="40"/>
      <c r="B20" s="79" t="str">
        <f t="shared" si="3"/>
        <v/>
      </c>
      <c r="C20" s="85"/>
      <c r="D20" s="75">
        <f>INDEX(节奏总纲!$AM$4:$AM$83,$F20)</f>
        <v>2.3963093307967063E-2</v>
      </c>
      <c r="E20" s="75">
        <f>求节点(节奏总纲!$P$4:$P$163,节奏总纲!$O$4:$O$163,$D20)</f>
        <v>0.33387121731586833</v>
      </c>
      <c r="F20" s="64">
        <v>2</v>
      </c>
      <c r="G20" s="85"/>
      <c r="H20" s="63" t="s">
        <v>362</v>
      </c>
      <c r="I20" s="63"/>
      <c r="J20" s="63"/>
      <c r="K20" s="63"/>
      <c r="L20" s="40"/>
      <c r="M20" s="63">
        <f t="shared" si="4"/>
        <v>20</v>
      </c>
      <c r="N20" s="63">
        <f t="shared" si="40"/>
        <v>20</v>
      </c>
      <c r="O20" s="63">
        <f t="shared" si="6"/>
        <v>0</v>
      </c>
      <c r="P20" s="63">
        <f t="shared" si="41"/>
        <v>0</v>
      </c>
      <c r="Q20" s="63">
        <f t="shared" si="8"/>
        <v>4</v>
      </c>
      <c r="R20" s="63">
        <f t="shared" si="42"/>
        <v>4</v>
      </c>
      <c r="S20" s="63">
        <f t="shared" si="10"/>
        <v>10000</v>
      </c>
      <c r="T20" s="63">
        <f t="shared" si="43"/>
        <v>10000</v>
      </c>
      <c r="U20" s="63">
        <f t="shared" si="12"/>
        <v>0</v>
      </c>
      <c r="V20" s="63">
        <f t="shared" si="44"/>
        <v>0</v>
      </c>
      <c r="W20" s="63">
        <f t="shared" si="45"/>
        <v>0</v>
      </c>
      <c r="X20" s="63">
        <f t="shared" si="46"/>
        <v>0</v>
      </c>
      <c r="Y20" s="63">
        <f t="shared" si="47"/>
        <v>0</v>
      </c>
      <c r="Z20" s="63">
        <f t="shared" si="48"/>
        <v>0</v>
      </c>
      <c r="AA20" s="63"/>
      <c r="AB20" s="63"/>
      <c r="AC20" s="63">
        <f t="shared" si="18"/>
        <v>0</v>
      </c>
      <c r="AD20" s="63">
        <f t="shared" si="49"/>
        <v>0</v>
      </c>
      <c r="AE20" s="63"/>
      <c r="AF20" s="63"/>
      <c r="AG20" s="63">
        <f t="shared" si="2"/>
        <v>5</v>
      </c>
      <c r="AH20" s="63">
        <f t="shared" si="50"/>
        <v>5</v>
      </c>
      <c r="AI20" s="38"/>
      <c r="AJ20" s="22"/>
      <c r="AL20" s="25">
        <v>13</v>
      </c>
      <c r="AM20" s="77">
        <f t="shared" si="21"/>
        <v>3770</v>
      </c>
      <c r="AN20" s="77">
        <f t="shared" si="22"/>
        <v>0</v>
      </c>
      <c r="AO20" s="77">
        <f t="shared" si="23"/>
        <v>870</v>
      </c>
      <c r="AP20" s="77">
        <f t="shared" si="24"/>
        <v>3230000</v>
      </c>
      <c r="AQ20" s="77">
        <f t="shared" si="25"/>
        <v>0</v>
      </c>
      <c r="AR20" s="52"/>
      <c r="AS20" s="77">
        <f t="shared" si="26"/>
        <v>0</v>
      </c>
      <c r="AT20" s="77">
        <f t="shared" si="27"/>
        <v>0</v>
      </c>
      <c r="AU20" s="77">
        <f t="shared" si="28"/>
        <v>635</v>
      </c>
      <c r="AV20" s="72"/>
      <c r="AW20" s="35"/>
      <c r="AX20" s="54">
        <f>AM20/'[1]功能-推荐任务'!D71</f>
        <v>12.566666666666666</v>
      </c>
      <c r="AY20" s="54" t="e">
        <f>AN20/'[1]功能-推荐任务'!E71</f>
        <v>#DIV/0!</v>
      </c>
      <c r="AZ20" s="54">
        <f>AO20/'[1]功能-推荐任务'!F71</f>
        <v>8.6999999999999993</v>
      </c>
      <c r="BA20" s="54">
        <f>AP20/'[1]功能-推荐任务'!G71</f>
        <v>1.575609756097561</v>
      </c>
      <c r="BB20" s="54">
        <f>AQ20/'[1]功能-推荐任务'!H71</f>
        <v>0</v>
      </c>
      <c r="BC20" s="37"/>
      <c r="BD20" s="54" t="e">
        <f>AS20/'[1]功能-推荐任务'!J71</f>
        <v>#DIV/0!</v>
      </c>
      <c r="BE20" s="35"/>
    </row>
    <row r="21" spans="1:57" x14ac:dyDescent="0.15">
      <c r="B21" s="79" t="str">
        <f t="shared" si="3"/>
        <v/>
      </c>
      <c r="C21" s="85"/>
      <c r="D21" s="75">
        <f>INDEX(节奏总纲!$AM$4:$AM$83,$F21)</f>
        <v>2.3963093307967063E-2</v>
      </c>
      <c r="E21" s="75">
        <f>求节点(节奏总纲!$P$4:$P$163,节奏总纲!$O$4:$O$163,$D21)</f>
        <v>0.33387121731586833</v>
      </c>
      <c r="F21" s="64">
        <v>2</v>
      </c>
      <c r="G21" s="85"/>
      <c r="H21" s="63" t="s">
        <v>360</v>
      </c>
      <c r="I21" s="63"/>
      <c r="J21" s="63"/>
      <c r="K21" s="63"/>
      <c r="M21" s="63">
        <f t="shared" si="4"/>
        <v>20</v>
      </c>
      <c r="N21" s="63">
        <f t="shared" si="40"/>
        <v>20</v>
      </c>
      <c r="O21" s="63">
        <f t="shared" si="6"/>
        <v>0</v>
      </c>
      <c r="P21" s="63">
        <f t="shared" si="41"/>
        <v>0</v>
      </c>
      <c r="Q21" s="63">
        <f t="shared" si="8"/>
        <v>4</v>
      </c>
      <c r="R21" s="63">
        <f t="shared" si="42"/>
        <v>4</v>
      </c>
      <c r="S21" s="63">
        <f t="shared" si="10"/>
        <v>10000</v>
      </c>
      <c r="T21" s="63">
        <f t="shared" si="43"/>
        <v>10000</v>
      </c>
      <c r="U21" s="63">
        <f t="shared" si="12"/>
        <v>0</v>
      </c>
      <c r="V21" s="63">
        <f t="shared" si="44"/>
        <v>0</v>
      </c>
      <c r="W21" s="63">
        <f t="shared" si="45"/>
        <v>0</v>
      </c>
      <c r="X21" s="63">
        <f t="shared" si="46"/>
        <v>0</v>
      </c>
      <c r="Y21" s="63">
        <f t="shared" si="47"/>
        <v>0</v>
      </c>
      <c r="Z21" s="63">
        <f t="shared" si="48"/>
        <v>0</v>
      </c>
      <c r="AA21" s="63"/>
      <c r="AB21" s="63"/>
      <c r="AC21" s="63">
        <f t="shared" si="18"/>
        <v>0</v>
      </c>
      <c r="AD21" s="63">
        <f t="shared" si="49"/>
        <v>0</v>
      </c>
      <c r="AE21" s="63"/>
      <c r="AF21" s="63"/>
      <c r="AG21" s="63">
        <f t="shared" si="2"/>
        <v>5</v>
      </c>
      <c r="AH21" s="63">
        <f t="shared" si="50"/>
        <v>5</v>
      </c>
      <c r="AL21" s="25">
        <v>14</v>
      </c>
      <c r="AM21" s="77">
        <f t="shared" si="21"/>
        <v>3890</v>
      </c>
      <c r="AN21" s="77">
        <f t="shared" si="22"/>
        <v>0</v>
      </c>
      <c r="AO21" s="77">
        <f t="shared" si="23"/>
        <v>900</v>
      </c>
      <c r="AP21" s="77">
        <f t="shared" si="24"/>
        <v>3410000</v>
      </c>
      <c r="AQ21" s="77">
        <f t="shared" si="25"/>
        <v>0</v>
      </c>
      <c r="AR21" s="52"/>
      <c r="AS21" s="77">
        <f t="shared" si="26"/>
        <v>0</v>
      </c>
      <c r="AT21" s="77">
        <f t="shared" si="27"/>
        <v>0</v>
      </c>
      <c r="AU21" s="77">
        <f t="shared" si="28"/>
        <v>650</v>
      </c>
      <c r="AV21" s="72"/>
      <c r="AX21" s="54">
        <f>AM21/'[1]功能-推荐任务'!D72</f>
        <v>12.966666666666667</v>
      </c>
      <c r="AY21" s="54" t="e">
        <f>AN21/'[1]功能-推荐任务'!E72</f>
        <v>#DIV/0!</v>
      </c>
      <c r="AZ21" s="54">
        <f>AO21/'[1]功能-推荐任务'!F72</f>
        <v>9</v>
      </c>
      <c r="BA21" s="54">
        <f>AP21/'[1]功能-推荐任务'!G72</f>
        <v>1.6634146341463414</v>
      </c>
      <c r="BB21" s="54">
        <f>AQ21/'[1]功能-推荐任务'!H72</f>
        <v>0</v>
      </c>
      <c r="BC21" s="37"/>
      <c r="BD21" s="54" t="e">
        <f>AS21/'[1]功能-推荐任务'!J72</f>
        <v>#DIV/0!</v>
      </c>
    </row>
    <row r="22" spans="1:57" x14ac:dyDescent="0.15">
      <c r="B22" s="79" t="str">
        <f t="shared" si="3"/>
        <v/>
      </c>
      <c r="C22" s="85"/>
      <c r="D22" s="75">
        <f>INDEX(节奏总纲!$AM$4:$AM$83,$F22)</f>
        <v>2.3963093307967063E-2</v>
      </c>
      <c r="E22" s="75">
        <f>求节点(节奏总纲!$P$4:$P$163,节奏总纲!$O$4:$O$163,$D22)</f>
        <v>0.33387121731586833</v>
      </c>
      <c r="F22" s="64">
        <v>2</v>
      </c>
      <c r="G22" s="85"/>
      <c r="H22" s="63" t="s">
        <v>341</v>
      </c>
      <c r="I22" s="63"/>
      <c r="J22" s="63"/>
      <c r="K22" s="63"/>
      <c r="M22" s="63">
        <f t="shared" si="4"/>
        <v>20</v>
      </c>
      <c r="N22" s="63">
        <f t="shared" si="40"/>
        <v>20</v>
      </c>
      <c r="O22" s="63">
        <f t="shared" si="6"/>
        <v>0</v>
      </c>
      <c r="P22" s="63">
        <f t="shared" si="41"/>
        <v>0</v>
      </c>
      <c r="Q22" s="63">
        <f t="shared" si="8"/>
        <v>4</v>
      </c>
      <c r="R22" s="63">
        <f t="shared" si="42"/>
        <v>4</v>
      </c>
      <c r="S22" s="63">
        <f t="shared" si="10"/>
        <v>10000</v>
      </c>
      <c r="T22" s="63">
        <f t="shared" si="43"/>
        <v>10000</v>
      </c>
      <c r="U22" s="63">
        <f t="shared" si="12"/>
        <v>0</v>
      </c>
      <c r="V22" s="63">
        <f t="shared" si="44"/>
        <v>0</v>
      </c>
      <c r="W22" s="63">
        <f t="shared" si="45"/>
        <v>0</v>
      </c>
      <c r="X22" s="63">
        <f t="shared" si="46"/>
        <v>0</v>
      </c>
      <c r="Y22" s="63">
        <f t="shared" si="47"/>
        <v>0</v>
      </c>
      <c r="Z22" s="63">
        <f t="shared" si="48"/>
        <v>0</v>
      </c>
      <c r="AA22" s="63"/>
      <c r="AB22" s="63"/>
      <c r="AC22" s="63">
        <f t="shared" si="18"/>
        <v>0</v>
      </c>
      <c r="AD22" s="63">
        <f t="shared" si="49"/>
        <v>0</v>
      </c>
      <c r="AE22" s="63"/>
      <c r="AF22" s="63"/>
      <c r="AG22" s="63">
        <f t="shared" si="2"/>
        <v>5</v>
      </c>
      <c r="AH22" s="63">
        <f t="shared" si="50"/>
        <v>5</v>
      </c>
      <c r="AL22" s="25">
        <v>15</v>
      </c>
      <c r="AM22" s="77">
        <f t="shared" si="21"/>
        <v>4290</v>
      </c>
      <c r="AN22" s="77">
        <f t="shared" si="22"/>
        <v>0</v>
      </c>
      <c r="AO22" s="77">
        <f t="shared" si="23"/>
        <v>1000</v>
      </c>
      <c r="AP22" s="77">
        <f t="shared" si="24"/>
        <v>4110000</v>
      </c>
      <c r="AQ22" s="77">
        <f t="shared" si="25"/>
        <v>0</v>
      </c>
      <c r="AR22" s="52"/>
      <c r="AS22" s="77">
        <f t="shared" si="26"/>
        <v>0</v>
      </c>
      <c r="AT22" s="77">
        <f t="shared" si="27"/>
        <v>0</v>
      </c>
      <c r="AU22" s="77">
        <f t="shared" si="28"/>
        <v>700</v>
      </c>
      <c r="AV22" s="72"/>
      <c r="AX22" s="54">
        <f>AM22/'[1]功能-推荐任务'!D73</f>
        <v>14.3</v>
      </c>
      <c r="AY22" s="54" t="e">
        <f>AN22/'[1]功能-推荐任务'!E73</f>
        <v>#DIV/0!</v>
      </c>
      <c r="AZ22" s="54">
        <f>AO22/'[1]功能-推荐任务'!F73</f>
        <v>10</v>
      </c>
      <c r="BA22" s="54">
        <f>AP22/'[1]功能-推荐任务'!G73</f>
        <v>2.0048780487804878</v>
      </c>
      <c r="BB22" s="54">
        <f>AQ22/'[1]功能-推荐任务'!H73</f>
        <v>0</v>
      </c>
      <c r="BC22" s="37"/>
      <c r="BD22" s="54" t="e">
        <f>AS22/'[1]功能-推荐任务'!J73</f>
        <v>#DIV/0!</v>
      </c>
    </row>
    <row r="23" spans="1:57" x14ac:dyDescent="0.15">
      <c r="B23" s="79" t="str">
        <f t="shared" si="3"/>
        <v/>
      </c>
      <c r="C23" s="85"/>
      <c r="D23" s="75">
        <f>INDEX(节奏总纲!$AM$4:$AM$83,$F23)</f>
        <v>2.3963093307967063E-2</v>
      </c>
      <c r="E23" s="75">
        <f>求节点(节奏总纲!$P$4:$P$163,节奏总纲!$O$4:$O$163,$D23)</f>
        <v>0.33387121731586833</v>
      </c>
      <c r="F23" s="64">
        <v>2</v>
      </c>
      <c r="G23" s="85"/>
      <c r="H23" s="63" t="s">
        <v>342</v>
      </c>
      <c r="I23" s="63"/>
      <c r="J23" s="63"/>
      <c r="K23" s="63"/>
      <c r="M23" s="63">
        <f t="shared" si="4"/>
        <v>20</v>
      </c>
      <c r="N23" s="63">
        <f t="shared" si="40"/>
        <v>20</v>
      </c>
      <c r="O23" s="63">
        <f t="shared" si="6"/>
        <v>0</v>
      </c>
      <c r="P23" s="63">
        <f t="shared" si="41"/>
        <v>0</v>
      </c>
      <c r="Q23" s="63">
        <f t="shared" si="8"/>
        <v>4</v>
      </c>
      <c r="R23" s="63">
        <f t="shared" si="42"/>
        <v>4</v>
      </c>
      <c r="S23" s="63">
        <f t="shared" si="10"/>
        <v>10000</v>
      </c>
      <c r="T23" s="63">
        <f t="shared" si="43"/>
        <v>10000</v>
      </c>
      <c r="U23" s="63">
        <f t="shared" si="12"/>
        <v>0</v>
      </c>
      <c r="V23" s="63">
        <f t="shared" si="44"/>
        <v>0</v>
      </c>
      <c r="W23" s="63">
        <f t="shared" si="45"/>
        <v>0</v>
      </c>
      <c r="X23" s="63">
        <f t="shared" si="46"/>
        <v>0</v>
      </c>
      <c r="Y23" s="63">
        <f t="shared" si="47"/>
        <v>0</v>
      </c>
      <c r="Z23" s="63">
        <f t="shared" si="48"/>
        <v>0</v>
      </c>
      <c r="AA23" s="63"/>
      <c r="AB23" s="63"/>
      <c r="AC23" s="63">
        <f t="shared" si="18"/>
        <v>0</v>
      </c>
      <c r="AD23" s="63">
        <f t="shared" si="49"/>
        <v>0</v>
      </c>
      <c r="AE23" s="63"/>
      <c r="AF23" s="63"/>
      <c r="AG23" s="63">
        <f t="shared" si="2"/>
        <v>5</v>
      </c>
      <c r="AH23" s="63">
        <f t="shared" si="50"/>
        <v>5</v>
      </c>
      <c r="AL23" s="25">
        <v>16</v>
      </c>
      <c r="AM23" s="77">
        <f t="shared" si="21"/>
        <v>4610</v>
      </c>
      <c r="AN23" s="77">
        <f t="shared" si="22"/>
        <v>0</v>
      </c>
      <c r="AO23" s="77">
        <f t="shared" si="23"/>
        <v>1080</v>
      </c>
      <c r="AP23" s="77">
        <f t="shared" si="24"/>
        <v>4670000</v>
      </c>
      <c r="AQ23" s="77">
        <f t="shared" si="25"/>
        <v>0</v>
      </c>
      <c r="AR23" s="52"/>
      <c r="AS23" s="77">
        <f t="shared" si="26"/>
        <v>0</v>
      </c>
      <c r="AT23" s="77">
        <f t="shared" si="27"/>
        <v>0</v>
      </c>
      <c r="AU23" s="77">
        <f t="shared" si="28"/>
        <v>740</v>
      </c>
      <c r="AV23" s="72"/>
      <c r="AX23" s="54">
        <f>AM23/'[1]功能-推荐任务'!D74</f>
        <v>15.366666666666667</v>
      </c>
      <c r="AY23" s="54" t="e">
        <f>AN23/'[1]功能-推荐任务'!E74</f>
        <v>#DIV/0!</v>
      </c>
      <c r="AZ23" s="54">
        <f>AO23/'[1]功能-推荐任务'!F74</f>
        <v>10.8</v>
      </c>
      <c r="BA23" s="54">
        <f>AP23/'[1]功能-推荐任务'!G74</f>
        <v>2.2780487804878047</v>
      </c>
      <c r="BB23" s="54">
        <f>AQ23/'[1]功能-推荐任务'!H74</f>
        <v>0</v>
      </c>
      <c r="BC23" s="37"/>
      <c r="BD23" s="54" t="e">
        <f>AS23/'[1]功能-推荐任务'!J74</f>
        <v>#DIV/0!</v>
      </c>
    </row>
    <row r="24" spans="1:57" x14ac:dyDescent="0.15">
      <c r="B24" s="79">
        <f t="shared" si="3"/>
        <v>10</v>
      </c>
      <c r="C24" s="85"/>
      <c r="D24" s="75">
        <f>INDEX(节奏总纲!$AM$4:$AM$83,$F24)</f>
        <v>5.1571656651039799E-2</v>
      </c>
      <c r="E24" s="75">
        <f>求节点(节奏总纲!$P$4:$P$163,节奏总纲!$O$4:$O$163,$D24)</f>
        <v>0.71853377040242361</v>
      </c>
      <c r="F24" s="64">
        <v>3</v>
      </c>
      <c r="G24" s="85"/>
      <c r="H24" s="63" t="s">
        <v>363</v>
      </c>
      <c r="I24" s="63"/>
      <c r="J24" s="63"/>
      <c r="K24" s="63"/>
      <c r="M24" s="63">
        <f t="shared" si="4"/>
        <v>20</v>
      </c>
      <c r="N24" s="63">
        <f t="shared" si="40"/>
        <v>20</v>
      </c>
      <c r="O24" s="63">
        <f t="shared" si="6"/>
        <v>0</v>
      </c>
      <c r="P24" s="63">
        <f t="shared" si="41"/>
        <v>0</v>
      </c>
      <c r="Q24" s="63">
        <f t="shared" si="8"/>
        <v>5</v>
      </c>
      <c r="R24" s="63">
        <f t="shared" si="42"/>
        <v>5</v>
      </c>
      <c r="S24" s="63">
        <f t="shared" si="10"/>
        <v>10000</v>
      </c>
      <c r="T24" s="63">
        <f t="shared" si="43"/>
        <v>10000</v>
      </c>
      <c r="U24" s="63">
        <f t="shared" si="12"/>
        <v>0</v>
      </c>
      <c r="V24" s="63">
        <f t="shared" si="44"/>
        <v>0</v>
      </c>
      <c r="W24" s="63">
        <f t="shared" si="45"/>
        <v>0</v>
      </c>
      <c r="X24" s="63">
        <f t="shared" si="46"/>
        <v>0</v>
      </c>
      <c r="Y24" s="63">
        <f t="shared" si="47"/>
        <v>0</v>
      </c>
      <c r="Z24" s="63">
        <f t="shared" si="48"/>
        <v>0</v>
      </c>
      <c r="AA24" s="63"/>
      <c r="AB24" s="63"/>
      <c r="AC24" s="63">
        <f t="shared" si="18"/>
        <v>0</v>
      </c>
      <c r="AD24" s="63">
        <f t="shared" si="49"/>
        <v>0</v>
      </c>
      <c r="AE24" s="63"/>
      <c r="AF24" s="63"/>
      <c r="AG24" s="63">
        <f t="shared" si="2"/>
        <v>5</v>
      </c>
      <c r="AH24" s="63">
        <f t="shared" si="50"/>
        <v>5</v>
      </c>
      <c r="AL24" s="25">
        <v>17</v>
      </c>
      <c r="AM24" s="77">
        <f t="shared" si="21"/>
        <v>4930</v>
      </c>
      <c r="AN24" s="77">
        <f t="shared" si="22"/>
        <v>0</v>
      </c>
      <c r="AO24" s="77">
        <f t="shared" si="23"/>
        <v>1168</v>
      </c>
      <c r="AP24" s="77">
        <f t="shared" si="24"/>
        <v>5310000</v>
      </c>
      <c r="AQ24" s="77">
        <f t="shared" si="25"/>
        <v>0</v>
      </c>
      <c r="AR24" s="52"/>
      <c r="AS24" s="77">
        <f t="shared" si="26"/>
        <v>0</v>
      </c>
      <c r="AT24" s="77">
        <f t="shared" si="27"/>
        <v>0</v>
      </c>
      <c r="AU24" s="77">
        <f t="shared" si="28"/>
        <v>780</v>
      </c>
      <c r="AV24" s="72"/>
      <c r="AX24" s="54">
        <f>AM24/'[1]功能-推荐任务'!D75</f>
        <v>16.433333333333334</v>
      </c>
      <c r="AY24" s="54" t="e">
        <f>AN24/'[1]功能-推荐任务'!E75</f>
        <v>#DIV/0!</v>
      </c>
      <c r="AZ24" s="54">
        <f>AO24/'[1]功能-推荐任务'!F75</f>
        <v>11.68</v>
      </c>
      <c r="BA24" s="54">
        <f>AP24/'[1]功能-推荐任务'!G75</f>
        <v>2.5902439024390245</v>
      </c>
      <c r="BB24" s="54">
        <f>AQ24/'[1]功能-推荐任务'!H75</f>
        <v>0</v>
      </c>
      <c r="BC24" s="37"/>
      <c r="BD24" s="54" t="e">
        <f>AS24/'[1]功能-推荐任务'!J75</f>
        <v>#DIV/0!</v>
      </c>
    </row>
    <row r="25" spans="1:57" x14ac:dyDescent="0.15">
      <c r="B25" s="79" t="str">
        <f t="shared" si="3"/>
        <v/>
      </c>
      <c r="C25" s="85"/>
      <c r="D25" s="75">
        <f>INDEX(节奏总纲!$AM$4:$AM$83,$F25)</f>
        <v>5.1571656651039799E-2</v>
      </c>
      <c r="E25" s="75">
        <f>求节点(节奏总纲!$P$4:$P$163,节奏总纲!$O$4:$O$163,$D25)</f>
        <v>0.71853377040242361</v>
      </c>
      <c r="F25" s="64">
        <v>3</v>
      </c>
      <c r="G25" s="85"/>
      <c r="H25" s="63" t="s">
        <v>609</v>
      </c>
      <c r="I25" s="63"/>
      <c r="J25" s="63"/>
      <c r="K25" s="63"/>
      <c r="M25" s="63">
        <f t="shared" si="4"/>
        <v>20</v>
      </c>
      <c r="N25" s="63">
        <f t="shared" si="40"/>
        <v>20</v>
      </c>
      <c r="O25" s="63">
        <f t="shared" si="6"/>
        <v>0</v>
      </c>
      <c r="P25" s="63">
        <f t="shared" si="41"/>
        <v>0</v>
      </c>
      <c r="Q25" s="63">
        <f t="shared" si="8"/>
        <v>5</v>
      </c>
      <c r="R25" s="63">
        <f t="shared" si="42"/>
        <v>5</v>
      </c>
      <c r="S25" s="63">
        <f t="shared" si="10"/>
        <v>10000</v>
      </c>
      <c r="T25" s="63">
        <f t="shared" si="43"/>
        <v>10000</v>
      </c>
      <c r="U25" s="63">
        <f t="shared" si="12"/>
        <v>0</v>
      </c>
      <c r="V25" s="63">
        <f t="shared" si="44"/>
        <v>0</v>
      </c>
      <c r="W25" s="63">
        <f t="shared" si="45"/>
        <v>0</v>
      </c>
      <c r="X25" s="63">
        <f t="shared" si="46"/>
        <v>0</v>
      </c>
      <c r="Y25" s="63">
        <f t="shared" si="47"/>
        <v>0</v>
      </c>
      <c r="Z25" s="63">
        <f t="shared" si="48"/>
        <v>0</v>
      </c>
      <c r="AA25" s="63"/>
      <c r="AB25" s="63"/>
      <c r="AC25" s="63">
        <f t="shared" si="18"/>
        <v>0</v>
      </c>
      <c r="AD25" s="63">
        <f t="shared" si="49"/>
        <v>0</v>
      </c>
      <c r="AE25" s="63"/>
      <c r="AF25" s="63"/>
      <c r="AG25" s="63">
        <f t="shared" si="2"/>
        <v>5</v>
      </c>
      <c r="AH25" s="63">
        <f t="shared" si="50"/>
        <v>5</v>
      </c>
      <c r="AL25" s="25">
        <v>18</v>
      </c>
      <c r="AM25" s="77">
        <f t="shared" si="21"/>
        <v>5250</v>
      </c>
      <c r="AN25" s="77">
        <f t="shared" si="22"/>
        <v>0</v>
      </c>
      <c r="AO25" s="77">
        <f t="shared" si="23"/>
        <v>1256</v>
      </c>
      <c r="AP25" s="77">
        <f t="shared" si="24"/>
        <v>6030000</v>
      </c>
      <c r="AQ25" s="77">
        <f t="shared" si="25"/>
        <v>0</v>
      </c>
      <c r="AR25" s="52"/>
      <c r="AS25" s="77">
        <f t="shared" si="26"/>
        <v>0</v>
      </c>
      <c r="AT25" s="77">
        <f t="shared" si="27"/>
        <v>0</v>
      </c>
      <c r="AU25" s="77">
        <f t="shared" si="28"/>
        <v>820</v>
      </c>
      <c r="AV25" s="72"/>
      <c r="AX25" s="54">
        <f>AM25/'[1]功能-推荐任务'!D76</f>
        <v>17.5</v>
      </c>
      <c r="AY25" s="54" t="e">
        <f>AN25/'[1]功能-推荐任务'!E76</f>
        <v>#DIV/0!</v>
      </c>
      <c r="AZ25" s="54">
        <f>AO25/'[1]功能-推荐任务'!F76</f>
        <v>12.56</v>
      </c>
      <c r="BA25" s="54">
        <f>AP25/'[1]功能-推荐任务'!G76</f>
        <v>2.9414634146341463</v>
      </c>
      <c r="BB25" s="54">
        <f>AQ25/'[1]功能-推荐任务'!H76</f>
        <v>0</v>
      </c>
      <c r="BC25" s="37"/>
      <c r="BD25" s="54" t="e">
        <f>AS25/'[1]功能-推荐任务'!J76</f>
        <v>#DIV/0!</v>
      </c>
    </row>
    <row r="26" spans="1:57" x14ac:dyDescent="0.15">
      <c r="B26" s="79" t="str">
        <f t="shared" si="3"/>
        <v/>
      </c>
      <c r="C26" s="85"/>
      <c r="D26" s="75">
        <f>INDEX(节奏总纲!$AM$4:$AM$83,$F26)</f>
        <v>5.1571656651039799E-2</v>
      </c>
      <c r="E26" s="75">
        <f>求节点(节奏总纲!$P$4:$P$163,节奏总纲!$O$4:$O$163,$D26)</f>
        <v>0.71853377040242361</v>
      </c>
      <c r="F26" s="64">
        <v>3</v>
      </c>
      <c r="G26" s="85"/>
      <c r="H26" s="63" t="s">
        <v>365</v>
      </c>
      <c r="I26" s="63"/>
      <c r="J26" s="63"/>
      <c r="K26" s="63"/>
      <c r="M26" s="63">
        <f t="shared" si="4"/>
        <v>20</v>
      </c>
      <c r="N26" s="63">
        <f t="shared" si="40"/>
        <v>20</v>
      </c>
      <c r="O26" s="63">
        <f t="shared" si="6"/>
        <v>0</v>
      </c>
      <c r="P26" s="63">
        <f t="shared" si="41"/>
        <v>0</v>
      </c>
      <c r="Q26" s="63">
        <f t="shared" si="8"/>
        <v>5</v>
      </c>
      <c r="R26" s="63">
        <f t="shared" si="42"/>
        <v>5</v>
      </c>
      <c r="S26" s="63">
        <f t="shared" si="10"/>
        <v>10000</v>
      </c>
      <c r="T26" s="63">
        <f t="shared" si="43"/>
        <v>10000</v>
      </c>
      <c r="U26" s="63">
        <f t="shared" si="12"/>
        <v>0</v>
      </c>
      <c r="V26" s="63">
        <f t="shared" si="44"/>
        <v>0</v>
      </c>
      <c r="W26" s="63">
        <f t="shared" si="45"/>
        <v>0</v>
      </c>
      <c r="X26" s="63">
        <f t="shared" si="46"/>
        <v>0</v>
      </c>
      <c r="Y26" s="63">
        <f t="shared" si="47"/>
        <v>0</v>
      </c>
      <c r="Z26" s="63">
        <f t="shared" si="48"/>
        <v>0</v>
      </c>
      <c r="AA26" s="63"/>
      <c r="AB26" s="63"/>
      <c r="AC26" s="63">
        <f t="shared" si="18"/>
        <v>0</v>
      </c>
      <c r="AD26" s="63">
        <f t="shared" si="49"/>
        <v>0</v>
      </c>
      <c r="AE26" s="63"/>
      <c r="AF26" s="63"/>
      <c r="AG26" s="63">
        <f t="shared" si="2"/>
        <v>5</v>
      </c>
      <c r="AH26" s="63">
        <f t="shared" si="50"/>
        <v>5</v>
      </c>
      <c r="AL26" s="25">
        <v>19</v>
      </c>
      <c r="AM26" s="77">
        <f t="shared" si="21"/>
        <v>5570</v>
      </c>
      <c r="AN26" s="77">
        <f t="shared" si="22"/>
        <v>0</v>
      </c>
      <c r="AO26" s="77">
        <f t="shared" si="23"/>
        <v>1344</v>
      </c>
      <c r="AP26" s="77">
        <f t="shared" si="24"/>
        <v>6830000</v>
      </c>
      <c r="AQ26" s="77">
        <f t="shared" si="25"/>
        <v>0</v>
      </c>
      <c r="AR26" s="52"/>
      <c r="AS26" s="77">
        <f t="shared" si="26"/>
        <v>0</v>
      </c>
      <c r="AT26" s="77">
        <f t="shared" si="27"/>
        <v>0</v>
      </c>
      <c r="AU26" s="77">
        <f t="shared" si="28"/>
        <v>860</v>
      </c>
      <c r="AV26" s="72"/>
      <c r="AX26" s="54">
        <f>AM26/'[1]功能-推荐任务'!D77</f>
        <v>18.566666666666666</v>
      </c>
      <c r="AY26" s="54" t="e">
        <f>AN26/'[1]功能-推荐任务'!E77</f>
        <v>#DIV/0!</v>
      </c>
      <c r="AZ26" s="54">
        <f>AO26/'[1]功能-推荐任务'!F77</f>
        <v>13.44</v>
      </c>
      <c r="BA26" s="54">
        <f>AP26/'[1]功能-推荐任务'!G77</f>
        <v>3.3317073170731706</v>
      </c>
      <c r="BB26" s="54">
        <f>AQ26/'[1]功能-推荐任务'!H77</f>
        <v>0</v>
      </c>
      <c r="BC26" s="37"/>
      <c r="BD26" s="54" t="e">
        <f>AS26/'[1]功能-推荐任务'!J77</f>
        <v>#DIV/0!</v>
      </c>
    </row>
    <row r="27" spans="1:57" s="25" customFormat="1" x14ac:dyDescent="0.15">
      <c r="A27" s="40"/>
      <c r="B27" s="79" t="str">
        <f t="shared" si="3"/>
        <v/>
      </c>
      <c r="C27" s="85"/>
      <c r="D27" s="75">
        <f>INDEX(节奏总纲!$AM$4:$AM$83,$F27)</f>
        <v>5.1571656651039799E-2</v>
      </c>
      <c r="E27" s="75">
        <f>求节点(节奏总纲!$P$4:$P$163,节奏总纲!$O$4:$O$163,$D27)</f>
        <v>0.71853377040242361</v>
      </c>
      <c r="F27" s="64">
        <v>3</v>
      </c>
      <c r="G27" s="85"/>
      <c r="H27" s="63" t="s">
        <v>611</v>
      </c>
      <c r="I27" s="63"/>
      <c r="J27" s="63"/>
      <c r="K27" s="63"/>
      <c r="L27" s="40"/>
      <c r="M27" s="63">
        <f t="shared" si="4"/>
        <v>20</v>
      </c>
      <c r="N27" s="63">
        <f t="shared" si="40"/>
        <v>20</v>
      </c>
      <c r="O27" s="63">
        <f t="shared" si="6"/>
        <v>0</v>
      </c>
      <c r="P27" s="63">
        <f t="shared" si="41"/>
        <v>0</v>
      </c>
      <c r="Q27" s="63">
        <f t="shared" si="8"/>
        <v>5</v>
      </c>
      <c r="R27" s="63">
        <f t="shared" si="42"/>
        <v>5</v>
      </c>
      <c r="S27" s="63">
        <f t="shared" si="10"/>
        <v>10000</v>
      </c>
      <c r="T27" s="63">
        <f t="shared" si="43"/>
        <v>10000</v>
      </c>
      <c r="U27" s="63">
        <f t="shared" si="12"/>
        <v>0</v>
      </c>
      <c r="V27" s="63">
        <f t="shared" si="44"/>
        <v>0</v>
      </c>
      <c r="W27" s="63">
        <f t="shared" si="45"/>
        <v>0</v>
      </c>
      <c r="X27" s="63">
        <f t="shared" si="46"/>
        <v>0</v>
      </c>
      <c r="Y27" s="63">
        <f t="shared" si="47"/>
        <v>0</v>
      </c>
      <c r="Z27" s="63">
        <f t="shared" si="48"/>
        <v>0</v>
      </c>
      <c r="AA27" s="63"/>
      <c r="AB27" s="63"/>
      <c r="AC27" s="63">
        <f t="shared" si="18"/>
        <v>0</v>
      </c>
      <c r="AD27" s="63">
        <f t="shared" si="49"/>
        <v>0</v>
      </c>
      <c r="AE27" s="63"/>
      <c r="AF27" s="63"/>
      <c r="AG27" s="63">
        <f t="shared" si="2"/>
        <v>5</v>
      </c>
      <c r="AH27" s="63">
        <f t="shared" si="50"/>
        <v>5</v>
      </c>
      <c r="AI27" s="38"/>
      <c r="AJ27" s="22"/>
      <c r="AL27" s="25">
        <v>20</v>
      </c>
      <c r="AM27" s="77">
        <f t="shared" si="21"/>
        <v>5890</v>
      </c>
      <c r="AN27" s="77">
        <f t="shared" si="22"/>
        <v>0</v>
      </c>
      <c r="AO27" s="77">
        <f t="shared" si="23"/>
        <v>1440</v>
      </c>
      <c r="AP27" s="77">
        <f t="shared" si="24"/>
        <v>7630000</v>
      </c>
      <c r="AQ27" s="77">
        <f t="shared" si="25"/>
        <v>0</v>
      </c>
      <c r="AR27" s="52"/>
      <c r="AS27" s="77">
        <f t="shared" si="26"/>
        <v>0</v>
      </c>
      <c r="AT27" s="77">
        <f t="shared" si="27"/>
        <v>0</v>
      </c>
      <c r="AU27" s="77">
        <f t="shared" si="28"/>
        <v>900</v>
      </c>
      <c r="AV27" s="72"/>
      <c r="AW27" s="35"/>
      <c r="AX27" s="54">
        <f>AM27/'[1]功能-推荐任务'!D78</f>
        <v>19.633333333333333</v>
      </c>
      <c r="AY27" s="54" t="e">
        <f>AN27/'[1]功能-推荐任务'!E78</f>
        <v>#DIV/0!</v>
      </c>
      <c r="AZ27" s="54">
        <f>AO27/'[1]功能-推荐任务'!F78</f>
        <v>14.4</v>
      </c>
      <c r="BA27" s="54">
        <f>AP27/'[1]功能-推荐任务'!G78</f>
        <v>3.7219512195121953</v>
      </c>
      <c r="BB27" s="54">
        <f>AQ27/'[1]功能-推荐任务'!H78</f>
        <v>0</v>
      </c>
      <c r="BC27" s="37"/>
      <c r="BD27" s="54" t="e">
        <f>AS27/'[1]功能-推荐任务'!J78</f>
        <v>#DIV/0!</v>
      </c>
      <c r="BE27" s="35"/>
    </row>
    <row r="28" spans="1:57" s="25" customFormat="1" x14ac:dyDescent="0.15">
      <c r="A28" s="40"/>
      <c r="B28" s="79" t="str">
        <f t="shared" si="3"/>
        <v/>
      </c>
      <c r="C28" s="85"/>
      <c r="D28" s="75">
        <f>INDEX(节奏总纲!$AM$4:$AM$83,$F28)</f>
        <v>5.1571656651039799E-2</v>
      </c>
      <c r="E28" s="75">
        <f>求节点(节奏总纲!$P$4:$P$163,节奏总纲!$O$4:$O$163,$D28)</f>
        <v>0.71853377040242361</v>
      </c>
      <c r="F28" s="64">
        <v>3</v>
      </c>
      <c r="G28" s="85"/>
      <c r="H28" s="63" t="s">
        <v>483</v>
      </c>
      <c r="I28" s="63"/>
      <c r="J28" s="63"/>
      <c r="K28" s="63"/>
      <c r="L28" s="40"/>
      <c r="M28" s="60">
        <f t="shared" si="4"/>
        <v>20</v>
      </c>
      <c r="N28" s="60">
        <f t="shared" si="5"/>
        <v>20</v>
      </c>
      <c r="O28" s="60">
        <f t="shared" si="6"/>
        <v>0</v>
      </c>
      <c r="P28" s="60">
        <f t="shared" si="7"/>
        <v>0</v>
      </c>
      <c r="Q28" s="60">
        <f t="shared" si="8"/>
        <v>5</v>
      </c>
      <c r="R28" s="60">
        <f t="shared" si="9"/>
        <v>5</v>
      </c>
      <c r="S28" s="60">
        <f t="shared" si="10"/>
        <v>10000</v>
      </c>
      <c r="T28" s="60">
        <f t="shared" si="11"/>
        <v>10000</v>
      </c>
      <c r="U28" s="60">
        <f t="shared" si="12"/>
        <v>0</v>
      </c>
      <c r="V28" s="60">
        <f t="shared" si="13"/>
        <v>0</v>
      </c>
      <c r="W28" s="60">
        <f t="shared" si="14"/>
        <v>0</v>
      </c>
      <c r="X28" s="60">
        <f t="shared" si="15"/>
        <v>0</v>
      </c>
      <c r="Y28" s="60">
        <f t="shared" si="16"/>
        <v>0</v>
      </c>
      <c r="Z28" s="60">
        <f t="shared" si="17"/>
        <v>0</v>
      </c>
      <c r="AA28" s="42"/>
      <c r="AB28" s="42"/>
      <c r="AC28" s="60">
        <f t="shared" si="18"/>
        <v>0</v>
      </c>
      <c r="AD28" s="60">
        <f t="shared" si="19"/>
        <v>0</v>
      </c>
      <c r="AE28" s="42"/>
      <c r="AF28" s="42"/>
      <c r="AG28" s="60">
        <f t="shared" si="2"/>
        <v>5</v>
      </c>
      <c r="AH28" s="60">
        <f t="shared" si="20"/>
        <v>5</v>
      </c>
      <c r="AI28" s="38"/>
      <c r="AJ28" s="22"/>
      <c r="AL28" s="25">
        <v>21</v>
      </c>
      <c r="AM28" s="77">
        <f t="shared" si="21"/>
        <v>6250</v>
      </c>
      <c r="AN28" s="77">
        <f t="shared" si="22"/>
        <v>0</v>
      </c>
      <c r="AO28" s="77">
        <f t="shared" si="23"/>
        <v>1548</v>
      </c>
      <c r="AP28" s="77">
        <f t="shared" si="24"/>
        <v>8620000</v>
      </c>
      <c r="AQ28" s="77">
        <f t="shared" si="25"/>
        <v>0</v>
      </c>
      <c r="AR28" s="52"/>
      <c r="AS28" s="77">
        <f t="shared" si="26"/>
        <v>0</v>
      </c>
      <c r="AT28" s="77">
        <f t="shared" si="27"/>
        <v>0</v>
      </c>
      <c r="AU28" s="77">
        <f t="shared" si="28"/>
        <v>945</v>
      </c>
      <c r="AV28" s="72"/>
      <c r="AW28" s="35"/>
      <c r="AX28" s="54">
        <f>AM28/'[1]功能-推荐任务'!D79</f>
        <v>20.833333333333332</v>
      </c>
      <c r="AY28" s="54" t="e">
        <f>AN28/'[1]功能-推荐任务'!E79</f>
        <v>#DIV/0!</v>
      </c>
      <c r="AZ28" s="54">
        <f>AO28/'[1]功能-推荐任务'!F79</f>
        <v>15.48</v>
      </c>
      <c r="BA28" s="54">
        <f>AP28/'[1]功能-推荐任务'!G79</f>
        <v>4.204878048780488</v>
      </c>
      <c r="BB28" s="54">
        <f>AQ28/'[1]功能-推荐任务'!H79</f>
        <v>0</v>
      </c>
      <c r="BC28" s="37"/>
      <c r="BD28" s="54" t="e">
        <f>AS28/'[1]功能-推荐任务'!J79</f>
        <v>#DIV/0!</v>
      </c>
      <c r="BE28" s="35"/>
    </row>
    <row r="29" spans="1:57" s="25" customFormat="1" x14ac:dyDescent="0.15">
      <c r="A29" s="40"/>
      <c r="B29" s="79" t="str">
        <f t="shared" si="3"/>
        <v/>
      </c>
      <c r="C29" s="85"/>
      <c r="D29" s="75">
        <f>INDEX(节奏总纲!$AM$4:$AM$83,$F29)</f>
        <v>5.1571656651039799E-2</v>
      </c>
      <c r="E29" s="75">
        <f>求节点(节奏总纲!$P$4:$P$163,节奏总纲!$O$4:$O$163,$D29)</f>
        <v>0.71853377040242361</v>
      </c>
      <c r="F29" s="64">
        <v>3</v>
      </c>
      <c r="G29" s="85"/>
      <c r="H29" s="63"/>
      <c r="I29" s="63"/>
      <c r="J29" s="63"/>
      <c r="K29" s="63"/>
      <c r="L29" s="40"/>
      <c r="M29" s="60">
        <f t="shared" si="4"/>
        <v>20</v>
      </c>
      <c r="N29" s="60">
        <f t="shared" si="5"/>
        <v>0</v>
      </c>
      <c r="O29" s="60">
        <f t="shared" si="6"/>
        <v>0</v>
      </c>
      <c r="P29" s="60">
        <f t="shared" si="7"/>
        <v>0</v>
      </c>
      <c r="Q29" s="60">
        <f t="shared" si="8"/>
        <v>5</v>
      </c>
      <c r="R29" s="60">
        <f t="shared" si="9"/>
        <v>0</v>
      </c>
      <c r="S29" s="60">
        <f t="shared" si="10"/>
        <v>10000</v>
      </c>
      <c r="T29" s="60">
        <f t="shared" si="11"/>
        <v>0</v>
      </c>
      <c r="U29" s="60">
        <f t="shared" si="12"/>
        <v>0</v>
      </c>
      <c r="V29" s="60">
        <f t="shared" si="13"/>
        <v>0</v>
      </c>
      <c r="W29" s="60">
        <f t="shared" si="14"/>
        <v>0</v>
      </c>
      <c r="X29" s="60">
        <f t="shared" si="15"/>
        <v>0</v>
      </c>
      <c r="Y29" s="60">
        <f t="shared" si="16"/>
        <v>0</v>
      </c>
      <c r="Z29" s="60">
        <f t="shared" si="17"/>
        <v>0</v>
      </c>
      <c r="AA29" s="42"/>
      <c r="AB29" s="42"/>
      <c r="AC29" s="60">
        <f t="shared" si="18"/>
        <v>0</v>
      </c>
      <c r="AD29" s="60">
        <f t="shared" si="19"/>
        <v>0</v>
      </c>
      <c r="AE29" s="42"/>
      <c r="AF29" s="42"/>
      <c r="AG29" s="60">
        <f t="shared" si="2"/>
        <v>5</v>
      </c>
      <c r="AH29" s="60">
        <f t="shared" si="20"/>
        <v>0</v>
      </c>
      <c r="AI29" s="38"/>
      <c r="AJ29" s="22"/>
      <c r="AL29" s="25">
        <v>22</v>
      </c>
      <c r="AM29" s="77">
        <f t="shared" si="21"/>
        <v>6610</v>
      </c>
      <c r="AN29" s="77">
        <f t="shared" si="22"/>
        <v>0</v>
      </c>
      <c r="AO29" s="77">
        <f t="shared" si="23"/>
        <v>1656</v>
      </c>
      <c r="AP29" s="77">
        <f t="shared" si="24"/>
        <v>9700000</v>
      </c>
      <c r="AQ29" s="77">
        <f t="shared" si="25"/>
        <v>0</v>
      </c>
      <c r="AR29" s="52"/>
      <c r="AS29" s="77">
        <f t="shared" si="26"/>
        <v>0</v>
      </c>
      <c r="AT29" s="77">
        <f t="shared" si="27"/>
        <v>0</v>
      </c>
      <c r="AU29" s="77">
        <f t="shared" si="28"/>
        <v>990</v>
      </c>
      <c r="AV29" s="72"/>
      <c r="AW29" s="35"/>
      <c r="AX29" s="54">
        <f>AM29/'[1]功能-推荐任务'!D80</f>
        <v>22.033333333333335</v>
      </c>
      <c r="AY29" s="54" t="e">
        <f>AN29/'[1]功能-推荐任务'!E80</f>
        <v>#DIV/0!</v>
      </c>
      <c r="AZ29" s="54">
        <f>AO29/'[1]功能-推荐任务'!F80</f>
        <v>16.559999999999999</v>
      </c>
      <c r="BA29" s="54">
        <f>AP29/'[1]功能-推荐任务'!G80</f>
        <v>4.7317073170731705</v>
      </c>
      <c r="BB29" s="54">
        <f>AQ29/'[1]功能-推荐任务'!H80</f>
        <v>0</v>
      </c>
      <c r="BC29" s="37"/>
      <c r="BD29" s="54" t="e">
        <f>AS29/'[1]功能-推荐任务'!J80</f>
        <v>#DIV/0!</v>
      </c>
      <c r="BE29" s="35"/>
    </row>
    <row r="30" spans="1:57" s="25" customFormat="1" x14ac:dyDescent="0.15">
      <c r="A30" s="40"/>
      <c r="B30" s="79" t="str">
        <f t="shared" si="3"/>
        <v/>
      </c>
      <c r="C30" s="85"/>
      <c r="D30" s="75">
        <f>INDEX(节奏总纲!$AM$4:$AM$83,$F30)</f>
        <v>5.1571656651039799E-2</v>
      </c>
      <c r="E30" s="75">
        <f>求节点(节奏总纲!$P$4:$P$163,节奏总纲!$O$4:$O$163,$D30)</f>
        <v>0.71853377040242361</v>
      </c>
      <c r="F30" s="64">
        <v>3</v>
      </c>
      <c r="G30" s="85"/>
      <c r="H30" s="63" t="s">
        <v>366</v>
      </c>
      <c r="I30" s="63"/>
      <c r="J30" s="63"/>
      <c r="K30" s="63"/>
      <c r="L30" s="40"/>
      <c r="M30" s="60">
        <f t="shared" si="4"/>
        <v>20</v>
      </c>
      <c r="N30" s="60">
        <f t="shared" si="5"/>
        <v>20</v>
      </c>
      <c r="O30" s="60">
        <f t="shared" si="6"/>
        <v>0</v>
      </c>
      <c r="P30" s="60">
        <f t="shared" si="7"/>
        <v>0</v>
      </c>
      <c r="Q30" s="60">
        <f t="shared" si="8"/>
        <v>5</v>
      </c>
      <c r="R30" s="60">
        <f t="shared" si="9"/>
        <v>5</v>
      </c>
      <c r="S30" s="60">
        <f t="shared" si="10"/>
        <v>10000</v>
      </c>
      <c r="T30" s="60">
        <f t="shared" si="11"/>
        <v>10000</v>
      </c>
      <c r="U30" s="60">
        <f t="shared" si="12"/>
        <v>0</v>
      </c>
      <c r="V30" s="60">
        <f t="shared" si="13"/>
        <v>0</v>
      </c>
      <c r="W30" s="60">
        <f t="shared" si="14"/>
        <v>0</v>
      </c>
      <c r="X30" s="60">
        <f t="shared" si="15"/>
        <v>0</v>
      </c>
      <c r="Y30" s="60">
        <f t="shared" si="16"/>
        <v>0</v>
      </c>
      <c r="Z30" s="60">
        <f t="shared" si="17"/>
        <v>0</v>
      </c>
      <c r="AA30" s="42"/>
      <c r="AB30" s="42"/>
      <c r="AC30" s="60">
        <f t="shared" si="18"/>
        <v>0</v>
      </c>
      <c r="AD30" s="60">
        <f t="shared" si="19"/>
        <v>0</v>
      </c>
      <c r="AE30" s="42"/>
      <c r="AF30" s="42"/>
      <c r="AG30" s="60">
        <f t="shared" si="2"/>
        <v>5</v>
      </c>
      <c r="AH30" s="60">
        <f t="shared" si="20"/>
        <v>5</v>
      </c>
      <c r="AI30" s="38"/>
      <c r="AJ30" s="22"/>
      <c r="AL30" s="25">
        <v>23</v>
      </c>
      <c r="AM30" s="77">
        <f t="shared" si="21"/>
        <v>6770</v>
      </c>
      <c r="AN30" s="77">
        <f t="shared" si="22"/>
        <v>0</v>
      </c>
      <c r="AO30" s="77">
        <f t="shared" si="23"/>
        <v>1704</v>
      </c>
      <c r="AP30" s="77">
        <f t="shared" si="24"/>
        <v>10220000</v>
      </c>
      <c r="AQ30" s="77">
        <f t="shared" si="25"/>
        <v>0</v>
      </c>
      <c r="AR30" s="52"/>
      <c r="AS30" s="77">
        <f t="shared" si="26"/>
        <v>0</v>
      </c>
      <c r="AT30" s="77">
        <f t="shared" si="27"/>
        <v>0</v>
      </c>
      <c r="AU30" s="77">
        <f t="shared" si="28"/>
        <v>1010</v>
      </c>
      <c r="AV30" s="72"/>
      <c r="AW30" s="35"/>
      <c r="AX30" s="54">
        <f>AM30/'[1]功能-推荐任务'!D81</f>
        <v>22.566666666666666</v>
      </c>
      <c r="AY30" s="54" t="e">
        <f>AN30/'[1]功能-推荐任务'!E81</f>
        <v>#DIV/0!</v>
      </c>
      <c r="AZ30" s="54">
        <f>AO30/'[1]功能-推荐任务'!F81</f>
        <v>17.04</v>
      </c>
      <c r="BA30" s="54">
        <f>AP30/'[1]功能-推荐任务'!G81</f>
        <v>4.9853658536585366</v>
      </c>
      <c r="BB30" s="54">
        <f>AQ30/'[1]功能-推荐任务'!H81</f>
        <v>0</v>
      </c>
      <c r="BC30" s="37"/>
      <c r="BD30" s="54" t="e">
        <f>AS30/'[1]功能-推荐任务'!J81</f>
        <v>#DIV/0!</v>
      </c>
      <c r="BE30" s="35"/>
    </row>
    <row r="31" spans="1:57" s="25" customFormat="1" x14ac:dyDescent="0.15">
      <c r="A31" s="40"/>
      <c r="B31" s="79" t="str">
        <f t="shared" si="3"/>
        <v/>
      </c>
      <c r="C31" s="85"/>
      <c r="D31" s="75">
        <f>INDEX(节奏总纲!$AM$4:$AM$83,$F31)</f>
        <v>5.1571656651039799E-2</v>
      </c>
      <c r="E31" s="75">
        <f>求节点(节奏总纲!$P$4:$P$163,节奏总纲!$O$4:$O$163,$D31)</f>
        <v>0.71853377040242361</v>
      </c>
      <c r="F31" s="64">
        <v>3</v>
      </c>
      <c r="G31" s="85"/>
      <c r="H31" s="63" t="s">
        <v>367</v>
      </c>
      <c r="I31" s="63"/>
      <c r="J31" s="63"/>
      <c r="K31" s="63"/>
      <c r="L31" s="40"/>
      <c r="M31" s="60">
        <f t="shared" si="4"/>
        <v>20</v>
      </c>
      <c r="N31" s="60">
        <f t="shared" si="5"/>
        <v>20</v>
      </c>
      <c r="O31" s="60">
        <f t="shared" si="6"/>
        <v>0</v>
      </c>
      <c r="P31" s="60">
        <f t="shared" si="7"/>
        <v>0</v>
      </c>
      <c r="Q31" s="60">
        <f t="shared" si="8"/>
        <v>5</v>
      </c>
      <c r="R31" s="60">
        <f t="shared" si="9"/>
        <v>5</v>
      </c>
      <c r="S31" s="60">
        <f t="shared" si="10"/>
        <v>10000</v>
      </c>
      <c r="T31" s="60">
        <f t="shared" si="11"/>
        <v>10000</v>
      </c>
      <c r="U31" s="60">
        <f t="shared" si="12"/>
        <v>0</v>
      </c>
      <c r="V31" s="60">
        <f t="shared" si="13"/>
        <v>0</v>
      </c>
      <c r="W31" s="60">
        <f t="shared" si="14"/>
        <v>0</v>
      </c>
      <c r="X31" s="60">
        <f t="shared" si="15"/>
        <v>0</v>
      </c>
      <c r="Y31" s="60">
        <f t="shared" si="16"/>
        <v>0</v>
      </c>
      <c r="Z31" s="60">
        <f t="shared" si="17"/>
        <v>0</v>
      </c>
      <c r="AA31" s="42"/>
      <c r="AB31" s="42"/>
      <c r="AC31" s="60">
        <f t="shared" si="18"/>
        <v>0</v>
      </c>
      <c r="AD31" s="60">
        <f t="shared" si="19"/>
        <v>0</v>
      </c>
      <c r="AE31" s="42"/>
      <c r="AF31" s="42"/>
      <c r="AG31" s="60">
        <f t="shared" si="2"/>
        <v>5</v>
      </c>
      <c r="AH31" s="60">
        <f t="shared" si="20"/>
        <v>5</v>
      </c>
      <c r="AI31" s="38"/>
      <c r="AJ31" s="22"/>
      <c r="AL31" s="25">
        <v>24</v>
      </c>
      <c r="AM31" s="77">
        <f t="shared" si="21"/>
        <v>7130</v>
      </c>
      <c r="AN31" s="77">
        <f t="shared" si="22"/>
        <v>0</v>
      </c>
      <c r="AO31" s="77">
        <f t="shared" si="23"/>
        <v>1821</v>
      </c>
      <c r="AP31" s="77">
        <f t="shared" si="24"/>
        <v>11480000</v>
      </c>
      <c r="AQ31" s="77">
        <f t="shared" si="25"/>
        <v>0</v>
      </c>
      <c r="AR31" s="52"/>
      <c r="AS31" s="77">
        <f t="shared" si="26"/>
        <v>0</v>
      </c>
      <c r="AT31" s="77">
        <f t="shared" si="27"/>
        <v>0</v>
      </c>
      <c r="AU31" s="77">
        <f t="shared" si="28"/>
        <v>1055</v>
      </c>
      <c r="AV31" s="72"/>
      <c r="AW31" s="35"/>
      <c r="AX31" s="54">
        <f>AM31/'[1]功能-推荐任务'!D82</f>
        <v>23.766666666666666</v>
      </c>
      <c r="AY31" s="54" t="e">
        <f>AN31/'[1]功能-推荐任务'!E82</f>
        <v>#DIV/0!</v>
      </c>
      <c r="AZ31" s="54">
        <f>AO31/'[1]功能-推荐任务'!F82</f>
        <v>18.21</v>
      </c>
      <c r="BA31" s="54">
        <f>AP31/'[1]功能-推荐任务'!G82</f>
        <v>5.6</v>
      </c>
      <c r="BB31" s="54">
        <f>AQ31/'[1]功能-推荐任务'!H82</f>
        <v>0</v>
      </c>
      <c r="BC31" s="37"/>
      <c r="BD31" s="54" t="e">
        <f>AS31/'[1]功能-推荐任务'!J82</f>
        <v>#DIV/0!</v>
      </c>
      <c r="BE31" s="35"/>
    </row>
    <row r="32" spans="1:57" s="25" customFormat="1" x14ac:dyDescent="0.15">
      <c r="A32" s="40"/>
      <c r="B32" s="79" t="str">
        <f t="shared" si="3"/>
        <v/>
      </c>
      <c r="C32" s="85"/>
      <c r="D32" s="75">
        <f>INDEX(节奏总纲!$AM$4:$AM$83,$F32)</f>
        <v>5.1571656651039799E-2</v>
      </c>
      <c r="E32" s="75">
        <f>求节点(节奏总纲!$P$4:$P$163,节奏总纲!$O$4:$O$163,$D32)</f>
        <v>0.71853377040242361</v>
      </c>
      <c r="F32" s="40">
        <v>3</v>
      </c>
      <c r="G32" s="85"/>
      <c r="H32" s="63" t="s">
        <v>368</v>
      </c>
      <c r="I32" s="63"/>
      <c r="J32" s="63"/>
      <c r="K32" s="63"/>
      <c r="L32" s="40"/>
      <c r="M32" s="60">
        <f t="shared" si="4"/>
        <v>20</v>
      </c>
      <c r="N32" s="60">
        <f t="shared" si="5"/>
        <v>20</v>
      </c>
      <c r="O32" s="60">
        <f t="shared" si="6"/>
        <v>0</v>
      </c>
      <c r="P32" s="60">
        <f t="shared" si="7"/>
        <v>0</v>
      </c>
      <c r="Q32" s="60">
        <f t="shared" si="8"/>
        <v>5</v>
      </c>
      <c r="R32" s="60">
        <f t="shared" si="9"/>
        <v>5</v>
      </c>
      <c r="S32" s="60">
        <f t="shared" si="10"/>
        <v>10000</v>
      </c>
      <c r="T32" s="60">
        <f t="shared" si="11"/>
        <v>10000</v>
      </c>
      <c r="U32" s="60">
        <f t="shared" si="12"/>
        <v>0</v>
      </c>
      <c r="V32" s="60">
        <f t="shared" si="13"/>
        <v>0</v>
      </c>
      <c r="W32" s="60">
        <f t="shared" si="14"/>
        <v>0</v>
      </c>
      <c r="X32" s="60">
        <f t="shared" si="15"/>
        <v>0</v>
      </c>
      <c r="Y32" s="60">
        <f t="shared" si="16"/>
        <v>0</v>
      </c>
      <c r="Z32" s="60">
        <f t="shared" si="17"/>
        <v>0</v>
      </c>
      <c r="AA32" s="42"/>
      <c r="AB32" s="42"/>
      <c r="AC32" s="60">
        <f t="shared" si="18"/>
        <v>0</v>
      </c>
      <c r="AD32" s="60">
        <f t="shared" si="19"/>
        <v>0</v>
      </c>
      <c r="AE32" s="42"/>
      <c r="AF32" s="42"/>
      <c r="AG32" s="60">
        <f t="shared" si="2"/>
        <v>5</v>
      </c>
      <c r="AH32" s="60">
        <f t="shared" si="20"/>
        <v>5</v>
      </c>
      <c r="AI32" s="38"/>
      <c r="AJ32" s="22"/>
      <c r="AL32" s="25">
        <v>25</v>
      </c>
      <c r="AM32" s="77">
        <f t="shared" si="21"/>
        <v>7410</v>
      </c>
      <c r="AN32" s="77">
        <f t="shared" si="22"/>
        <v>0</v>
      </c>
      <c r="AO32" s="77">
        <f t="shared" si="23"/>
        <v>1912</v>
      </c>
      <c r="AP32" s="77">
        <f t="shared" si="24"/>
        <v>12530000</v>
      </c>
      <c r="AQ32" s="77">
        <f t="shared" si="25"/>
        <v>0</v>
      </c>
      <c r="AR32" s="52"/>
      <c r="AS32" s="77">
        <f t="shared" si="26"/>
        <v>0</v>
      </c>
      <c r="AT32" s="77">
        <f t="shared" si="27"/>
        <v>0</v>
      </c>
      <c r="AU32" s="77">
        <f t="shared" si="28"/>
        <v>1090</v>
      </c>
      <c r="AV32" s="72"/>
      <c r="AW32" s="35"/>
      <c r="AX32" s="54">
        <f>AM32/'[1]功能-推荐任务'!D83</f>
        <v>24.7</v>
      </c>
      <c r="AY32" s="54" t="e">
        <f>AN32/'[1]功能-推荐任务'!E83</f>
        <v>#DIV/0!</v>
      </c>
      <c r="AZ32" s="54">
        <f>AO32/'[1]功能-推荐任务'!F83</f>
        <v>19.12</v>
      </c>
      <c r="BA32" s="54">
        <f>AP32/'[1]功能-推荐任务'!G83</f>
        <v>6.1121951219512196</v>
      </c>
      <c r="BB32" s="54">
        <f>AQ32/'[1]功能-推荐任务'!H83</f>
        <v>0</v>
      </c>
      <c r="BC32" s="37"/>
      <c r="BD32" s="54" t="e">
        <f>AS32/'[1]功能-推荐任务'!J83</f>
        <v>#DIV/0!</v>
      </c>
      <c r="BE32" s="35"/>
    </row>
    <row r="33" spans="2:58" x14ac:dyDescent="0.15">
      <c r="B33" s="79" t="str">
        <f t="shared" si="3"/>
        <v/>
      </c>
      <c r="C33" s="85"/>
      <c r="D33" s="75">
        <f>INDEX(节奏总纲!$AM$4:$AM$83,$F33)</f>
        <v>5.1571656651039799E-2</v>
      </c>
      <c r="E33" s="75">
        <f>求节点(节奏总纲!$P$4:$P$163,节奏总纲!$O$4:$O$163,$D33)</f>
        <v>0.71853377040242361</v>
      </c>
      <c r="F33" s="40">
        <v>3</v>
      </c>
      <c r="G33" s="85"/>
      <c r="H33" s="63" t="s">
        <v>369</v>
      </c>
      <c r="I33" s="63"/>
      <c r="J33" s="63"/>
      <c r="K33" s="63"/>
      <c r="M33" s="60">
        <f t="shared" si="4"/>
        <v>20</v>
      </c>
      <c r="N33" s="60">
        <f t="shared" si="5"/>
        <v>20</v>
      </c>
      <c r="O33" s="60">
        <f t="shared" si="6"/>
        <v>0</v>
      </c>
      <c r="P33" s="60">
        <f t="shared" si="7"/>
        <v>0</v>
      </c>
      <c r="Q33" s="60">
        <f t="shared" si="8"/>
        <v>5</v>
      </c>
      <c r="R33" s="60">
        <f t="shared" si="9"/>
        <v>5</v>
      </c>
      <c r="S33" s="60">
        <f t="shared" si="10"/>
        <v>10000</v>
      </c>
      <c r="T33" s="60">
        <f t="shared" si="11"/>
        <v>10000</v>
      </c>
      <c r="U33" s="60">
        <f t="shared" si="12"/>
        <v>0</v>
      </c>
      <c r="V33" s="60">
        <f t="shared" si="13"/>
        <v>0</v>
      </c>
      <c r="W33" s="60">
        <f t="shared" si="14"/>
        <v>0</v>
      </c>
      <c r="X33" s="60">
        <f t="shared" si="15"/>
        <v>0</v>
      </c>
      <c r="Y33" s="60">
        <f t="shared" si="16"/>
        <v>0</v>
      </c>
      <c r="Z33" s="60">
        <f t="shared" si="17"/>
        <v>0</v>
      </c>
      <c r="AA33" s="42"/>
      <c r="AB33" s="42"/>
      <c r="AC33" s="60">
        <f t="shared" si="18"/>
        <v>0</v>
      </c>
      <c r="AD33" s="60">
        <f t="shared" si="19"/>
        <v>0</v>
      </c>
      <c r="AE33" s="42"/>
      <c r="AF33" s="42"/>
      <c r="AG33" s="60">
        <f t="shared" si="2"/>
        <v>5</v>
      </c>
      <c r="AH33" s="60">
        <f t="shared" si="20"/>
        <v>5</v>
      </c>
      <c r="AL33" s="25">
        <v>26</v>
      </c>
      <c r="AM33" s="77">
        <f t="shared" si="21"/>
        <v>7610</v>
      </c>
      <c r="AN33" s="77">
        <f t="shared" si="22"/>
        <v>0</v>
      </c>
      <c r="AO33" s="77">
        <f t="shared" si="23"/>
        <v>1977</v>
      </c>
      <c r="AP33" s="77">
        <f t="shared" si="24"/>
        <v>13330000</v>
      </c>
      <c r="AQ33" s="77">
        <f t="shared" si="25"/>
        <v>0</v>
      </c>
      <c r="AR33" s="52"/>
      <c r="AS33" s="77">
        <f t="shared" si="26"/>
        <v>0</v>
      </c>
      <c r="AT33" s="77">
        <f t="shared" si="27"/>
        <v>0</v>
      </c>
      <c r="AU33" s="77">
        <f t="shared" si="28"/>
        <v>1115</v>
      </c>
      <c r="AV33" s="72"/>
      <c r="AX33" s="54">
        <f>AM33/'[1]功能-推荐任务'!D84</f>
        <v>25.366666666666667</v>
      </c>
      <c r="AY33" s="54" t="e">
        <f>AN33/'[1]功能-推荐任务'!E84</f>
        <v>#DIV/0!</v>
      </c>
      <c r="AZ33" s="54">
        <f>AO33/'[1]功能-推荐任务'!F84</f>
        <v>19.77</v>
      </c>
      <c r="BA33" s="54">
        <f>AP33/'[1]功能-推荐任务'!G84</f>
        <v>6.5024390243902435</v>
      </c>
      <c r="BB33" s="54">
        <f>AQ33/'[1]功能-推荐任务'!H84</f>
        <v>0</v>
      </c>
      <c r="BC33" s="37"/>
      <c r="BD33" s="54" t="e">
        <f>AS33/'[1]功能-推荐任务'!J84</f>
        <v>#DIV/0!</v>
      </c>
    </row>
    <row r="34" spans="2:58" x14ac:dyDescent="0.15">
      <c r="B34" s="79" t="str">
        <f t="shared" si="3"/>
        <v/>
      </c>
      <c r="C34" s="85"/>
      <c r="D34" s="75">
        <f>INDEX(节奏总纲!$AM$4:$AM$83,$F34)</f>
        <v>5.1571656651039799E-2</v>
      </c>
      <c r="E34" s="75">
        <f>求节点(节奏总纲!$P$4:$P$163,节奏总纲!$O$4:$O$163,$D34)</f>
        <v>0.71853377040242361</v>
      </c>
      <c r="F34" s="40">
        <v>3</v>
      </c>
      <c r="G34" s="85"/>
      <c r="H34" s="63" t="s">
        <v>370</v>
      </c>
      <c r="I34" s="63"/>
      <c r="J34" s="63"/>
      <c r="K34" s="63"/>
      <c r="M34" s="60">
        <f t="shared" si="4"/>
        <v>20</v>
      </c>
      <c r="N34" s="60">
        <f t="shared" si="5"/>
        <v>20</v>
      </c>
      <c r="O34" s="60">
        <f t="shared" si="6"/>
        <v>0</v>
      </c>
      <c r="P34" s="60">
        <f t="shared" si="7"/>
        <v>0</v>
      </c>
      <c r="Q34" s="60">
        <f t="shared" si="8"/>
        <v>5</v>
      </c>
      <c r="R34" s="60">
        <f t="shared" si="9"/>
        <v>5</v>
      </c>
      <c r="S34" s="60">
        <f t="shared" si="10"/>
        <v>10000</v>
      </c>
      <c r="T34" s="60">
        <f t="shared" si="11"/>
        <v>10000</v>
      </c>
      <c r="U34" s="60">
        <f t="shared" si="12"/>
        <v>0</v>
      </c>
      <c r="V34" s="60">
        <f t="shared" si="13"/>
        <v>0</v>
      </c>
      <c r="W34" s="60">
        <f t="shared" si="14"/>
        <v>0</v>
      </c>
      <c r="X34" s="60">
        <f t="shared" si="15"/>
        <v>0</v>
      </c>
      <c r="Y34" s="60">
        <f t="shared" si="16"/>
        <v>0</v>
      </c>
      <c r="Z34" s="60">
        <f t="shared" si="17"/>
        <v>0</v>
      </c>
      <c r="AA34" s="42"/>
      <c r="AB34" s="42"/>
      <c r="AC34" s="60">
        <f t="shared" si="18"/>
        <v>0</v>
      </c>
      <c r="AD34" s="60">
        <f t="shared" si="19"/>
        <v>0</v>
      </c>
      <c r="AE34" s="42"/>
      <c r="AF34" s="42"/>
      <c r="AG34" s="60">
        <f t="shared" si="2"/>
        <v>5</v>
      </c>
      <c r="AH34" s="60">
        <f t="shared" si="20"/>
        <v>5</v>
      </c>
      <c r="AL34" s="25">
        <v>27</v>
      </c>
      <c r="AM34" s="77">
        <f t="shared" si="21"/>
        <v>7960</v>
      </c>
      <c r="AN34" s="77">
        <f t="shared" si="22"/>
        <v>0</v>
      </c>
      <c r="AO34" s="77">
        <f t="shared" si="23"/>
        <v>2068</v>
      </c>
      <c r="AP34" s="77">
        <f t="shared" si="24"/>
        <v>14450000</v>
      </c>
      <c r="AQ34" s="77">
        <f t="shared" si="25"/>
        <v>0</v>
      </c>
      <c r="AR34" s="52"/>
      <c r="AS34" s="77">
        <f t="shared" si="26"/>
        <v>0</v>
      </c>
      <c r="AT34" s="77">
        <f t="shared" si="27"/>
        <v>0</v>
      </c>
      <c r="AU34" s="77">
        <f t="shared" si="28"/>
        <v>1150</v>
      </c>
      <c r="AV34" s="72"/>
      <c r="AX34" s="54" t="e">
        <f>AM34/'[1]功能-推荐任务'!D85</f>
        <v>#DIV/0!</v>
      </c>
      <c r="AY34" s="54" t="e">
        <f>AN34/'[1]功能-推荐任务'!E85</f>
        <v>#DIV/0!</v>
      </c>
      <c r="AZ34" s="54" t="e">
        <f>AO34/'[1]功能-推荐任务'!F85</f>
        <v>#DIV/0!</v>
      </c>
      <c r="BA34" s="54" t="e">
        <f>AP34/'[1]功能-推荐任务'!G85</f>
        <v>#DIV/0!</v>
      </c>
      <c r="BB34" s="54" t="e">
        <f>AQ34/'[1]功能-推荐任务'!H85</f>
        <v>#DIV/0!</v>
      </c>
      <c r="BC34" s="37"/>
      <c r="BD34" s="54" t="e">
        <f>AS34/'[1]功能-推荐任务'!J85</f>
        <v>#DIV/0!</v>
      </c>
    </row>
    <row r="35" spans="2:58" x14ac:dyDescent="0.15">
      <c r="B35" s="79">
        <f t="shared" si="3"/>
        <v>10</v>
      </c>
      <c r="C35" s="85"/>
      <c r="D35" s="75">
        <f>INDEX(节奏总纲!$AM$4:$AM$83,$F35)</f>
        <v>9.2637640824031031E-2</v>
      </c>
      <c r="E35" s="75">
        <f>求节点(节奏总纲!$P$4:$P$163,节奏总纲!$O$4:$O$163,$D35)</f>
        <v>1.2712279162221225</v>
      </c>
      <c r="F35" s="40">
        <v>4</v>
      </c>
      <c r="G35" s="85">
        <v>2</v>
      </c>
      <c r="H35" s="63" t="s">
        <v>371</v>
      </c>
      <c r="I35" s="63"/>
      <c r="J35" s="63"/>
      <c r="K35" s="63"/>
      <c r="M35" s="60">
        <f t="shared" si="4"/>
        <v>30</v>
      </c>
      <c r="N35" s="60">
        <f t="shared" si="5"/>
        <v>30</v>
      </c>
      <c r="O35" s="60">
        <f t="shared" si="6"/>
        <v>0</v>
      </c>
      <c r="P35" s="60">
        <f t="shared" si="7"/>
        <v>0</v>
      </c>
      <c r="Q35" s="60">
        <f t="shared" si="8"/>
        <v>5</v>
      </c>
      <c r="R35" s="60">
        <f t="shared" si="9"/>
        <v>5</v>
      </c>
      <c r="S35" s="60">
        <f t="shared" si="10"/>
        <v>10000</v>
      </c>
      <c r="T35" s="60">
        <f t="shared" si="11"/>
        <v>10000</v>
      </c>
      <c r="U35" s="60">
        <f t="shared" si="12"/>
        <v>0</v>
      </c>
      <c r="V35" s="60">
        <f t="shared" si="13"/>
        <v>0</v>
      </c>
      <c r="W35" s="60">
        <f t="shared" si="14"/>
        <v>0</v>
      </c>
      <c r="X35" s="60">
        <f t="shared" si="15"/>
        <v>0</v>
      </c>
      <c r="Y35" s="60">
        <f t="shared" si="16"/>
        <v>0</v>
      </c>
      <c r="Z35" s="60">
        <f t="shared" si="17"/>
        <v>0</v>
      </c>
      <c r="AA35" s="42"/>
      <c r="AB35" s="42"/>
      <c r="AC35" s="60">
        <f t="shared" si="18"/>
        <v>0</v>
      </c>
      <c r="AD35" s="60">
        <f t="shared" si="19"/>
        <v>0</v>
      </c>
      <c r="AE35" s="42"/>
      <c r="AF35" s="42"/>
      <c r="AG35" s="60">
        <f t="shared" si="2"/>
        <v>5</v>
      </c>
      <c r="AH35" s="60">
        <f t="shared" si="20"/>
        <v>5</v>
      </c>
      <c r="AL35" s="25">
        <v>28</v>
      </c>
      <c r="AM35" s="77">
        <f t="shared" si="21"/>
        <v>8560</v>
      </c>
      <c r="AN35" s="77">
        <f t="shared" si="22"/>
        <v>0</v>
      </c>
      <c r="AO35" s="77">
        <f t="shared" si="23"/>
        <v>2236</v>
      </c>
      <c r="AP35" s="77">
        <f t="shared" si="24"/>
        <v>16490000</v>
      </c>
      <c r="AQ35" s="77">
        <f t="shared" si="25"/>
        <v>720000</v>
      </c>
      <c r="AR35" s="40"/>
      <c r="AS35" s="77">
        <f t="shared" si="26"/>
        <v>0</v>
      </c>
      <c r="AT35" s="77">
        <f t="shared" si="27"/>
        <v>0</v>
      </c>
      <c r="AU35" s="77">
        <f t="shared" si="28"/>
        <v>1210</v>
      </c>
      <c r="AV35" s="72"/>
      <c r="AX35" s="54" t="e">
        <f>AM35/'[1]功能-推荐任务'!D86</f>
        <v>#DIV/0!</v>
      </c>
      <c r="AY35" s="54" t="e">
        <f>AN35/'[1]功能-推荐任务'!E86</f>
        <v>#DIV/0!</v>
      </c>
      <c r="AZ35" s="54" t="e">
        <f>AO35/'[1]功能-推荐任务'!F86</f>
        <v>#DIV/0!</v>
      </c>
      <c r="BA35" s="54" t="e">
        <f>AP35/'[1]功能-推荐任务'!G86</f>
        <v>#DIV/0!</v>
      </c>
      <c r="BB35" s="54" t="e">
        <f>AQ35/'[1]功能-推荐任务'!H86</f>
        <v>#DIV/0!</v>
      </c>
      <c r="BC35" s="37"/>
      <c r="BD35" s="54" t="e">
        <f>AS35/'[1]功能-推荐任务'!J86</f>
        <v>#DIV/0!</v>
      </c>
      <c r="BE35" s="53"/>
    </row>
    <row r="36" spans="2:58" x14ac:dyDescent="0.15">
      <c r="B36" s="79" t="str">
        <f t="shared" si="3"/>
        <v/>
      </c>
      <c r="C36" s="85"/>
      <c r="D36" s="75">
        <f>INDEX(节奏总纲!$AM$4:$AM$83,$F36)</f>
        <v>9.2637640824031031E-2</v>
      </c>
      <c r="E36" s="75">
        <f>求节点(节奏总纲!$P$4:$P$163,节奏总纲!$O$4:$O$163,$D36)</f>
        <v>1.2712279162221225</v>
      </c>
      <c r="F36" s="40">
        <v>4</v>
      </c>
      <c r="G36" s="85"/>
      <c r="H36" s="63" t="s">
        <v>372</v>
      </c>
      <c r="I36" s="63"/>
      <c r="J36" s="63"/>
      <c r="K36" s="63"/>
      <c r="M36" s="60">
        <f t="shared" si="4"/>
        <v>30</v>
      </c>
      <c r="N36" s="60">
        <f t="shared" si="5"/>
        <v>30</v>
      </c>
      <c r="O36" s="60">
        <f t="shared" si="6"/>
        <v>0</v>
      </c>
      <c r="P36" s="60">
        <f t="shared" si="7"/>
        <v>0</v>
      </c>
      <c r="Q36" s="60">
        <f t="shared" si="8"/>
        <v>5</v>
      </c>
      <c r="R36" s="60">
        <f t="shared" si="9"/>
        <v>5</v>
      </c>
      <c r="S36" s="60">
        <f t="shared" si="10"/>
        <v>10000</v>
      </c>
      <c r="T36" s="60">
        <f t="shared" si="11"/>
        <v>10000</v>
      </c>
      <c r="U36" s="60">
        <f t="shared" si="12"/>
        <v>0</v>
      </c>
      <c r="V36" s="60">
        <f t="shared" si="13"/>
        <v>0</v>
      </c>
      <c r="W36" s="60">
        <f t="shared" si="14"/>
        <v>0</v>
      </c>
      <c r="X36" s="60">
        <f t="shared" si="15"/>
        <v>0</v>
      </c>
      <c r="Y36" s="60">
        <f t="shared" si="16"/>
        <v>0</v>
      </c>
      <c r="Z36" s="60">
        <f t="shared" si="17"/>
        <v>0</v>
      </c>
      <c r="AA36" s="52"/>
      <c r="AB36" s="52"/>
      <c r="AC36" s="60">
        <f t="shared" si="18"/>
        <v>0</v>
      </c>
      <c r="AD36" s="60">
        <f t="shared" si="19"/>
        <v>0</v>
      </c>
      <c r="AE36" s="42"/>
      <c r="AF36" s="42"/>
      <c r="AG36" s="60">
        <f t="shared" si="2"/>
        <v>5</v>
      </c>
      <c r="AH36" s="60">
        <f t="shared" si="20"/>
        <v>5</v>
      </c>
      <c r="AL36" s="25">
        <v>29</v>
      </c>
      <c r="AM36" s="77">
        <f t="shared" si="21"/>
        <v>8710</v>
      </c>
      <c r="AN36" s="77">
        <f t="shared" si="22"/>
        <v>0</v>
      </c>
      <c r="AO36" s="77">
        <f t="shared" si="23"/>
        <v>2278</v>
      </c>
      <c r="AP36" s="77">
        <f t="shared" si="24"/>
        <v>17030000</v>
      </c>
      <c r="AQ36" s="77">
        <f t="shared" si="25"/>
        <v>900000</v>
      </c>
      <c r="AR36" s="40"/>
      <c r="AS36" s="77">
        <f t="shared" si="26"/>
        <v>0</v>
      </c>
      <c r="AT36" s="77">
        <f t="shared" si="27"/>
        <v>0</v>
      </c>
      <c r="AU36" s="77">
        <f t="shared" si="28"/>
        <v>1225</v>
      </c>
      <c r="AV36" s="72"/>
      <c r="AX36" s="54" t="e">
        <f>AM36/'[1]功能-推荐任务'!D87</f>
        <v>#VALUE!</v>
      </c>
      <c r="AY36" s="54" t="e">
        <f>AN36/'[1]功能-推荐任务'!E87</f>
        <v>#DIV/0!</v>
      </c>
      <c r="AZ36" s="54" t="e">
        <f>AO36/'[1]功能-推荐任务'!F87</f>
        <v>#DIV/0!</v>
      </c>
      <c r="BA36" s="54" t="e">
        <f>AP36/'[1]功能-推荐任务'!G87</f>
        <v>#DIV/0!</v>
      </c>
      <c r="BB36" s="54" t="e">
        <f>AQ36/'[1]功能-推荐任务'!H87</f>
        <v>#DIV/0!</v>
      </c>
      <c r="BC36" s="37"/>
      <c r="BD36" s="54" t="e">
        <f>AS36/'[1]功能-推荐任务'!J87</f>
        <v>#DIV/0!</v>
      </c>
      <c r="BE36" s="53"/>
    </row>
    <row r="37" spans="2:58" x14ac:dyDescent="0.15">
      <c r="B37" s="79" t="str">
        <f t="shared" si="3"/>
        <v/>
      </c>
      <c r="C37" s="85"/>
      <c r="D37" s="75">
        <f>INDEX(节奏总纲!$AM$4:$AM$83,$F37)</f>
        <v>9.2637640824031031E-2</v>
      </c>
      <c r="E37" s="75">
        <f>求节点(节奏总纲!$P$4:$P$163,节奏总纲!$O$4:$O$163,$D37)</f>
        <v>1.2712279162221225</v>
      </c>
      <c r="F37" s="40">
        <v>4</v>
      </c>
      <c r="G37" s="85"/>
      <c r="H37" s="63" t="s">
        <v>603</v>
      </c>
      <c r="I37" s="63"/>
      <c r="J37" s="63"/>
      <c r="K37" s="63"/>
      <c r="M37" s="60">
        <f t="shared" si="4"/>
        <v>30</v>
      </c>
      <c r="N37" s="60">
        <f t="shared" si="5"/>
        <v>30</v>
      </c>
      <c r="O37" s="60">
        <f t="shared" si="6"/>
        <v>0</v>
      </c>
      <c r="P37" s="60">
        <f t="shared" si="7"/>
        <v>0</v>
      </c>
      <c r="Q37" s="60">
        <f t="shared" si="8"/>
        <v>5</v>
      </c>
      <c r="R37" s="60">
        <f t="shared" si="9"/>
        <v>5</v>
      </c>
      <c r="S37" s="60">
        <f t="shared" si="10"/>
        <v>10000</v>
      </c>
      <c r="T37" s="60">
        <f t="shared" si="11"/>
        <v>10000</v>
      </c>
      <c r="U37" s="60">
        <f t="shared" si="12"/>
        <v>0</v>
      </c>
      <c r="V37" s="60">
        <f t="shared" si="13"/>
        <v>0</v>
      </c>
      <c r="W37" s="60">
        <f t="shared" si="14"/>
        <v>0</v>
      </c>
      <c r="X37" s="60">
        <f t="shared" si="15"/>
        <v>0</v>
      </c>
      <c r="Y37" s="60">
        <f t="shared" si="16"/>
        <v>0</v>
      </c>
      <c r="Z37" s="60">
        <f t="shared" si="17"/>
        <v>0</v>
      </c>
      <c r="AA37" s="52"/>
      <c r="AB37" s="52"/>
      <c r="AC37" s="60">
        <f t="shared" si="18"/>
        <v>0</v>
      </c>
      <c r="AD37" s="60">
        <f t="shared" si="19"/>
        <v>0</v>
      </c>
      <c r="AE37" s="42"/>
      <c r="AF37" s="42"/>
      <c r="AG37" s="60">
        <f t="shared" si="2"/>
        <v>5</v>
      </c>
      <c r="AH37" s="60">
        <f t="shared" si="20"/>
        <v>5</v>
      </c>
      <c r="AL37" s="25">
        <v>30</v>
      </c>
      <c r="AM37" s="77">
        <f t="shared" si="21"/>
        <v>9060</v>
      </c>
      <c r="AN37" s="77">
        <f t="shared" si="22"/>
        <v>0</v>
      </c>
      <c r="AO37" s="77">
        <f t="shared" si="23"/>
        <v>2376</v>
      </c>
      <c r="AP37" s="77">
        <f t="shared" si="24"/>
        <v>18360000</v>
      </c>
      <c r="AQ37" s="77">
        <f t="shared" si="25"/>
        <v>1320000</v>
      </c>
      <c r="AR37" s="40"/>
      <c r="AS37" s="77">
        <f t="shared" si="26"/>
        <v>0</v>
      </c>
      <c r="AT37" s="77">
        <f t="shared" si="27"/>
        <v>0</v>
      </c>
      <c r="AU37" s="77">
        <f t="shared" si="28"/>
        <v>1260</v>
      </c>
      <c r="AV37" s="72"/>
      <c r="AX37" s="54" t="e">
        <f>AM37/'[1]功能-推荐任务'!D88</f>
        <v>#VALUE!</v>
      </c>
      <c r="AY37" s="54" t="e">
        <f>AN37/'[1]功能-推荐任务'!E88</f>
        <v>#VALUE!</v>
      </c>
      <c r="AZ37" s="54" t="e">
        <f>AO37/'[1]功能-推荐任务'!F88</f>
        <v>#VALUE!</v>
      </c>
      <c r="BA37" s="54" t="e">
        <f>AP37/'[1]功能-推荐任务'!G88</f>
        <v>#VALUE!</v>
      </c>
      <c r="BB37" s="54" t="e">
        <f>AQ37/'[1]功能-推荐任务'!H88</f>
        <v>#VALUE!</v>
      </c>
      <c r="BC37" s="37"/>
      <c r="BD37" s="54" t="e">
        <f>AS37/'[1]功能-推荐任务'!J88</f>
        <v>#VALUE!</v>
      </c>
      <c r="BE37" s="53"/>
    </row>
    <row r="38" spans="2:58" s="63" customFormat="1" x14ac:dyDescent="0.15">
      <c r="B38" s="79" t="str">
        <f t="shared" si="3"/>
        <v/>
      </c>
      <c r="C38" s="85"/>
      <c r="D38" s="75">
        <f>INDEX(节奏总纲!$AM$4:$AM$83,$F38)</f>
        <v>9.2637640824031031E-2</v>
      </c>
      <c r="E38" s="75">
        <f>求节点(节奏总纲!$P$4:$P$163,节奏总纲!$O$4:$O$163,$D38)</f>
        <v>1.2712279162221225</v>
      </c>
      <c r="F38" s="63">
        <v>4</v>
      </c>
      <c r="G38" s="85"/>
      <c r="H38" s="63" t="s">
        <v>610</v>
      </c>
      <c r="M38" s="63">
        <f t="shared" si="4"/>
        <v>30</v>
      </c>
      <c r="N38" s="63">
        <f t="shared" ref="N38:N43" si="51">M38*COUNTA($H38:$K38)</f>
        <v>30</v>
      </c>
      <c r="O38" s="63">
        <f t="shared" si="6"/>
        <v>0</v>
      </c>
      <c r="P38" s="63">
        <f t="shared" ref="P38:P43" si="52">O38*COUNTA($H38:$K38)</f>
        <v>0</v>
      </c>
      <c r="Q38" s="63">
        <f t="shared" si="8"/>
        <v>5</v>
      </c>
      <c r="R38" s="63">
        <f t="shared" ref="R38:R43" si="53">Q38*COUNTA($H38:$K38)</f>
        <v>5</v>
      </c>
      <c r="S38" s="63">
        <f t="shared" si="10"/>
        <v>10000</v>
      </c>
      <c r="T38" s="63">
        <f t="shared" ref="T38:T43" si="54">S38*COUNTA($H38:$K38)</f>
        <v>10000</v>
      </c>
      <c r="U38" s="63">
        <f t="shared" si="12"/>
        <v>0</v>
      </c>
      <c r="V38" s="63">
        <f t="shared" ref="V38:V43" si="55">U38*COUNTA($H38:$K38)</f>
        <v>0</v>
      </c>
      <c r="W38" s="63">
        <f t="shared" ref="W38:W43" si="56">IF(F38&lt;28,0,ROUNDUP((W$2*$F38^W$1+W$3)/W$4,0)*W$4)</f>
        <v>0</v>
      </c>
      <c r="X38" s="63">
        <f t="shared" ref="X38:X43" si="57">W38*COUNTA($H38:$K38)</f>
        <v>0</v>
      </c>
      <c r="Y38" s="63">
        <f t="shared" ref="Y38:Y43" si="58">IF(F38&lt;28,0,ROUNDUP((Y$2*$F38^Y$1+Y$3)/Y$4,0)*Y$4)</f>
        <v>0</v>
      </c>
      <c r="Z38" s="63">
        <f t="shared" ref="Z38:Z43" si="59">Y38*COUNTA($H38:$K38)</f>
        <v>0</v>
      </c>
      <c r="AC38" s="63">
        <f t="shared" si="18"/>
        <v>0</v>
      </c>
      <c r="AD38" s="63">
        <f t="shared" ref="AD38:AD43" si="60">AC38*COUNTA($H38:$K38)</f>
        <v>0</v>
      </c>
      <c r="AG38" s="63">
        <f t="shared" si="2"/>
        <v>5</v>
      </c>
      <c r="AH38" s="63">
        <f t="shared" ref="AH38:AH43" si="61">AG38*COUNTA($H38:$K38)</f>
        <v>5</v>
      </c>
      <c r="AJ38" s="22"/>
      <c r="AL38" s="25">
        <v>31</v>
      </c>
      <c r="AM38" s="77">
        <f t="shared" si="21"/>
        <v>9410</v>
      </c>
      <c r="AN38" s="77">
        <f t="shared" si="22"/>
        <v>0</v>
      </c>
      <c r="AO38" s="77">
        <f t="shared" si="23"/>
        <v>2474</v>
      </c>
      <c r="AP38" s="77">
        <f t="shared" si="24"/>
        <v>19760000</v>
      </c>
      <c r="AQ38" s="77">
        <f t="shared" si="25"/>
        <v>1740000</v>
      </c>
      <c r="AR38" s="40"/>
      <c r="AS38" s="77">
        <f t="shared" si="26"/>
        <v>0</v>
      </c>
      <c r="AT38" s="77">
        <f t="shared" si="27"/>
        <v>0</v>
      </c>
      <c r="AU38" s="77">
        <f t="shared" si="28"/>
        <v>1295</v>
      </c>
      <c r="AV38" s="72"/>
      <c r="AW38" s="35"/>
      <c r="AX38" s="54">
        <f>AM38/'[1]功能-推荐任务'!D89</f>
        <v>62.733333333333334</v>
      </c>
      <c r="AY38" s="54" t="e">
        <f>AN38/'[1]功能-推荐任务'!E89</f>
        <v>#DIV/0!</v>
      </c>
      <c r="AZ38" s="54">
        <f>AO38/'[1]功能-推荐任务'!F89</f>
        <v>49.48</v>
      </c>
      <c r="BA38" s="54">
        <f>AP38/'[1]功能-推荐任务'!G89</f>
        <v>395.2</v>
      </c>
      <c r="BB38" s="54" t="e">
        <f>AQ38/'[1]功能-推荐任务'!H89</f>
        <v>#DIV/0!</v>
      </c>
      <c r="BC38" s="37"/>
      <c r="BD38" s="54" t="e">
        <f>AS38/'[1]功能-推荐任务'!J89</f>
        <v>#DIV/0!</v>
      </c>
      <c r="BE38" s="53"/>
      <c r="BF38" s="52"/>
    </row>
    <row r="39" spans="2:58" s="52" customFormat="1" x14ac:dyDescent="0.15">
      <c r="B39" s="79" t="str">
        <f t="shared" si="3"/>
        <v/>
      </c>
      <c r="C39" s="85"/>
      <c r="D39" s="75">
        <f>INDEX(节奏总纲!$AM$4:$AM$83,$F39)</f>
        <v>9.2637640824031031E-2</v>
      </c>
      <c r="E39" s="75">
        <f>求节点(节奏总纲!$P$4:$P$163,节奏总纲!$O$4:$O$163,$D39)</f>
        <v>1.2712279162221225</v>
      </c>
      <c r="F39" s="63">
        <v>4</v>
      </c>
      <c r="G39" s="85"/>
      <c r="H39" s="63" t="s">
        <v>527</v>
      </c>
      <c r="I39" s="63"/>
      <c r="J39" s="63"/>
      <c r="K39" s="63"/>
      <c r="M39" s="63">
        <f t="shared" si="4"/>
        <v>30</v>
      </c>
      <c r="N39" s="63">
        <f t="shared" si="51"/>
        <v>30</v>
      </c>
      <c r="O39" s="63">
        <f t="shared" si="6"/>
        <v>0</v>
      </c>
      <c r="P39" s="63">
        <f t="shared" si="52"/>
        <v>0</v>
      </c>
      <c r="Q39" s="63">
        <f t="shared" si="8"/>
        <v>5</v>
      </c>
      <c r="R39" s="63">
        <f t="shared" si="53"/>
        <v>5</v>
      </c>
      <c r="S39" s="63">
        <f t="shared" si="10"/>
        <v>10000</v>
      </c>
      <c r="T39" s="63">
        <f t="shared" si="54"/>
        <v>10000</v>
      </c>
      <c r="U39" s="63">
        <f t="shared" si="12"/>
        <v>0</v>
      </c>
      <c r="V39" s="63">
        <f t="shared" si="55"/>
        <v>0</v>
      </c>
      <c r="W39" s="63">
        <f t="shared" si="56"/>
        <v>0</v>
      </c>
      <c r="X39" s="63">
        <f t="shared" si="57"/>
        <v>0</v>
      </c>
      <c r="Y39" s="63">
        <f t="shared" si="58"/>
        <v>0</v>
      </c>
      <c r="Z39" s="63">
        <f t="shared" si="59"/>
        <v>0</v>
      </c>
      <c r="AA39" s="63"/>
      <c r="AB39" s="63"/>
      <c r="AC39" s="63">
        <f t="shared" si="18"/>
        <v>0</v>
      </c>
      <c r="AD39" s="63">
        <f t="shared" si="60"/>
        <v>0</v>
      </c>
      <c r="AE39" s="63"/>
      <c r="AF39" s="63"/>
      <c r="AG39" s="63">
        <f t="shared" si="2"/>
        <v>5</v>
      </c>
      <c r="AH39" s="63">
        <f t="shared" si="61"/>
        <v>5</v>
      </c>
      <c r="AJ39" s="22"/>
      <c r="AL39" s="25">
        <v>32</v>
      </c>
      <c r="AM39" s="77">
        <f t="shared" si="21"/>
        <v>9860</v>
      </c>
      <c r="AN39" s="77">
        <f t="shared" si="22"/>
        <v>0</v>
      </c>
      <c r="AO39" s="77">
        <f t="shared" si="23"/>
        <v>2609</v>
      </c>
      <c r="AP39" s="77">
        <f t="shared" si="24"/>
        <v>21650000</v>
      </c>
      <c r="AQ39" s="77">
        <f t="shared" si="25"/>
        <v>2370000</v>
      </c>
      <c r="AR39" s="40"/>
      <c r="AS39" s="77">
        <f t="shared" si="26"/>
        <v>0</v>
      </c>
      <c r="AT39" s="77">
        <f t="shared" si="27"/>
        <v>0</v>
      </c>
      <c r="AU39" s="77">
        <f t="shared" si="28"/>
        <v>1340</v>
      </c>
      <c r="AV39" s="72"/>
      <c r="AW39" s="35"/>
      <c r="AX39" s="54">
        <f>AM39/'[1]功能-推荐任务'!D90</f>
        <v>32.866666666666667</v>
      </c>
      <c r="AY39" s="54" t="e">
        <f>AN39/'[1]功能-推荐任务'!E90</f>
        <v>#DIV/0!</v>
      </c>
      <c r="AZ39" s="54">
        <f>AO39/'[1]功能-推荐任务'!F90</f>
        <v>26.09</v>
      </c>
      <c r="BA39" s="54">
        <f>AP39/'[1]功能-推荐任务'!G90</f>
        <v>216.5</v>
      </c>
      <c r="BB39" s="54" t="e">
        <f>AQ39/'[1]功能-推荐任务'!H90</f>
        <v>#DIV/0!</v>
      </c>
      <c r="BC39" s="37"/>
      <c r="BD39" s="54" t="e">
        <f>AS39/'[1]功能-推荐任务'!J90</f>
        <v>#DIV/0!</v>
      </c>
      <c r="BE39" s="35"/>
    </row>
    <row r="40" spans="2:58" s="52" customFormat="1" x14ac:dyDescent="0.15">
      <c r="B40" s="79" t="str">
        <f t="shared" si="3"/>
        <v/>
      </c>
      <c r="C40" s="85"/>
      <c r="D40" s="75">
        <f>INDEX(节奏总纲!$AM$4:$AM$83,$F40)</f>
        <v>9.2637640824031031E-2</v>
      </c>
      <c r="E40" s="75">
        <f>求节点(节奏总纲!$P$4:$P$163,节奏总纲!$O$4:$O$163,$D40)</f>
        <v>1.2712279162221225</v>
      </c>
      <c r="F40" s="52">
        <v>4</v>
      </c>
      <c r="G40" s="85"/>
      <c r="H40" s="63" t="s">
        <v>526</v>
      </c>
      <c r="I40" s="63"/>
      <c r="J40" s="63"/>
      <c r="K40" s="63"/>
      <c r="M40" s="63">
        <f t="shared" si="4"/>
        <v>30</v>
      </c>
      <c r="N40" s="63">
        <f t="shared" si="51"/>
        <v>30</v>
      </c>
      <c r="O40" s="63">
        <f t="shared" si="6"/>
        <v>0</v>
      </c>
      <c r="P40" s="63">
        <f t="shared" si="52"/>
        <v>0</v>
      </c>
      <c r="Q40" s="63">
        <f t="shared" si="8"/>
        <v>5</v>
      </c>
      <c r="R40" s="63">
        <f t="shared" si="53"/>
        <v>5</v>
      </c>
      <c r="S40" s="63">
        <f t="shared" si="10"/>
        <v>10000</v>
      </c>
      <c r="T40" s="63">
        <f t="shared" si="54"/>
        <v>10000</v>
      </c>
      <c r="U40" s="63">
        <f t="shared" si="12"/>
        <v>0</v>
      </c>
      <c r="V40" s="63">
        <f t="shared" si="55"/>
        <v>0</v>
      </c>
      <c r="W40" s="63">
        <f t="shared" si="56"/>
        <v>0</v>
      </c>
      <c r="X40" s="63">
        <f t="shared" si="57"/>
        <v>0</v>
      </c>
      <c r="Y40" s="63">
        <f t="shared" si="58"/>
        <v>0</v>
      </c>
      <c r="Z40" s="63">
        <f t="shared" si="59"/>
        <v>0</v>
      </c>
      <c r="AA40" s="63"/>
      <c r="AB40" s="63"/>
      <c r="AC40" s="63">
        <f t="shared" si="18"/>
        <v>0</v>
      </c>
      <c r="AD40" s="63">
        <f t="shared" si="60"/>
        <v>0</v>
      </c>
      <c r="AE40" s="63"/>
      <c r="AF40" s="63"/>
      <c r="AG40" s="63">
        <f t="shared" si="2"/>
        <v>5</v>
      </c>
      <c r="AH40" s="63">
        <f t="shared" si="61"/>
        <v>5</v>
      </c>
      <c r="AJ40" s="22"/>
      <c r="AL40" s="25">
        <v>33</v>
      </c>
      <c r="AM40" s="77">
        <f t="shared" si="21"/>
        <v>10210</v>
      </c>
      <c r="AN40" s="77">
        <f t="shared" si="22"/>
        <v>0</v>
      </c>
      <c r="AO40" s="77">
        <f t="shared" si="23"/>
        <v>2714</v>
      </c>
      <c r="AP40" s="77">
        <f t="shared" si="24"/>
        <v>23260000</v>
      </c>
      <c r="AQ40" s="77">
        <f t="shared" si="25"/>
        <v>2860000</v>
      </c>
      <c r="AR40" s="40"/>
      <c r="AS40" s="77">
        <f t="shared" si="26"/>
        <v>0</v>
      </c>
      <c r="AT40" s="77">
        <f t="shared" si="27"/>
        <v>0</v>
      </c>
      <c r="AU40" s="77">
        <f t="shared" si="28"/>
        <v>1375</v>
      </c>
      <c r="AV40" s="72"/>
      <c r="AW40" s="35"/>
      <c r="AX40" s="54">
        <f>AM40/'[1]功能-推荐任务'!D91</f>
        <v>20.420000000000002</v>
      </c>
      <c r="AY40" s="54" t="e">
        <f>AN40/'[1]功能-推荐任务'!E91</f>
        <v>#DIV/0!</v>
      </c>
      <c r="AZ40" s="54">
        <f>AO40/'[1]功能-推荐任务'!F91</f>
        <v>18.093333333333334</v>
      </c>
      <c r="BA40" s="54">
        <f>AP40/'[1]功能-推荐任务'!G91</f>
        <v>155.06666666666666</v>
      </c>
      <c r="BB40" s="54" t="e">
        <f>AQ40/'[1]功能-推荐任务'!H91</f>
        <v>#DIV/0!</v>
      </c>
      <c r="BC40" s="37"/>
      <c r="BD40" s="54" t="e">
        <f>AS40/'[1]功能-推荐任务'!J91</f>
        <v>#DIV/0!</v>
      </c>
      <c r="BE40" s="35"/>
    </row>
    <row r="41" spans="2:58" s="52" customFormat="1" x14ac:dyDescent="0.15">
      <c r="B41" s="79" t="str">
        <f t="shared" si="3"/>
        <v/>
      </c>
      <c r="C41" s="85"/>
      <c r="D41" s="75">
        <f>INDEX(节奏总纲!$AM$4:$AM$83,$F41)</f>
        <v>9.2637640824031031E-2</v>
      </c>
      <c r="E41" s="75">
        <f>求节点(节奏总纲!$P$4:$P$163,节奏总纲!$O$4:$O$163,$D41)</f>
        <v>1.2712279162221225</v>
      </c>
      <c r="F41" s="52">
        <v>4</v>
      </c>
      <c r="G41" s="85"/>
      <c r="H41" s="63" t="s">
        <v>528</v>
      </c>
      <c r="I41" s="63"/>
      <c r="J41" s="63"/>
      <c r="K41" s="63"/>
      <c r="M41" s="63">
        <f t="shared" si="4"/>
        <v>30</v>
      </c>
      <c r="N41" s="63">
        <f t="shared" si="51"/>
        <v>30</v>
      </c>
      <c r="O41" s="63">
        <f t="shared" si="6"/>
        <v>0</v>
      </c>
      <c r="P41" s="63">
        <f t="shared" si="52"/>
        <v>0</v>
      </c>
      <c r="Q41" s="63">
        <f t="shared" si="8"/>
        <v>5</v>
      </c>
      <c r="R41" s="63">
        <f t="shared" si="53"/>
        <v>5</v>
      </c>
      <c r="S41" s="63">
        <f t="shared" si="10"/>
        <v>10000</v>
      </c>
      <c r="T41" s="63">
        <f t="shared" si="54"/>
        <v>10000</v>
      </c>
      <c r="U41" s="63">
        <f t="shared" si="12"/>
        <v>0</v>
      </c>
      <c r="V41" s="63">
        <f t="shared" si="55"/>
        <v>0</v>
      </c>
      <c r="W41" s="63">
        <f t="shared" si="56"/>
        <v>0</v>
      </c>
      <c r="X41" s="63">
        <f t="shared" si="57"/>
        <v>0</v>
      </c>
      <c r="Y41" s="63">
        <f t="shared" si="58"/>
        <v>0</v>
      </c>
      <c r="Z41" s="63">
        <f t="shared" si="59"/>
        <v>0</v>
      </c>
      <c r="AA41" s="63"/>
      <c r="AB41" s="63"/>
      <c r="AC41" s="63">
        <f t="shared" si="18"/>
        <v>0</v>
      </c>
      <c r="AD41" s="63">
        <f t="shared" si="60"/>
        <v>0</v>
      </c>
      <c r="AE41" s="63"/>
      <c r="AF41" s="63"/>
      <c r="AG41" s="63">
        <f t="shared" si="2"/>
        <v>5</v>
      </c>
      <c r="AH41" s="63">
        <f t="shared" si="61"/>
        <v>5</v>
      </c>
      <c r="AJ41" s="22"/>
      <c r="AL41" s="25">
        <v>34</v>
      </c>
      <c r="AM41" s="77">
        <f t="shared" si="21"/>
        <v>10610</v>
      </c>
      <c r="AN41" s="77">
        <f t="shared" si="22"/>
        <v>0</v>
      </c>
      <c r="AO41" s="77">
        <f t="shared" si="23"/>
        <v>2834</v>
      </c>
      <c r="AP41" s="77">
        <f t="shared" si="24"/>
        <v>25180000</v>
      </c>
      <c r="AQ41" s="77">
        <f t="shared" si="25"/>
        <v>3420000</v>
      </c>
      <c r="AR41" s="40"/>
      <c r="AS41" s="77">
        <f t="shared" si="26"/>
        <v>0</v>
      </c>
      <c r="AT41" s="77">
        <f t="shared" si="27"/>
        <v>0</v>
      </c>
      <c r="AU41" s="77">
        <f t="shared" si="28"/>
        <v>1415</v>
      </c>
      <c r="AV41" s="72"/>
      <c r="AW41" s="35"/>
      <c r="AX41" s="54">
        <f>AM41/'[1]功能-推荐任务'!D92</f>
        <v>14.146666666666667</v>
      </c>
      <c r="AY41" s="54" t="e">
        <f>AN41/'[1]功能-推荐任务'!E92</f>
        <v>#DIV/0!</v>
      </c>
      <c r="AZ41" s="54">
        <f>AO41/'[1]功能-推荐任务'!F92</f>
        <v>14.17</v>
      </c>
      <c r="BA41" s="54">
        <f>AP41/'[1]功能-推荐任务'!G92</f>
        <v>100.72</v>
      </c>
      <c r="BB41" s="54" t="e">
        <f>AQ41/'[1]功能-推荐任务'!H92</f>
        <v>#DIV/0!</v>
      </c>
      <c r="BC41" s="37"/>
      <c r="BD41" s="54" t="e">
        <f>AS41/'[1]功能-推荐任务'!J92</f>
        <v>#DIV/0!</v>
      </c>
      <c r="BE41" s="35"/>
    </row>
    <row r="42" spans="2:58" s="52" customFormat="1" x14ac:dyDescent="0.15">
      <c r="B42" s="79" t="str">
        <f t="shared" si="3"/>
        <v/>
      </c>
      <c r="C42" s="85"/>
      <c r="D42" s="75">
        <f>INDEX(节奏总纲!$AM$4:$AM$83,$F42)</f>
        <v>9.2637640824031031E-2</v>
      </c>
      <c r="E42" s="75">
        <f>求节点(节奏总纲!$P$4:$P$163,节奏总纲!$O$4:$O$163,$D42)</f>
        <v>1.2712279162221225</v>
      </c>
      <c r="F42" s="52">
        <v>4</v>
      </c>
      <c r="G42" s="85"/>
      <c r="H42" s="63" t="s">
        <v>529</v>
      </c>
      <c r="I42" s="63"/>
      <c r="J42" s="63"/>
      <c r="K42" s="63"/>
      <c r="M42" s="63">
        <f t="shared" si="4"/>
        <v>30</v>
      </c>
      <c r="N42" s="63">
        <f t="shared" si="51"/>
        <v>30</v>
      </c>
      <c r="O42" s="63">
        <f t="shared" si="6"/>
        <v>0</v>
      </c>
      <c r="P42" s="63">
        <f t="shared" si="52"/>
        <v>0</v>
      </c>
      <c r="Q42" s="63">
        <f t="shared" si="8"/>
        <v>5</v>
      </c>
      <c r="R42" s="63">
        <f t="shared" si="53"/>
        <v>5</v>
      </c>
      <c r="S42" s="63">
        <f t="shared" si="10"/>
        <v>10000</v>
      </c>
      <c r="T42" s="63">
        <f t="shared" si="54"/>
        <v>10000</v>
      </c>
      <c r="U42" s="63">
        <f t="shared" si="12"/>
        <v>0</v>
      </c>
      <c r="V42" s="63">
        <f t="shared" si="55"/>
        <v>0</v>
      </c>
      <c r="W42" s="63">
        <f t="shared" si="56"/>
        <v>0</v>
      </c>
      <c r="X42" s="63">
        <f t="shared" si="57"/>
        <v>0</v>
      </c>
      <c r="Y42" s="63">
        <f t="shared" si="58"/>
        <v>0</v>
      </c>
      <c r="Z42" s="63">
        <f t="shared" si="59"/>
        <v>0</v>
      </c>
      <c r="AA42" s="63"/>
      <c r="AB42" s="63"/>
      <c r="AC42" s="63">
        <f t="shared" si="18"/>
        <v>0</v>
      </c>
      <c r="AD42" s="63">
        <f t="shared" si="60"/>
        <v>0</v>
      </c>
      <c r="AE42" s="63"/>
      <c r="AF42" s="63"/>
      <c r="AG42" s="63">
        <f t="shared" si="2"/>
        <v>5</v>
      </c>
      <c r="AH42" s="63">
        <f t="shared" si="61"/>
        <v>5</v>
      </c>
      <c r="AJ42" s="22"/>
      <c r="AL42" s="25">
        <v>35</v>
      </c>
      <c r="AM42" s="77">
        <f t="shared" si="21"/>
        <v>11010</v>
      </c>
      <c r="AN42" s="77">
        <f t="shared" si="22"/>
        <v>0</v>
      </c>
      <c r="AO42" s="77">
        <f t="shared" si="23"/>
        <v>2954</v>
      </c>
      <c r="AP42" s="77">
        <f t="shared" si="24"/>
        <v>27180000</v>
      </c>
      <c r="AQ42" s="77">
        <f t="shared" si="25"/>
        <v>3980000</v>
      </c>
      <c r="AR42" s="40"/>
      <c r="AS42" s="77">
        <f t="shared" si="26"/>
        <v>0</v>
      </c>
      <c r="AT42" s="77">
        <f t="shared" si="27"/>
        <v>0</v>
      </c>
      <c r="AU42" s="77">
        <f t="shared" si="28"/>
        <v>1455</v>
      </c>
      <c r="AV42" s="72"/>
      <c r="AW42" s="35"/>
      <c r="AX42" s="54">
        <f>AM42/'[1]功能-推荐任务'!D93</f>
        <v>10.485714285714286</v>
      </c>
      <c r="AY42" s="54" t="e">
        <f>AN42/'[1]功能-推荐任务'!E93</f>
        <v>#DIV/0!</v>
      </c>
      <c r="AZ42" s="54">
        <f>AO42/'[1]功能-推荐任务'!F93</f>
        <v>11.816000000000001</v>
      </c>
      <c r="BA42" s="54">
        <f>AP42/'[1]功能-推荐任务'!G93</f>
        <v>67.95</v>
      </c>
      <c r="BB42" s="54" t="e">
        <f>AQ42/'[1]功能-推荐任务'!H93</f>
        <v>#DIV/0!</v>
      </c>
      <c r="BC42" s="37"/>
      <c r="BD42" s="54" t="e">
        <f>AS42/'[1]功能-推荐任务'!J93</f>
        <v>#DIV/0!</v>
      </c>
      <c r="BE42" s="35"/>
      <c r="BF42" s="19"/>
    </row>
    <row r="43" spans="2:58" x14ac:dyDescent="0.15">
      <c r="B43" s="79" t="str">
        <f t="shared" si="3"/>
        <v/>
      </c>
      <c r="C43" s="85"/>
      <c r="D43" s="75">
        <f>INDEX(节奏总纲!$AM$4:$AM$83,$F43)</f>
        <v>9.2637640824031031E-2</v>
      </c>
      <c r="E43" s="75">
        <f>求节点(节奏总纲!$P$4:$P$163,节奏总纲!$O$4:$O$163,$D43)</f>
        <v>1.2712279162221225</v>
      </c>
      <c r="F43" s="40">
        <v>4</v>
      </c>
      <c r="G43" s="85"/>
      <c r="H43" s="63" t="s">
        <v>530</v>
      </c>
      <c r="I43" s="63"/>
      <c r="J43" s="63"/>
      <c r="K43" s="63"/>
      <c r="M43" s="63">
        <f t="shared" si="4"/>
        <v>30</v>
      </c>
      <c r="N43" s="63">
        <f t="shared" si="51"/>
        <v>30</v>
      </c>
      <c r="O43" s="63">
        <f t="shared" si="6"/>
        <v>0</v>
      </c>
      <c r="P43" s="63">
        <f t="shared" si="52"/>
        <v>0</v>
      </c>
      <c r="Q43" s="63">
        <f t="shared" si="8"/>
        <v>5</v>
      </c>
      <c r="R43" s="63">
        <f t="shared" si="53"/>
        <v>5</v>
      </c>
      <c r="S43" s="63">
        <f t="shared" si="10"/>
        <v>10000</v>
      </c>
      <c r="T43" s="63">
        <f t="shared" si="54"/>
        <v>10000</v>
      </c>
      <c r="U43" s="63">
        <f t="shared" si="12"/>
        <v>0</v>
      </c>
      <c r="V43" s="63">
        <f t="shared" si="55"/>
        <v>0</v>
      </c>
      <c r="W43" s="63">
        <f t="shared" si="56"/>
        <v>0</v>
      </c>
      <c r="X43" s="63">
        <f t="shared" si="57"/>
        <v>0</v>
      </c>
      <c r="Y43" s="63">
        <f t="shared" si="58"/>
        <v>0</v>
      </c>
      <c r="Z43" s="63">
        <f t="shared" si="59"/>
        <v>0</v>
      </c>
      <c r="AA43" s="63"/>
      <c r="AB43" s="63"/>
      <c r="AC43" s="63">
        <f t="shared" si="18"/>
        <v>0</v>
      </c>
      <c r="AD43" s="63">
        <f t="shared" si="60"/>
        <v>0</v>
      </c>
      <c r="AE43" s="63"/>
      <c r="AF43" s="63"/>
      <c r="AG43" s="63">
        <f t="shared" si="2"/>
        <v>5</v>
      </c>
      <c r="AH43" s="63">
        <f t="shared" si="61"/>
        <v>5</v>
      </c>
      <c r="AL43" s="25">
        <v>36</v>
      </c>
      <c r="AM43" s="77">
        <f t="shared" si="21"/>
        <v>11410</v>
      </c>
      <c r="AN43" s="77">
        <f t="shared" si="22"/>
        <v>0</v>
      </c>
      <c r="AO43" s="77">
        <f t="shared" si="23"/>
        <v>3074</v>
      </c>
      <c r="AP43" s="77">
        <f t="shared" si="24"/>
        <v>29260000</v>
      </c>
      <c r="AQ43" s="77">
        <f t="shared" si="25"/>
        <v>4540000</v>
      </c>
      <c r="AR43" s="40"/>
      <c r="AS43" s="77">
        <f t="shared" si="26"/>
        <v>0</v>
      </c>
      <c r="AT43" s="77">
        <f t="shared" si="27"/>
        <v>0</v>
      </c>
      <c r="AU43" s="77">
        <f t="shared" si="28"/>
        <v>1495</v>
      </c>
      <c r="AV43" s="72"/>
      <c r="AX43" s="54">
        <f>AM43/'[1]功能-推荐任务'!D94</f>
        <v>8.4518518518518526</v>
      </c>
      <c r="AY43" s="54" t="e">
        <f>AN43/'[1]功能-推荐任务'!E94</f>
        <v>#DIV/0!</v>
      </c>
      <c r="AZ43" s="54">
        <f>AO43/'[1]功能-推荐任务'!F94</f>
        <v>10.246666666666666</v>
      </c>
      <c r="BA43" s="54">
        <f>AP43/'[1]功能-推荐任务'!G94</f>
        <v>58.52</v>
      </c>
      <c r="BB43" s="54" t="e">
        <f>AQ43/'[1]功能-推荐任务'!H94</f>
        <v>#DIV/0!</v>
      </c>
      <c r="BC43" s="37"/>
      <c r="BD43" s="54" t="e">
        <f>AS43/'[1]功能-推荐任务'!J94</f>
        <v>#DIV/0!</v>
      </c>
    </row>
    <row r="44" spans="2:58" x14ac:dyDescent="0.15">
      <c r="B44" s="79" t="str">
        <f t="shared" si="3"/>
        <v/>
      </c>
      <c r="C44" s="85"/>
      <c r="D44" s="75">
        <f>INDEX(节奏总纲!$AM$4:$AM$83,$F44)</f>
        <v>9.2637640824031031E-2</v>
      </c>
      <c r="E44" s="75">
        <f>求节点(节奏总纲!$P$4:$P$163,节奏总纲!$O$4:$O$163,$D44)</f>
        <v>1.2712279162221225</v>
      </c>
      <c r="F44" s="40">
        <v>4</v>
      </c>
      <c r="G44" s="85"/>
      <c r="H44" s="63" t="s">
        <v>374</v>
      </c>
      <c r="I44" s="63"/>
      <c r="J44" s="63"/>
      <c r="K44" s="63"/>
      <c r="M44" s="60">
        <f t="shared" si="4"/>
        <v>30</v>
      </c>
      <c r="N44" s="60">
        <f t="shared" si="5"/>
        <v>30</v>
      </c>
      <c r="O44" s="60">
        <f t="shared" si="6"/>
        <v>0</v>
      </c>
      <c r="P44" s="60">
        <f t="shared" si="7"/>
        <v>0</v>
      </c>
      <c r="Q44" s="60">
        <f t="shared" si="8"/>
        <v>5</v>
      </c>
      <c r="R44" s="60">
        <f t="shared" si="9"/>
        <v>5</v>
      </c>
      <c r="S44" s="60">
        <f t="shared" si="10"/>
        <v>10000</v>
      </c>
      <c r="T44" s="60">
        <f t="shared" si="11"/>
        <v>10000</v>
      </c>
      <c r="U44" s="60">
        <f t="shared" si="12"/>
        <v>0</v>
      </c>
      <c r="V44" s="60">
        <f t="shared" si="13"/>
        <v>0</v>
      </c>
      <c r="W44" s="60">
        <f t="shared" si="14"/>
        <v>0</v>
      </c>
      <c r="X44" s="60">
        <f t="shared" si="15"/>
        <v>0</v>
      </c>
      <c r="Y44" s="60">
        <f t="shared" si="16"/>
        <v>0</v>
      </c>
      <c r="Z44" s="60">
        <f t="shared" si="17"/>
        <v>0</v>
      </c>
      <c r="AA44" s="52"/>
      <c r="AB44" s="52"/>
      <c r="AC44" s="60">
        <f t="shared" si="18"/>
        <v>0</v>
      </c>
      <c r="AD44" s="60">
        <f t="shared" si="19"/>
        <v>0</v>
      </c>
      <c r="AE44" s="42"/>
      <c r="AF44" s="42"/>
      <c r="AG44" s="60">
        <f t="shared" si="2"/>
        <v>5</v>
      </c>
      <c r="AH44" s="60">
        <f t="shared" si="20"/>
        <v>5</v>
      </c>
      <c r="AL44" s="25">
        <v>37</v>
      </c>
      <c r="AM44" s="77">
        <f t="shared" si="21"/>
        <v>11610</v>
      </c>
      <c r="AN44" s="77">
        <f t="shared" si="22"/>
        <v>0</v>
      </c>
      <c r="AO44" s="77">
        <f t="shared" si="23"/>
        <v>3138</v>
      </c>
      <c r="AP44" s="77">
        <f t="shared" si="24"/>
        <v>30340000</v>
      </c>
      <c r="AQ44" s="77">
        <f t="shared" si="25"/>
        <v>4860000</v>
      </c>
      <c r="AR44" s="40"/>
      <c r="AS44" s="77">
        <f t="shared" si="26"/>
        <v>0</v>
      </c>
      <c r="AT44" s="77">
        <f t="shared" si="27"/>
        <v>0</v>
      </c>
      <c r="AU44" s="77">
        <f t="shared" si="28"/>
        <v>1515</v>
      </c>
      <c r="AV44" s="72"/>
      <c r="AX44" s="54">
        <f>AM44/'[1]功能-推荐任务'!D95</f>
        <v>7.0363636363636362</v>
      </c>
      <c r="AY44" s="54" t="e">
        <f>AN44/'[1]功能-推荐任务'!E95</f>
        <v>#DIV/0!</v>
      </c>
      <c r="AZ44" s="54">
        <f>AO44/'[1]功能-推荐任务'!F95</f>
        <v>8.9657142857142862</v>
      </c>
      <c r="BA44" s="54">
        <f>AP44/'[1]功能-推荐任务'!G95</f>
        <v>46.676923076923075</v>
      </c>
      <c r="BB44" s="54" t="e">
        <f>AQ44/'[1]功能-推荐任务'!H95</f>
        <v>#DIV/0!</v>
      </c>
      <c r="BC44" s="37"/>
      <c r="BD44" s="54" t="e">
        <f>AS44/'[1]功能-推荐任务'!J95</f>
        <v>#DIV/0!</v>
      </c>
    </row>
    <row r="45" spans="2:58" x14ac:dyDescent="0.15">
      <c r="B45" s="79">
        <f t="shared" si="3"/>
        <v>9</v>
      </c>
      <c r="C45" s="85"/>
      <c r="D45" s="75">
        <f>INDEX(节奏总纲!$AM$4:$AM$83,$F45)</f>
        <v>0.15</v>
      </c>
      <c r="E45" s="75">
        <f>求节点(节奏总纲!$P$4:$P$163,节奏总纲!$O$4:$O$163,$D45)</f>
        <v>2.0157878378790723</v>
      </c>
      <c r="F45" s="40">
        <v>5</v>
      </c>
      <c r="G45" s="85"/>
      <c r="H45" s="63" t="s">
        <v>343</v>
      </c>
      <c r="I45" s="63"/>
      <c r="J45" s="63"/>
      <c r="K45" s="63"/>
      <c r="M45" s="60">
        <f t="shared" si="4"/>
        <v>30</v>
      </c>
      <c r="N45" s="60">
        <f t="shared" si="5"/>
        <v>30</v>
      </c>
      <c r="O45" s="60">
        <f t="shared" si="6"/>
        <v>0</v>
      </c>
      <c r="P45" s="60">
        <f t="shared" si="7"/>
        <v>0</v>
      </c>
      <c r="Q45" s="60">
        <f t="shared" si="8"/>
        <v>6</v>
      </c>
      <c r="R45" s="60">
        <f t="shared" si="9"/>
        <v>6</v>
      </c>
      <c r="S45" s="60">
        <f t="shared" si="10"/>
        <v>20000</v>
      </c>
      <c r="T45" s="60">
        <f t="shared" si="11"/>
        <v>20000</v>
      </c>
      <c r="U45" s="60">
        <f t="shared" si="12"/>
        <v>0</v>
      </c>
      <c r="V45" s="60">
        <f t="shared" si="13"/>
        <v>0</v>
      </c>
      <c r="W45" s="60">
        <f t="shared" si="14"/>
        <v>0</v>
      </c>
      <c r="X45" s="60">
        <f t="shared" si="15"/>
        <v>0</v>
      </c>
      <c r="Y45" s="60">
        <f t="shared" si="16"/>
        <v>0</v>
      </c>
      <c r="Z45" s="60">
        <f t="shared" si="17"/>
        <v>0</v>
      </c>
      <c r="AA45" s="52"/>
      <c r="AB45" s="52"/>
      <c r="AC45" s="60">
        <f t="shared" si="18"/>
        <v>0</v>
      </c>
      <c r="AD45" s="60">
        <f t="shared" si="19"/>
        <v>0</v>
      </c>
      <c r="AE45" s="42"/>
      <c r="AF45" s="42"/>
      <c r="AG45" s="60">
        <f t="shared" si="2"/>
        <v>5</v>
      </c>
      <c r="AH45" s="60">
        <f t="shared" si="20"/>
        <v>5</v>
      </c>
      <c r="AL45" s="25">
        <v>38</v>
      </c>
      <c r="AM45" s="77">
        <f t="shared" si="21"/>
        <v>12010</v>
      </c>
      <c r="AN45" s="77">
        <f t="shared" si="22"/>
        <v>0</v>
      </c>
      <c r="AO45" s="77">
        <f t="shared" si="23"/>
        <v>3266</v>
      </c>
      <c r="AP45" s="77">
        <f t="shared" si="24"/>
        <v>32580000</v>
      </c>
      <c r="AQ45" s="77">
        <f t="shared" si="25"/>
        <v>5500000</v>
      </c>
      <c r="AR45" s="40"/>
      <c r="AS45" s="77">
        <f t="shared" si="26"/>
        <v>0</v>
      </c>
      <c r="AT45" s="77">
        <f t="shared" si="27"/>
        <v>0</v>
      </c>
      <c r="AU45" s="77">
        <f t="shared" si="28"/>
        <v>1555</v>
      </c>
      <c r="AV45" s="72"/>
      <c r="AX45" s="54">
        <f>AM45/'[1]功能-推荐任务'!D96</f>
        <v>6.1589743589743593</v>
      </c>
      <c r="AY45" s="54" t="e">
        <f>AN45/'[1]功能-推荐任务'!E96</f>
        <v>#DIV/0!</v>
      </c>
      <c r="AZ45" s="54">
        <f>AO45/'[1]功能-推荐任务'!F96</f>
        <v>8.1649999999999991</v>
      </c>
      <c r="BA45" s="54">
        <f>AP45/'[1]功能-推荐任务'!G96</f>
        <v>40.725000000000001</v>
      </c>
      <c r="BB45" s="54" t="e">
        <f>AQ45/'[1]功能-推荐任务'!H96</f>
        <v>#DIV/0!</v>
      </c>
      <c r="BC45" s="37"/>
      <c r="BD45" s="54" t="e">
        <f>AS45/'[1]功能-推荐任务'!J96</f>
        <v>#DIV/0!</v>
      </c>
    </row>
    <row r="46" spans="2:58" ht="11.25" customHeight="1" x14ac:dyDescent="0.15">
      <c r="B46" s="79" t="str">
        <f t="shared" si="3"/>
        <v/>
      </c>
      <c r="C46" s="85"/>
      <c r="D46" s="75">
        <f>INDEX(节奏总纲!$AM$4:$AM$83,$F46)</f>
        <v>0.15</v>
      </c>
      <c r="E46" s="75">
        <f>求节点(节奏总纲!$P$4:$P$163,节奏总纲!$O$4:$O$163,$D46)</f>
        <v>2.0157878378790723</v>
      </c>
      <c r="F46" s="40">
        <v>5</v>
      </c>
      <c r="G46" s="85"/>
      <c r="H46" s="63" t="s">
        <v>375</v>
      </c>
      <c r="I46" s="63"/>
      <c r="J46" s="63"/>
      <c r="K46" s="63"/>
      <c r="M46" s="60">
        <f t="shared" si="4"/>
        <v>30</v>
      </c>
      <c r="N46" s="60">
        <f t="shared" si="5"/>
        <v>30</v>
      </c>
      <c r="O46" s="60">
        <f t="shared" si="6"/>
        <v>0</v>
      </c>
      <c r="P46" s="60">
        <f t="shared" si="7"/>
        <v>0</v>
      </c>
      <c r="Q46" s="60">
        <f t="shared" si="8"/>
        <v>6</v>
      </c>
      <c r="R46" s="60">
        <f t="shared" si="9"/>
        <v>6</v>
      </c>
      <c r="S46" s="60">
        <f t="shared" si="10"/>
        <v>20000</v>
      </c>
      <c r="T46" s="60">
        <f t="shared" si="11"/>
        <v>20000</v>
      </c>
      <c r="U46" s="60">
        <f t="shared" si="12"/>
        <v>0</v>
      </c>
      <c r="V46" s="60">
        <f t="shared" si="13"/>
        <v>0</v>
      </c>
      <c r="W46" s="60">
        <f t="shared" si="14"/>
        <v>0</v>
      </c>
      <c r="X46" s="60">
        <f t="shared" si="15"/>
        <v>0</v>
      </c>
      <c r="Y46" s="60">
        <f t="shared" si="16"/>
        <v>0</v>
      </c>
      <c r="Z46" s="60">
        <f t="shared" si="17"/>
        <v>0</v>
      </c>
      <c r="AA46" s="52"/>
      <c r="AB46" s="52"/>
      <c r="AC46" s="60">
        <f t="shared" si="18"/>
        <v>0</v>
      </c>
      <c r="AD46" s="60">
        <f t="shared" si="19"/>
        <v>0</v>
      </c>
      <c r="AE46" s="42"/>
      <c r="AF46" s="42"/>
      <c r="AG46" s="60">
        <f t="shared" si="2"/>
        <v>5</v>
      </c>
      <c r="AH46" s="60">
        <f t="shared" si="20"/>
        <v>5</v>
      </c>
      <c r="AL46" s="25">
        <v>39</v>
      </c>
      <c r="AM46" s="77">
        <f t="shared" si="21"/>
        <v>12260</v>
      </c>
      <c r="AN46" s="77">
        <f t="shared" si="22"/>
        <v>0</v>
      </c>
      <c r="AO46" s="77">
        <f t="shared" si="23"/>
        <v>3346</v>
      </c>
      <c r="AP46" s="77">
        <f t="shared" si="24"/>
        <v>34030000</v>
      </c>
      <c r="AQ46" s="77">
        <f t="shared" si="25"/>
        <v>5900000</v>
      </c>
      <c r="AR46" s="40"/>
      <c r="AS46" s="77">
        <f t="shared" si="26"/>
        <v>0</v>
      </c>
      <c r="AT46" s="77">
        <f t="shared" si="27"/>
        <v>0</v>
      </c>
      <c r="AU46" s="77">
        <f t="shared" si="28"/>
        <v>1580</v>
      </c>
      <c r="AV46" s="72"/>
      <c r="AX46" s="54">
        <f>AM46/'[1]功能-推荐任务'!D97</f>
        <v>5.4488888888888889</v>
      </c>
      <c r="AY46" s="54" t="e">
        <f>AN46/'[1]功能-推荐任务'!E97</f>
        <v>#DIV/0!</v>
      </c>
      <c r="AZ46" s="54">
        <f>AO46/'[1]功能-推荐任务'!F97</f>
        <v>7.4355555555555553</v>
      </c>
      <c r="BA46" s="54">
        <f>AP46/'[1]功能-推荐任务'!G97</f>
        <v>35.821052631578951</v>
      </c>
      <c r="BB46" s="54" t="e">
        <f>AQ46/'[1]功能-推荐任务'!H97</f>
        <v>#DIV/0!</v>
      </c>
      <c r="BC46" s="37"/>
      <c r="BD46" s="54" t="e">
        <f>AS46/'[1]功能-推荐任务'!J97</f>
        <v>#DIV/0!</v>
      </c>
    </row>
    <row r="47" spans="2:58" ht="11.25" customHeight="1" x14ac:dyDescent="0.15">
      <c r="B47" s="79" t="str">
        <f t="shared" si="3"/>
        <v/>
      </c>
      <c r="C47" s="85"/>
      <c r="D47" s="75">
        <f>INDEX(节奏总纲!$AM$4:$AM$83,$F47)</f>
        <v>0.15</v>
      </c>
      <c r="E47" s="75">
        <f>求节点(节奏总纲!$P$4:$P$163,节奏总纲!$O$4:$O$163,$D47)</f>
        <v>2.0157878378790723</v>
      </c>
      <c r="F47" s="40">
        <v>5</v>
      </c>
      <c r="G47" s="85"/>
      <c r="H47" s="63" t="s">
        <v>587</v>
      </c>
      <c r="I47" s="63"/>
      <c r="J47" s="63"/>
      <c r="K47" s="63"/>
      <c r="M47" s="60">
        <f t="shared" si="4"/>
        <v>30</v>
      </c>
      <c r="N47" s="60">
        <f t="shared" si="5"/>
        <v>30</v>
      </c>
      <c r="O47" s="60">
        <f t="shared" si="6"/>
        <v>0</v>
      </c>
      <c r="P47" s="60">
        <f t="shared" si="7"/>
        <v>0</v>
      </c>
      <c r="Q47" s="60">
        <f t="shared" si="8"/>
        <v>6</v>
      </c>
      <c r="R47" s="60">
        <f t="shared" si="9"/>
        <v>6</v>
      </c>
      <c r="S47" s="60">
        <f t="shared" si="10"/>
        <v>20000</v>
      </c>
      <c r="T47" s="60">
        <f t="shared" si="11"/>
        <v>20000</v>
      </c>
      <c r="U47" s="60">
        <f t="shared" si="12"/>
        <v>0</v>
      </c>
      <c r="V47" s="60">
        <f t="shared" si="13"/>
        <v>0</v>
      </c>
      <c r="W47" s="60">
        <f t="shared" si="14"/>
        <v>0</v>
      </c>
      <c r="X47" s="60">
        <f t="shared" si="15"/>
        <v>0</v>
      </c>
      <c r="Y47" s="60">
        <f t="shared" si="16"/>
        <v>0</v>
      </c>
      <c r="Z47" s="60">
        <f t="shared" si="17"/>
        <v>0</v>
      </c>
      <c r="AA47" s="52"/>
      <c r="AB47" s="52"/>
      <c r="AC47" s="60">
        <f t="shared" si="18"/>
        <v>0</v>
      </c>
      <c r="AD47" s="60">
        <f t="shared" si="19"/>
        <v>0</v>
      </c>
      <c r="AE47" s="42"/>
      <c r="AF47" s="42"/>
      <c r="AG47" s="60">
        <f t="shared" si="2"/>
        <v>5</v>
      </c>
      <c r="AH47" s="60">
        <f t="shared" si="20"/>
        <v>5</v>
      </c>
      <c r="AL47" s="25">
        <v>40</v>
      </c>
      <c r="AM47" s="77">
        <f t="shared" si="21"/>
        <v>12760</v>
      </c>
      <c r="AN47" s="77">
        <f t="shared" si="22"/>
        <v>0</v>
      </c>
      <c r="AO47" s="77">
        <f t="shared" si="23"/>
        <v>3506</v>
      </c>
      <c r="AP47" s="77">
        <f t="shared" si="24"/>
        <v>37030000</v>
      </c>
      <c r="AQ47" s="77">
        <f t="shared" si="25"/>
        <v>6700000</v>
      </c>
      <c r="AR47" s="40"/>
      <c r="AS47" s="77">
        <f t="shared" si="26"/>
        <v>0</v>
      </c>
      <c r="AT47" s="77">
        <f t="shared" si="27"/>
        <v>0</v>
      </c>
      <c r="AU47" s="77">
        <f t="shared" si="28"/>
        <v>1630</v>
      </c>
      <c r="AV47" s="72"/>
      <c r="AX47" s="54">
        <f>AM47/'[1]功能-推荐任务'!D98</f>
        <v>5.003921568627451</v>
      </c>
      <c r="AY47" s="54" t="e">
        <f>AN47/'[1]功能-推荐任务'!E98</f>
        <v>#DIV/0!</v>
      </c>
      <c r="AZ47" s="54">
        <f>AO47/'[1]功能-推荐任务'!F98</f>
        <v>7.0119999999999996</v>
      </c>
      <c r="BA47" s="54">
        <f>AP47/'[1]功能-推荐任务'!G98</f>
        <v>33.663636363636364</v>
      </c>
      <c r="BB47" s="54" t="e">
        <f>AQ47/'[1]功能-推荐任务'!H98</f>
        <v>#DIV/0!</v>
      </c>
      <c r="BC47" s="37"/>
      <c r="BD47" s="54" t="e">
        <f>AS47/'[1]功能-推荐任务'!J98</f>
        <v>#DIV/0!</v>
      </c>
    </row>
    <row r="48" spans="2:58" ht="11.25" customHeight="1" x14ac:dyDescent="0.15">
      <c r="B48" s="79" t="str">
        <f t="shared" si="3"/>
        <v/>
      </c>
      <c r="C48" s="85"/>
      <c r="D48" s="75">
        <f>INDEX(节奏总纲!$AM$4:$AM$83,$F48)</f>
        <v>0.15</v>
      </c>
      <c r="E48" s="75">
        <f>求节点(节奏总纲!$P$4:$P$163,节奏总纲!$O$4:$O$163,$D48)</f>
        <v>2.0157878378790723</v>
      </c>
      <c r="F48" s="40">
        <v>5</v>
      </c>
      <c r="G48" s="85"/>
      <c r="H48" s="63" t="s">
        <v>608</v>
      </c>
      <c r="I48" s="63"/>
      <c r="J48" s="63"/>
      <c r="K48" s="63"/>
      <c r="M48" s="60">
        <f t="shared" si="4"/>
        <v>30</v>
      </c>
      <c r="N48" s="60">
        <f t="shared" si="5"/>
        <v>30</v>
      </c>
      <c r="O48" s="60">
        <f t="shared" si="6"/>
        <v>0</v>
      </c>
      <c r="P48" s="60">
        <f t="shared" si="7"/>
        <v>0</v>
      </c>
      <c r="Q48" s="60">
        <f t="shared" si="8"/>
        <v>6</v>
      </c>
      <c r="R48" s="60">
        <f t="shared" si="9"/>
        <v>6</v>
      </c>
      <c r="S48" s="60">
        <f t="shared" si="10"/>
        <v>20000</v>
      </c>
      <c r="T48" s="60">
        <f t="shared" si="11"/>
        <v>20000</v>
      </c>
      <c r="U48" s="60">
        <f t="shared" si="12"/>
        <v>0</v>
      </c>
      <c r="V48" s="60">
        <f t="shared" si="13"/>
        <v>0</v>
      </c>
      <c r="W48" s="60">
        <f t="shared" si="14"/>
        <v>0</v>
      </c>
      <c r="X48" s="60">
        <f t="shared" si="15"/>
        <v>0</v>
      </c>
      <c r="Y48" s="60">
        <f t="shared" si="16"/>
        <v>0</v>
      </c>
      <c r="Z48" s="60">
        <f t="shared" si="17"/>
        <v>0</v>
      </c>
      <c r="AA48" s="52"/>
      <c r="AB48" s="52"/>
      <c r="AC48" s="60">
        <f t="shared" si="18"/>
        <v>0</v>
      </c>
      <c r="AD48" s="60">
        <f t="shared" si="19"/>
        <v>0</v>
      </c>
      <c r="AE48" s="42"/>
      <c r="AF48" s="42"/>
      <c r="AG48" s="60">
        <f t="shared" si="2"/>
        <v>5</v>
      </c>
      <c r="AH48" s="60">
        <f t="shared" si="20"/>
        <v>5</v>
      </c>
      <c r="AL48" s="25">
        <v>41</v>
      </c>
      <c r="AM48" s="77">
        <f t="shared" si="21"/>
        <v>12910</v>
      </c>
      <c r="AN48" s="77">
        <f t="shared" si="22"/>
        <v>0</v>
      </c>
      <c r="AO48" s="77">
        <f t="shared" si="23"/>
        <v>3557</v>
      </c>
      <c r="AP48" s="77">
        <f t="shared" si="24"/>
        <v>37990000</v>
      </c>
      <c r="AQ48" s="77">
        <f t="shared" si="25"/>
        <v>6940000</v>
      </c>
      <c r="AR48" s="40"/>
      <c r="AS48" s="77">
        <f t="shared" si="26"/>
        <v>0</v>
      </c>
      <c r="AT48" s="77">
        <f t="shared" si="27"/>
        <v>0</v>
      </c>
      <c r="AU48" s="77">
        <f t="shared" si="28"/>
        <v>1645</v>
      </c>
      <c r="AV48" s="72"/>
      <c r="AX48" s="54">
        <f>AM48/'[1]功能-推荐任务'!D99</f>
        <v>4.5298245614035091</v>
      </c>
      <c r="AY48" s="54" t="e">
        <f>AN48/'[1]功能-推荐任务'!E99</f>
        <v>#DIV/0!</v>
      </c>
      <c r="AZ48" s="54">
        <f>AO48/'[1]功能-推荐任务'!F99</f>
        <v>6.1860869565217396</v>
      </c>
      <c r="BA48" s="54">
        <f>AP48/'[1]功能-推荐任务'!G99</f>
        <v>30.391999999999999</v>
      </c>
      <c r="BB48" s="54" t="e">
        <f>AQ48/'[1]功能-推荐任务'!H99</f>
        <v>#DIV/0!</v>
      </c>
      <c r="BC48" s="37"/>
      <c r="BD48" s="54" t="e">
        <f>AS48/'[1]功能-推荐任务'!J99</f>
        <v>#DIV/0!</v>
      </c>
    </row>
    <row r="49" spans="1:58" ht="11.25" customHeight="1" x14ac:dyDescent="0.15">
      <c r="B49" s="79" t="str">
        <f t="shared" si="3"/>
        <v/>
      </c>
      <c r="C49" s="85"/>
      <c r="D49" s="75">
        <f>INDEX(节奏总纲!$AM$4:$AM$83,$F49)</f>
        <v>0.15</v>
      </c>
      <c r="E49" s="75">
        <f>求节点(节奏总纲!$P$4:$P$163,节奏总纲!$O$4:$O$163,$D49)</f>
        <v>2.0157878378790723</v>
      </c>
      <c r="F49" s="40">
        <v>5</v>
      </c>
      <c r="G49" s="85"/>
      <c r="H49" s="63"/>
      <c r="I49" s="63"/>
      <c r="J49" s="63"/>
      <c r="K49" s="63"/>
      <c r="M49" s="60">
        <f t="shared" si="4"/>
        <v>30</v>
      </c>
      <c r="N49" s="60">
        <f t="shared" si="5"/>
        <v>0</v>
      </c>
      <c r="O49" s="60">
        <f t="shared" si="6"/>
        <v>0</v>
      </c>
      <c r="P49" s="60">
        <f t="shared" si="7"/>
        <v>0</v>
      </c>
      <c r="Q49" s="60">
        <f t="shared" si="8"/>
        <v>6</v>
      </c>
      <c r="R49" s="60">
        <f t="shared" si="9"/>
        <v>0</v>
      </c>
      <c r="S49" s="60">
        <f t="shared" si="10"/>
        <v>20000</v>
      </c>
      <c r="T49" s="60">
        <f t="shared" si="11"/>
        <v>0</v>
      </c>
      <c r="U49" s="60">
        <f t="shared" si="12"/>
        <v>0</v>
      </c>
      <c r="V49" s="60">
        <f t="shared" si="13"/>
        <v>0</v>
      </c>
      <c r="W49" s="60">
        <f t="shared" si="14"/>
        <v>0</v>
      </c>
      <c r="X49" s="60">
        <f t="shared" si="15"/>
        <v>0</v>
      </c>
      <c r="Y49" s="60">
        <f t="shared" si="16"/>
        <v>0</v>
      </c>
      <c r="Z49" s="60">
        <f t="shared" si="17"/>
        <v>0</v>
      </c>
      <c r="AA49" s="52"/>
      <c r="AB49" s="52"/>
      <c r="AC49" s="60">
        <f t="shared" si="18"/>
        <v>0</v>
      </c>
      <c r="AD49" s="60">
        <f t="shared" si="19"/>
        <v>0</v>
      </c>
      <c r="AE49" s="42"/>
      <c r="AF49" s="42"/>
      <c r="AG49" s="60">
        <f t="shared" si="2"/>
        <v>5</v>
      </c>
      <c r="AH49" s="60">
        <f t="shared" si="20"/>
        <v>0</v>
      </c>
      <c r="AL49" s="25">
        <v>42</v>
      </c>
      <c r="AM49" s="77">
        <f t="shared" si="21"/>
        <v>13360</v>
      </c>
      <c r="AN49" s="77">
        <f t="shared" si="22"/>
        <v>0</v>
      </c>
      <c r="AO49" s="77">
        <f t="shared" si="23"/>
        <v>3710</v>
      </c>
      <c r="AP49" s="77">
        <f t="shared" si="24"/>
        <v>40960000</v>
      </c>
      <c r="AQ49" s="77">
        <f t="shared" si="25"/>
        <v>7660000</v>
      </c>
      <c r="AR49" s="40"/>
      <c r="AS49" s="77">
        <f t="shared" si="26"/>
        <v>0</v>
      </c>
      <c r="AT49" s="77">
        <f t="shared" si="27"/>
        <v>0</v>
      </c>
      <c r="AU49" s="77">
        <f t="shared" si="28"/>
        <v>1690</v>
      </c>
      <c r="AV49" s="72"/>
      <c r="AX49" s="54">
        <f>AM49/'[1]功能-推荐任务'!D100</f>
        <v>4.2412698412698413</v>
      </c>
      <c r="AY49" s="54" t="e">
        <f>AN49/'[1]功能-推荐任务'!E100</f>
        <v>#DIV/0!</v>
      </c>
      <c r="AZ49" s="54">
        <f>AO49/'[1]功能-推荐任务'!F100</f>
        <v>5.7076923076923078</v>
      </c>
      <c r="BA49" s="54">
        <f>AP49/'[1]功能-推荐任务'!G100</f>
        <v>29.257142857142856</v>
      </c>
      <c r="BB49" s="54" t="e">
        <f>AQ49/'[1]功能-推荐任务'!H100</f>
        <v>#DIV/0!</v>
      </c>
      <c r="BC49" s="37"/>
      <c r="BD49" s="54" t="e">
        <f>AS49/'[1]功能-推荐任务'!J100</f>
        <v>#DIV/0!</v>
      </c>
    </row>
    <row r="50" spans="1:58" ht="11.25" customHeight="1" x14ac:dyDescent="0.15">
      <c r="B50" s="79" t="str">
        <f t="shared" si="3"/>
        <v/>
      </c>
      <c r="C50" s="85"/>
      <c r="D50" s="75">
        <f>INDEX(节奏总纲!$AM$4:$AM$83,$F50)</f>
        <v>0.15</v>
      </c>
      <c r="E50" s="75">
        <f>求节点(节奏总纲!$P$4:$P$163,节奏总纲!$O$4:$O$163,$D50)</f>
        <v>2.0157878378790723</v>
      </c>
      <c r="F50" s="40">
        <v>5</v>
      </c>
      <c r="G50" s="85"/>
      <c r="H50" s="63" t="s">
        <v>381</v>
      </c>
      <c r="I50" s="63"/>
      <c r="J50" s="63"/>
      <c r="K50" s="63"/>
      <c r="M50" s="60">
        <f t="shared" si="4"/>
        <v>30</v>
      </c>
      <c r="N50" s="60">
        <f t="shared" si="5"/>
        <v>30</v>
      </c>
      <c r="O50" s="60">
        <f t="shared" si="6"/>
        <v>0</v>
      </c>
      <c r="P50" s="60">
        <f t="shared" si="7"/>
        <v>0</v>
      </c>
      <c r="Q50" s="60">
        <f t="shared" si="8"/>
        <v>6</v>
      </c>
      <c r="R50" s="60">
        <f t="shared" si="9"/>
        <v>6</v>
      </c>
      <c r="S50" s="60">
        <f t="shared" si="10"/>
        <v>20000</v>
      </c>
      <c r="T50" s="60">
        <f t="shared" si="11"/>
        <v>20000</v>
      </c>
      <c r="U50" s="60">
        <f t="shared" si="12"/>
        <v>0</v>
      </c>
      <c r="V50" s="60">
        <f t="shared" si="13"/>
        <v>0</v>
      </c>
      <c r="W50" s="60">
        <f t="shared" si="14"/>
        <v>0</v>
      </c>
      <c r="X50" s="60">
        <f t="shared" si="15"/>
        <v>0</v>
      </c>
      <c r="Y50" s="60">
        <f t="shared" si="16"/>
        <v>0</v>
      </c>
      <c r="Z50" s="60">
        <f t="shared" si="17"/>
        <v>0</v>
      </c>
      <c r="AA50" s="52"/>
      <c r="AB50" s="52"/>
      <c r="AC50" s="60">
        <f t="shared" si="18"/>
        <v>0</v>
      </c>
      <c r="AD50" s="60">
        <f t="shared" si="19"/>
        <v>0</v>
      </c>
      <c r="AE50" s="42"/>
      <c r="AF50" s="42"/>
      <c r="AG50" s="60">
        <f t="shared" si="2"/>
        <v>5</v>
      </c>
      <c r="AH50" s="60">
        <f t="shared" si="20"/>
        <v>5</v>
      </c>
      <c r="AL50" s="25">
        <v>43</v>
      </c>
      <c r="AM50" s="77">
        <f t="shared" si="21"/>
        <v>13510</v>
      </c>
      <c r="AN50" s="77">
        <f t="shared" si="22"/>
        <v>0</v>
      </c>
      <c r="AO50" s="77">
        <f t="shared" si="23"/>
        <v>3761</v>
      </c>
      <c r="AP50" s="77">
        <f t="shared" si="24"/>
        <v>41980000</v>
      </c>
      <c r="AQ50" s="77">
        <f t="shared" si="25"/>
        <v>7930000</v>
      </c>
      <c r="AR50" s="40"/>
      <c r="AS50" s="77">
        <f t="shared" si="26"/>
        <v>0</v>
      </c>
      <c r="AT50" s="77">
        <f t="shared" si="27"/>
        <v>0</v>
      </c>
      <c r="AU50" s="77">
        <f t="shared" si="28"/>
        <v>1705</v>
      </c>
      <c r="AV50" s="72"/>
      <c r="AX50" s="54">
        <f>AM50/'[1]功能-推荐任务'!D101</f>
        <v>3.9159420289855071</v>
      </c>
      <c r="AY50" s="54" t="e">
        <f>AN50/'[1]功能-推荐任务'!E101</f>
        <v>#DIV/0!</v>
      </c>
      <c r="AZ50" s="54">
        <f>AO50/'[1]功能-推荐任务'!F101</f>
        <v>5.1875862068965519</v>
      </c>
      <c r="BA50" s="54">
        <f>AP50/'[1]功能-推荐任务'!G101</f>
        <v>27.083870967741934</v>
      </c>
      <c r="BB50" s="54" t="e">
        <f>AQ50/'[1]功能-推荐任务'!H101</f>
        <v>#DIV/0!</v>
      </c>
      <c r="BC50" s="37"/>
      <c r="BD50" s="54" t="e">
        <f>AS50/'[1]功能-推荐任务'!J101</f>
        <v>#DIV/0!</v>
      </c>
    </row>
    <row r="51" spans="1:58" ht="11.25" customHeight="1" x14ac:dyDescent="0.15">
      <c r="B51" s="79" t="str">
        <f t="shared" si="3"/>
        <v/>
      </c>
      <c r="C51" s="85"/>
      <c r="D51" s="75">
        <f>INDEX(节奏总纲!$AM$4:$AM$83,$F51)</f>
        <v>0.15</v>
      </c>
      <c r="E51" s="75">
        <f>求节点(节奏总纲!$P$4:$P$163,节奏总纲!$O$4:$O$163,$D51)</f>
        <v>2.0157878378790723</v>
      </c>
      <c r="F51" s="40">
        <v>5</v>
      </c>
      <c r="G51" s="85"/>
      <c r="H51" s="63" t="s">
        <v>382</v>
      </c>
      <c r="I51" s="63"/>
      <c r="J51" s="63"/>
      <c r="K51" s="63"/>
      <c r="M51" s="60">
        <f t="shared" si="4"/>
        <v>30</v>
      </c>
      <c r="N51" s="60">
        <f t="shared" si="5"/>
        <v>30</v>
      </c>
      <c r="O51" s="60">
        <f t="shared" si="6"/>
        <v>0</v>
      </c>
      <c r="P51" s="60">
        <f t="shared" si="7"/>
        <v>0</v>
      </c>
      <c r="Q51" s="60">
        <f t="shared" si="8"/>
        <v>6</v>
      </c>
      <c r="R51" s="60">
        <f t="shared" si="9"/>
        <v>6</v>
      </c>
      <c r="S51" s="60">
        <f t="shared" si="10"/>
        <v>20000</v>
      </c>
      <c r="T51" s="60">
        <f t="shared" si="11"/>
        <v>20000</v>
      </c>
      <c r="U51" s="60">
        <f t="shared" si="12"/>
        <v>0</v>
      </c>
      <c r="V51" s="60">
        <f t="shared" si="13"/>
        <v>0</v>
      </c>
      <c r="W51" s="60">
        <f t="shared" si="14"/>
        <v>0</v>
      </c>
      <c r="X51" s="60">
        <f t="shared" si="15"/>
        <v>0</v>
      </c>
      <c r="Y51" s="60">
        <f t="shared" si="16"/>
        <v>0</v>
      </c>
      <c r="Z51" s="60">
        <f t="shared" si="17"/>
        <v>0</v>
      </c>
      <c r="AA51" s="52"/>
      <c r="AB51" s="52"/>
      <c r="AC51" s="60">
        <f t="shared" si="18"/>
        <v>0</v>
      </c>
      <c r="AD51" s="60">
        <f t="shared" si="19"/>
        <v>0</v>
      </c>
      <c r="AE51" s="42"/>
      <c r="AF51" s="42"/>
      <c r="AG51" s="60">
        <f t="shared" si="2"/>
        <v>5</v>
      </c>
      <c r="AH51" s="60">
        <f t="shared" si="20"/>
        <v>5</v>
      </c>
      <c r="AL51" s="25">
        <v>44</v>
      </c>
      <c r="AM51" s="77">
        <f t="shared" si="21"/>
        <v>13810</v>
      </c>
      <c r="AN51" s="77">
        <f t="shared" si="22"/>
        <v>0</v>
      </c>
      <c r="AO51" s="77">
        <f t="shared" si="23"/>
        <v>3863</v>
      </c>
      <c r="AP51" s="77">
        <f t="shared" si="24"/>
        <v>44080000</v>
      </c>
      <c r="AQ51" s="77">
        <f t="shared" si="25"/>
        <v>8470000</v>
      </c>
      <c r="AR51" s="40"/>
      <c r="AS51" s="77">
        <f t="shared" si="26"/>
        <v>0</v>
      </c>
      <c r="AT51" s="77">
        <f t="shared" si="27"/>
        <v>0</v>
      </c>
      <c r="AU51" s="77">
        <f t="shared" si="28"/>
        <v>1735</v>
      </c>
      <c r="AV51" s="72"/>
      <c r="AX51" s="54">
        <f>AM51/'[1]功能-推荐任务'!D102</f>
        <v>3.6826666666666665</v>
      </c>
      <c r="AY51" s="54" t="e">
        <f>AN51/'[1]功能-推荐任务'!E102</f>
        <v>#DIV/0!</v>
      </c>
      <c r="AZ51" s="54">
        <f>AO51/'[1]功能-推荐任务'!F102</f>
        <v>4.8287500000000003</v>
      </c>
      <c r="BA51" s="54">
        <f>AP51/'[1]功能-推荐任务'!G102</f>
        <v>25.929411764705883</v>
      </c>
      <c r="BB51" s="54" t="e">
        <f>AQ51/'[1]功能-推荐任务'!H102</f>
        <v>#DIV/0!</v>
      </c>
      <c r="BC51" s="37"/>
      <c r="BD51" s="54" t="e">
        <f>AS51/'[1]功能-推荐任务'!J102</f>
        <v>#DIV/0!</v>
      </c>
      <c r="BF51" s="25"/>
    </row>
    <row r="52" spans="1:58" s="25" customFormat="1" ht="11.25" customHeight="1" x14ac:dyDescent="0.15">
      <c r="A52" s="40"/>
      <c r="B52" s="79" t="str">
        <f t="shared" si="3"/>
        <v/>
      </c>
      <c r="C52" s="85"/>
      <c r="D52" s="75">
        <f>INDEX(节奏总纲!$AM$4:$AM$83,$F52)</f>
        <v>0.15</v>
      </c>
      <c r="E52" s="75">
        <f>求节点(节奏总纲!$P$4:$P$163,节奏总纲!$O$4:$O$163,$D52)</f>
        <v>2.0157878378790723</v>
      </c>
      <c r="F52" s="40">
        <v>5</v>
      </c>
      <c r="G52" s="85"/>
      <c r="H52" s="63" t="s">
        <v>383</v>
      </c>
      <c r="I52" s="63"/>
      <c r="J52" s="63"/>
      <c r="K52" s="63"/>
      <c r="L52" s="40"/>
      <c r="M52" s="60">
        <f t="shared" si="4"/>
        <v>30</v>
      </c>
      <c r="N52" s="60">
        <f t="shared" si="5"/>
        <v>30</v>
      </c>
      <c r="O52" s="60">
        <f t="shared" si="6"/>
        <v>0</v>
      </c>
      <c r="P52" s="60">
        <f t="shared" si="7"/>
        <v>0</v>
      </c>
      <c r="Q52" s="60">
        <f t="shared" si="8"/>
        <v>6</v>
      </c>
      <c r="R52" s="60">
        <f t="shared" si="9"/>
        <v>6</v>
      </c>
      <c r="S52" s="60">
        <f t="shared" si="10"/>
        <v>20000</v>
      </c>
      <c r="T52" s="60">
        <f t="shared" si="11"/>
        <v>20000</v>
      </c>
      <c r="U52" s="60">
        <f t="shared" si="12"/>
        <v>0</v>
      </c>
      <c r="V52" s="60">
        <f t="shared" si="13"/>
        <v>0</v>
      </c>
      <c r="W52" s="60">
        <f t="shared" si="14"/>
        <v>0</v>
      </c>
      <c r="X52" s="60">
        <f t="shared" si="15"/>
        <v>0</v>
      </c>
      <c r="Y52" s="60">
        <f t="shared" si="16"/>
        <v>0</v>
      </c>
      <c r="Z52" s="60">
        <f t="shared" si="17"/>
        <v>0</v>
      </c>
      <c r="AA52" s="52"/>
      <c r="AB52" s="52"/>
      <c r="AC52" s="60">
        <f t="shared" si="18"/>
        <v>0</v>
      </c>
      <c r="AD52" s="60">
        <f t="shared" si="19"/>
        <v>0</v>
      </c>
      <c r="AE52" s="42"/>
      <c r="AF52" s="42"/>
      <c r="AG52" s="60">
        <f t="shared" si="2"/>
        <v>5</v>
      </c>
      <c r="AH52" s="60">
        <f t="shared" si="20"/>
        <v>5</v>
      </c>
      <c r="AI52" s="38"/>
      <c r="AJ52" s="22"/>
      <c r="AL52" s="25">
        <v>45</v>
      </c>
      <c r="AM52" s="77">
        <f t="shared" si="21"/>
        <v>14160</v>
      </c>
      <c r="AN52" s="77">
        <f t="shared" si="22"/>
        <v>0</v>
      </c>
      <c r="AO52" s="77">
        <f t="shared" si="23"/>
        <v>3982</v>
      </c>
      <c r="AP52" s="77">
        <f t="shared" si="24"/>
        <v>46670000</v>
      </c>
      <c r="AQ52" s="77">
        <f t="shared" si="25"/>
        <v>9100000</v>
      </c>
      <c r="AR52" s="40"/>
      <c r="AS52" s="77">
        <f t="shared" si="26"/>
        <v>0</v>
      </c>
      <c r="AT52" s="77">
        <f t="shared" si="27"/>
        <v>0</v>
      </c>
      <c r="AU52" s="77">
        <f t="shared" si="28"/>
        <v>1770</v>
      </c>
      <c r="AV52" s="72"/>
      <c r="AW52" s="35"/>
      <c r="AX52" s="54">
        <f>AM52/'[1]功能-推荐任务'!D103</f>
        <v>3.4962962962962965</v>
      </c>
      <c r="AY52" s="54" t="e">
        <f>AN52/'[1]功能-推荐任务'!E103</f>
        <v>#DIV/0!</v>
      </c>
      <c r="AZ52" s="54">
        <f>AO52/'[1]功能-推荐任务'!F103</f>
        <v>4.5508571428571427</v>
      </c>
      <c r="BA52" s="54">
        <f>AP52/'[1]功能-推荐任务'!G103</f>
        <v>25.227027027027027</v>
      </c>
      <c r="BB52" s="54" t="e">
        <f>AQ52/'[1]功能-推荐任务'!H103</f>
        <v>#DIV/0!</v>
      </c>
      <c r="BC52" s="37"/>
      <c r="BD52" s="54" t="e">
        <f>AS52/'[1]功能-推荐任务'!J103</f>
        <v>#DIV/0!</v>
      </c>
      <c r="BE52" s="35"/>
    </row>
    <row r="53" spans="1:58" s="25" customFormat="1" ht="11.25" customHeight="1" x14ac:dyDescent="0.15">
      <c r="A53" s="40"/>
      <c r="B53" s="79" t="str">
        <f t="shared" si="3"/>
        <v/>
      </c>
      <c r="C53" s="85"/>
      <c r="D53" s="75">
        <f>INDEX(节奏总纲!$AM$4:$AM$83,$F53)</f>
        <v>0.15</v>
      </c>
      <c r="E53" s="75">
        <f>求节点(节奏总纲!$P$4:$P$163,节奏总纲!$O$4:$O$163,$D53)</f>
        <v>2.0157878378790723</v>
      </c>
      <c r="F53" s="40">
        <v>5</v>
      </c>
      <c r="G53" s="85"/>
      <c r="H53" s="63" t="s">
        <v>384</v>
      </c>
      <c r="I53" s="63"/>
      <c r="J53" s="63"/>
      <c r="K53" s="63"/>
      <c r="L53" s="40"/>
      <c r="M53" s="60">
        <f t="shared" si="4"/>
        <v>30</v>
      </c>
      <c r="N53" s="60">
        <f t="shared" si="5"/>
        <v>30</v>
      </c>
      <c r="O53" s="60">
        <f t="shared" si="6"/>
        <v>0</v>
      </c>
      <c r="P53" s="60">
        <f t="shared" si="7"/>
        <v>0</v>
      </c>
      <c r="Q53" s="60">
        <f t="shared" si="8"/>
        <v>6</v>
      </c>
      <c r="R53" s="60">
        <f t="shared" si="9"/>
        <v>6</v>
      </c>
      <c r="S53" s="60">
        <f t="shared" si="10"/>
        <v>20000</v>
      </c>
      <c r="T53" s="60">
        <f t="shared" si="11"/>
        <v>20000</v>
      </c>
      <c r="U53" s="60">
        <f t="shared" si="12"/>
        <v>0</v>
      </c>
      <c r="V53" s="60">
        <f t="shared" si="13"/>
        <v>0</v>
      </c>
      <c r="W53" s="60">
        <f t="shared" si="14"/>
        <v>0</v>
      </c>
      <c r="X53" s="60">
        <f t="shared" si="15"/>
        <v>0</v>
      </c>
      <c r="Y53" s="60">
        <f t="shared" si="16"/>
        <v>0</v>
      </c>
      <c r="Z53" s="60">
        <f t="shared" si="17"/>
        <v>0</v>
      </c>
      <c r="AA53" s="52"/>
      <c r="AB53" s="52"/>
      <c r="AC53" s="60">
        <f t="shared" si="18"/>
        <v>0</v>
      </c>
      <c r="AD53" s="60">
        <f t="shared" si="19"/>
        <v>0</v>
      </c>
      <c r="AE53" s="42"/>
      <c r="AF53" s="42"/>
      <c r="AG53" s="60">
        <f t="shared" si="2"/>
        <v>5</v>
      </c>
      <c r="AH53" s="60">
        <f t="shared" si="20"/>
        <v>5</v>
      </c>
      <c r="AI53" s="38"/>
      <c r="AJ53" s="22"/>
      <c r="AL53" s="25">
        <v>46</v>
      </c>
      <c r="AM53" s="77">
        <f t="shared" si="21"/>
        <v>14460</v>
      </c>
      <c r="AN53" s="77">
        <f t="shared" si="22"/>
        <v>0</v>
      </c>
      <c r="AO53" s="77">
        <f t="shared" si="23"/>
        <v>4084</v>
      </c>
      <c r="AP53" s="77">
        <f t="shared" si="24"/>
        <v>48950000</v>
      </c>
      <c r="AQ53" s="77">
        <f t="shared" si="25"/>
        <v>9640000</v>
      </c>
      <c r="AR53" s="40"/>
      <c r="AS53" s="77">
        <f t="shared" si="26"/>
        <v>0</v>
      </c>
      <c r="AT53" s="77">
        <f t="shared" si="27"/>
        <v>0</v>
      </c>
      <c r="AU53" s="77">
        <f t="shared" si="28"/>
        <v>1800</v>
      </c>
      <c r="AV53" s="72"/>
      <c r="AW53" s="35"/>
      <c r="AX53" s="54">
        <f>AM53/'[1]功能-推荐任务'!D104</f>
        <v>3.3241379310344827</v>
      </c>
      <c r="AY53" s="54" t="e">
        <f>AN53/'[1]功能-推荐任务'!E104</f>
        <v>#DIV/0!</v>
      </c>
      <c r="AZ53" s="54">
        <f>AO53/'[1]功能-推荐任务'!F104</f>
        <v>4.2989473684210529</v>
      </c>
      <c r="BA53" s="54">
        <f>AP53/'[1]功能-推荐任务'!G104</f>
        <v>24.475000000000001</v>
      </c>
      <c r="BB53" s="54" t="e">
        <f>AQ53/'[1]功能-推荐任务'!H104</f>
        <v>#DIV/0!</v>
      </c>
      <c r="BC53" s="37"/>
      <c r="BD53" s="54" t="e">
        <f>AS53/'[1]功能-推荐任务'!J104</f>
        <v>#DIV/0!</v>
      </c>
      <c r="BE53" s="35"/>
    </row>
    <row r="54" spans="1:58" s="25" customFormat="1" ht="11.25" customHeight="1" x14ac:dyDescent="0.15">
      <c r="A54" s="40"/>
      <c r="B54" s="79" t="str">
        <f t="shared" si="3"/>
        <v/>
      </c>
      <c r="C54" s="85"/>
      <c r="D54" s="75">
        <f>INDEX(节奏总纲!$AM$4:$AM$83,$F54)</f>
        <v>0.15</v>
      </c>
      <c r="E54" s="75">
        <f>求节点(节奏总纲!$P$4:$P$163,节奏总纲!$O$4:$O$163,$D54)</f>
        <v>2.0157878378790723</v>
      </c>
      <c r="F54" s="40">
        <v>5</v>
      </c>
      <c r="G54" s="85"/>
      <c r="H54" s="63" t="s">
        <v>385</v>
      </c>
      <c r="I54" s="63"/>
      <c r="J54" s="63"/>
      <c r="K54" s="63"/>
      <c r="L54" s="40"/>
      <c r="M54" s="60">
        <f t="shared" si="4"/>
        <v>30</v>
      </c>
      <c r="N54" s="60">
        <f t="shared" si="5"/>
        <v>30</v>
      </c>
      <c r="O54" s="60">
        <f t="shared" si="6"/>
        <v>0</v>
      </c>
      <c r="P54" s="60">
        <f t="shared" si="7"/>
        <v>0</v>
      </c>
      <c r="Q54" s="60">
        <f t="shared" si="8"/>
        <v>6</v>
      </c>
      <c r="R54" s="60">
        <f t="shared" si="9"/>
        <v>6</v>
      </c>
      <c r="S54" s="60">
        <f t="shared" si="10"/>
        <v>20000</v>
      </c>
      <c r="T54" s="60">
        <f t="shared" si="11"/>
        <v>20000</v>
      </c>
      <c r="U54" s="60">
        <f t="shared" si="12"/>
        <v>0</v>
      </c>
      <c r="V54" s="60">
        <f t="shared" si="13"/>
        <v>0</v>
      </c>
      <c r="W54" s="60">
        <f t="shared" si="14"/>
        <v>0</v>
      </c>
      <c r="X54" s="60">
        <f t="shared" si="15"/>
        <v>0</v>
      </c>
      <c r="Y54" s="60">
        <f t="shared" si="16"/>
        <v>0</v>
      </c>
      <c r="Z54" s="60">
        <f t="shared" si="17"/>
        <v>0</v>
      </c>
      <c r="AA54" s="42"/>
      <c r="AB54" s="42"/>
      <c r="AC54" s="60">
        <f t="shared" si="18"/>
        <v>0</v>
      </c>
      <c r="AD54" s="60">
        <f t="shared" si="19"/>
        <v>0</v>
      </c>
      <c r="AE54" s="42"/>
      <c r="AF54" s="42"/>
      <c r="AG54" s="60">
        <f t="shared" si="2"/>
        <v>5</v>
      </c>
      <c r="AH54" s="60">
        <f t="shared" si="20"/>
        <v>5</v>
      </c>
      <c r="AI54" s="38"/>
      <c r="AJ54" s="22"/>
      <c r="AL54" s="25">
        <v>47</v>
      </c>
      <c r="AM54" s="77">
        <f t="shared" si="21"/>
        <v>14760</v>
      </c>
      <c r="AN54" s="77">
        <f t="shared" si="22"/>
        <v>0</v>
      </c>
      <c r="AO54" s="77">
        <f t="shared" si="23"/>
        <v>4192</v>
      </c>
      <c r="AP54" s="77">
        <f t="shared" si="24"/>
        <v>51290000</v>
      </c>
      <c r="AQ54" s="77">
        <f t="shared" si="25"/>
        <v>10180000</v>
      </c>
      <c r="AR54" s="40"/>
      <c r="AS54" s="77">
        <f t="shared" si="26"/>
        <v>0</v>
      </c>
      <c r="AT54" s="77">
        <f t="shared" si="27"/>
        <v>0</v>
      </c>
      <c r="AU54" s="77">
        <f t="shared" si="28"/>
        <v>1830</v>
      </c>
      <c r="AV54" s="72"/>
      <c r="AW54" s="35"/>
      <c r="AX54" s="54">
        <f>AM54/'[1]功能-推荐任务'!D105</f>
        <v>3.1741935483870969</v>
      </c>
      <c r="AY54" s="54" t="e">
        <f>AN54/'[1]功能-推荐任务'!E105</f>
        <v>#DIV/0!</v>
      </c>
      <c r="AZ54" s="54">
        <f>AO54/'[1]功能-推荐任务'!F105</f>
        <v>4.0897560975609757</v>
      </c>
      <c r="BA54" s="54">
        <f>AP54/'[1]功能-推荐任务'!G105</f>
        <v>24.423809523809524</v>
      </c>
      <c r="BB54" s="54" t="e">
        <f>AQ54/'[1]功能-推荐任务'!H105</f>
        <v>#DIV/0!</v>
      </c>
      <c r="BC54" s="37"/>
      <c r="BD54" s="54" t="e">
        <f>AS54/'[1]功能-推荐任务'!J105</f>
        <v>#DIV/0!</v>
      </c>
      <c r="BE54" s="35"/>
    </row>
    <row r="55" spans="1:58" s="25" customFormat="1" x14ac:dyDescent="0.15">
      <c r="A55" s="40"/>
      <c r="B55" s="79">
        <f t="shared" si="3"/>
        <v>14</v>
      </c>
      <c r="C55" s="85" t="s">
        <v>480</v>
      </c>
      <c r="D55" s="75">
        <f>INDEX(节奏总纲!$AM$4:$AM$83,$F55)</f>
        <v>0.22055744069899194</v>
      </c>
      <c r="E55" s="75">
        <f>求节点(节奏总纲!$P$4:$P$163,节奏总纲!$O$4:$O$163,$D55)</f>
        <v>2.871589098883871</v>
      </c>
      <c r="F55" s="40">
        <v>6</v>
      </c>
      <c r="G55" s="85">
        <v>1</v>
      </c>
      <c r="H55" s="63" t="s">
        <v>378</v>
      </c>
      <c r="I55" s="63" t="s">
        <v>377</v>
      </c>
      <c r="J55" s="63"/>
      <c r="K55" s="63"/>
      <c r="L55" s="40"/>
      <c r="M55" s="60">
        <f t="shared" si="4"/>
        <v>30</v>
      </c>
      <c r="N55" s="60">
        <f t="shared" si="5"/>
        <v>60</v>
      </c>
      <c r="O55" s="60">
        <f t="shared" si="6"/>
        <v>0</v>
      </c>
      <c r="P55" s="60">
        <f t="shared" si="7"/>
        <v>0</v>
      </c>
      <c r="Q55" s="60">
        <f t="shared" si="8"/>
        <v>7</v>
      </c>
      <c r="R55" s="60">
        <f t="shared" si="9"/>
        <v>14</v>
      </c>
      <c r="S55" s="60">
        <f t="shared" si="10"/>
        <v>20000</v>
      </c>
      <c r="T55" s="60">
        <f t="shared" si="11"/>
        <v>40000</v>
      </c>
      <c r="U55" s="60">
        <f t="shared" si="12"/>
        <v>0</v>
      </c>
      <c r="V55" s="60">
        <f t="shared" si="13"/>
        <v>0</v>
      </c>
      <c r="W55" s="60">
        <f t="shared" si="14"/>
        <v>0</v>
      </c>
      <c r="X55" s="60">
        <f t="shared" si="15"/>
        <v>0</v>
      </c>
      <c r="Y55" s="60">
        <f t="shared" si="16"/>
        <v>0</v>
      </c>
      <c r="Z55" s="60">
        <f t="shared" si="17"/>
        <v>0</v>
      </c>
      <c r="AA55" s="42"/>
      <c r="AB55" s="42"/>
      <c r="AC55" s="60">
        <f t="shared" si="18"/>
        <v>0</v>
      </c>
      <c r="AD55" s="60">
        <f t="shared" si="19"/>
        <v>0</v>
      </c>
      <c r="AE55" s="42"/>
      <c r="AF55" s="42"/>
      <c r="AG55" s="60">
        <f t="shared" si="2"/>
        <v>5</v>
      </c>
      <c r="AH55" s="60">
        <f t="shared" si="20"/>
        <v>10</v>
      </c>
      <c r="AI55" s="38"/>
      <c r="AJ55" s="22"/>
      <c r="AL55" s="25">
        <v>48</v>
      </c>
      <c r="AM55" s="77">
        <f t="shared" si="21"/>
        <v>15060</v>
      </c>
      <c r="AN55" s="77">
        <f t="shared" si="22"/>
        <v>0</v>
      </c>
      <c r="AO55" s="77">
        <f t="shared" si="23"/>
        <v>4300</v>
      </c>
      <c r="AP55" s="77">
        <f t="shared" si="24"/>
        <v>53750000</v>
      </c>
      <c r="AQ55" s="77">
        <f t="shared" si="25"/>
        <v>10780000</v>
      </c>
      <c r="AR55" s="40"/>
      <c r="AS55" s="77">
        <f t="shared" si="26"/>
        <v>0</v>
      </c>
      <c r="AT55" s="77">
        <f t="shared" si="27"/>
        <v>0</v>
      </c>
      <c r="AU55" s="77">
        <f t="shared" si="28"/>
        <v>1860</v>
      </c>
      <c r="AV55" s="72"/>
      <c r="AW55" s="35"/>
      <c r="AX55" s="54">
        <f>AM55/'[1]功能-推荐任务'!D106</f>
        <v>3.0424242424242425</v>
      </c>
      <c r="AY55" s="54" t="e">
        <f>AN55/'[1]功能-推荐任务'!E106</f>
        <v>#DIV/0!</v>
      </c>
      <c r="AZ55" s="54">
        <f>AO55/'[1]功能-推荐任务'!F106</f>
        <v>3.9090909090909092</v>
      </c>
      <c r="BA55" s="54">
        <f>AP55/'[1]功能-推荐任务'!G106</f>
        <v>23.888888888888889</v>
      </c>
      <c r="BB55" s="54" t="e">
        <f>AQ55/'[1]功能-推荐任务'!H106</f>
        <v>#DIV/0!</v>
      </c>
      <c r="BC55" s="37"/>
      <c r="BD55" s="54" t="e">
        <f>AS55/'[1]功能-推荐任务'!J106</f>
        <v>#DIV/0!</v>
      </c>
      <c r="BE55" s="35"/>
    </row>
    <row r="56" spans="1:58" s="25" customFormat="1" x14ac:dyDescent="0.15">
      <c r="A56" s="40"/>
      <c r="B56" s="79" t="str">
        <f t="shared" si="3"/>
        <v/>
      </c>
      <c r="C56" s="85"/>
      <c r="D56" s="75">
        <f>INDEX(节奏总纲!$AM$4:$AM$83,$F56)</f>
        <v>0.22055744069899194</v>
      </c>
      <c r="E56" s="75">
        <f>求节点(节奏总纲!$P$4:$P$163,节奏总纲!$O$4:$O$163,$D56)</f>
        <v>2.871589098883871</v>
      </c>
      <c r="F56" s="40">
        <v>6</v>
      </c>
      <c r="G56" s="85"/>
      <c r="H56" s="63" t="s">
        <v>379</v>
      </c>
      <c r="I56" s="63" t="s">
        <v>344</v>
      </c>
      <c r="J56" s="63"/>
      <c r="K56" s="63"/>
      <c r="L56" s="40"/>
      <c r="M56" s="60">
        <f t="shared" si="4"/>
        <v>30</v>
      </c>
      <c r="N56" s="60">
        <f t="shared" si="5"/>
        <v>60</v>
      </c>
      <c r="O56" s="60">
        <f t="shared" si="6"/>
        <v>0</v>
      </c>
      <c r="P56" s="60">
        <f t="shared" si="7"/>
        <v>0</v>
      </c>
      <c r="Q56" s="60">
        <f t="shared" si="8"/>
        <v>7</v>
      </c>
      <c r="R56" s="60">
        <f t="shared" si="9"/>
        <v>14</v>
      </c>
      <c r="S56" s="60">
        <f t="shared" si="10"/>
        <v>20000</v>
      </c>
      <c r="T56" s="60">
        <f t="shared" si="11"/>
        <v>40000</v>
      </c>
      <c r="U56" s="60">
        <f t="shared" si="12"/>
        <v>0</v>
      </c>
      <c r="V56" s="60">
        <f t="shared" si="13"/>
        <v>0</v>
      </c>
      <c r="W56" s="60">
        <f t="shared" si="14"/>
        <v>0</v>
      </c>
      <c r="X56" s="60">
        <f t="shared" si="15"/>
        <v>0</v>
      </c>
      <c r="Y56" s="60">
        <f t="shared" si="16"/>
        <v>0</v>
      </c>
      <c r="Z56" s="60">
        <f t="shared" si="17"/>
        <v>0</v>
      </c>
      <c r="AA56" s="42"/>
      <c r="AB56" s="42"/>
      <c r="AC56" s="60">
        <f t="shared" si="18"/>
        <v>0</v>
      </c>
      <c r="AD56" s="60">
        <f t="shared" si="19"/>
        <v>0</v>
      </c>
      <c r="AE56" s="42"/>
      <c r="AF56" s="42"/>
      <c r="AG56" s="60">
        <f t="shared" si="2"/>
        <v>5</v>
      </c>
      <c r="AH56" s="60">
        <f t="shared" si="20"/>
        <v>10</v>
      </c>
      <c r="AI56" s="38"/>
      <c r="AJ56" s="22"/>
      <c r="AL56" s="25">
        <v>49</v>
      </c>
      <c r="AM56" s="77">
        <f t="shared" si="21"/>
        <v>15210</v>
      </c>
      <c r="AN56" s="77">
        <f t="shared" si="22"/>
        <v>0</v>
      </c>
      <c r="AO56" s="77">
        <f t="shared" si="23"/>
        <v>4354</v>
      </c>
      <c r="AP56" s="77">
        <f t="shared" si="24"/>
        <v>55010000</v>
      </c>
      <c r="AQ56" s="77">
        <f t="shared" si="25"/>
        <v>11080000</v>
      </c>
      <c r="AR56" s="40"/>
      <c r="AS56" s="77">
        <f t="shared" si="26"/>
        <v>0</v>
      </c>
      <c r="AT56" s="77">
        <f t="shared" si="27"/>
        <v>0</v>
      </c>
      <c r="AU56" s="77">
        <f t="shared" si="28"/>
        <v>1875</v>
      </c>
      <c r="AV56" s="72"/>
      <c r="AW56" s="35"/>
      <c r="AX56" s="54">
        <f>AM56/'[1]功能-推荐任务'!D107</f>
        <v>2.8971428571428572</v>
      </c>
      <c r="AY56" s="54" t="e">
        <f>AN56/'[1]功能-推荐任务'!E107</f>
        <v>#DIV/0!</v>
      </c>
      <c r="AZ56" s="54">
        <f>AO56/'[1]功能-推荐任务'!F107</f>
        <v>3.705531914893617</v>
      </c>
      <c r="BA56" s="54">
        <f>AP56/'[1]功能-推荐任务'!G107</f>
        <v>23.408510638297873</v>
      </c>
      <c r="BB56" s="54" t="e">
        <f>AQ56/'[1]功能-推荐任务'!H107</f>
        <v>#DIV/0!</v>
      </c>
      <c r="BC56" s="37"/>
      <c r="BD56" s="54" t="e">
        <f>AS56/'[1]功能-推荐任务'!J107</f>
        <v>#DIV/0!</v>
      </c>
      <c r="BE56" s="35"/>
    </row>
    <row r="57" spans="1:58" s="25" customFormat="1" x14ac:dyDescent="0.15">
      <c r="A57" s="40"/>
      <c r="B57" s="79" t="str">
        <f t="shared" si="3"/>
        <v/>
      </c>
      <c r="C57" s="85"/>
      <c r="D57" s="75">
        <f>INDEX(节奏总纲!$AM$4:$AM$83,$F57)</f>
        <v>0.22055744069899194</v>
      </c>
      <c r="E57" s="75">
        <f>求节点(节奏总纲!$P$4:$P$163,节奏总纲!$O$4:$O$163,$D57)</f>
        <v>2.871589098883871</v>
      </c>
      <c r="F57" s="40">
        <v>6</v>
      </c>
      <c r="G57" s="85"/>
      <c r="H57" s="63"/>
      <c r="I57" s="63" t="s">
        <v>345</v>
      </c>
      <c r="J57" s="63"/>
      <c r="K57" s="63"/>
      <c r="L57" s="40"/>
      <c r="M57" s="60">
        <f t="shared" si="4"/>
        <v>30</v>
      </c>
      <c r="N57" s="60">
        <f t="shared" si="5"/>
        <v>30</v>
      </c>
      <c r="O57" s="60">
        <f t="shared" si="6"/>
        <v>0</v>
      </c>
      <c r="P57" s="60">
        <f t="shared" si="7"/>
        <v>0</v>
      </c>
      <c r="Q57" s="60">
        <f t="shared" si="8"/>
        <v>7</v>
      </c>
      <c r="R57" s="60">
        <f t="shared" si="9"/>
        <v>7</v>
      </c>
      <c r="S57" s="60">
        <f t="shared" si="10"/>
        <v>20000</v>
      </c>
      <c r="T57" s="60">
        <f t="shared" si="11"/>
        <v>20000</v>
      </c>
      <c r="U57" s="60">
        <f t="shared" si="12"/>
        <v>0</v>
      </c>
      <c r="V57" s="60">
        <f t="shared" si="13"/>
        <v>0</v>
      </c>
      <c r="W57" s="60">
        <f t="shared" si="14"/>
        <v>0</v>
      </c>
      <c r="X57" s="60">
        <f t="shared" si="15"/>
        <v>0</v>
      </c>
      <c r="Y57" s="60">
        <f t="shared" si="16"/>
        <v>0</v>
      </c>
      <c r="Z57" s="60">
        <f t="shared" si="17"/>
        <v>0</v>
      </c>
      <c r="AA57" s="42"/>
      <c r="AB57" s="42"/>
      <c r="AC57" s="60">
        <f t="shared" si="18"/>
        <v>0</v>
      </c>
      <c r="AD57" s="60">
        <f t="shared" si="19"/>
        <v>0</v>
      </c>
      <c r="AE57" s="42"/>
      <c r="AF57" s="42"/>
      <c r="AG57" s="60">
        <f t="shared" si="2"/>
        <v>5</v>
      </c>
      <c r="AH57" s="60">
        <f t="shared" si="20"/>
        <v>5</v>
      </c>
      <c r="AI57" s="38"/>
      <c r="AJ57" s="22"/>
      <c r="AL57" s="25">
        <v>50</v>
      </c>
      <c r="AM57" s="77">
        <f t="shared" si="21"/>
        <v>15460</v>
      </c>
      <c r="AN57" s="77">
        <f t="shared" si="22"/>
        <v>0</v>
      </c>
      <c r="AO57" s="77">
        <f t="shared" si="23"/>
        <v>4444</v>
      </c>
      <c r="AP57" s="77">
        <f t="shared" si="24"/>
        <v>57160000</v>
      </c>
      <c r="AQ57" s="77">
        <f t="shared" si="25"/>
        <v>11580000</v>
      </c>
      <c r="AR57" s="40"/>
      <c r="AS57" s="77">
        <f t="shared" si="26"/>
        <v>0</v>
      </c>
      <c r="AT57" s="77">
        <f t="shared" si="27"/>
        <v>0</v>
      </c>
      <c r="AU57" s="77">
        <f t="shared" si="28"/>
        <v>1900</v>
      </c>
      <c r="AV57" s="49"/>
      <c r="AW57" s="35"/>
      <c r="AX57" s="54">
        <f>AM57/'[1]功能-推荐任务'!D108</f>
        <v>2.7855855855855856</v>
      </c>
      <c r="AY57" s="54" t="e">
        <f>AN57/'[1]功能-推荐任务'!E108</f>
        <v>#DIV/0!</v>
      </c>
      <c r="AZ57" s="54">
        <f>AO57/'[1]功能-推荐任务'!F108</f>
        <v>3.5552000000000001</v>
      </c>
      <c r="BA57" s="54">
        <f>AP57/'[1]功能-推荐任务'!G108</f>
        <v>19.710344827586209</v>
      </c>
      <c r="BB57" s="54" t="e">
        <f>AQ57/'[1]功能-推荐任务'!H108</f>
        <v>#DIV/0!</v>
      </c>
      <c r="BC57" s="37"/>
      <c r="BD57" s="54" t="e">
        <f>AS57/'[1]功能-推荐任务'!J108</f>
        <v>#DIV/0!</v>
      </c>
      <c r="BE57" s="35"/>
    </row>
    <row r="58" spans="1:58" s="25" customFormat="1" x14ac:dyDescent="0.15">
      <c r="A58" s="40"/>
      <c r="B58" s="79" t="str">
        <f t="shared" si="3"/>
        <v/>
      </c>
      <c r="C58" s="85"/>
      <c r="D58" s="75">
        <f>INDEX(节奏总纲!$AM$4:$AM$83,$F58)</f>
        <v>0.22055744069899194</v>
      </c>
      <c r="E58" s="75">
        <f>求节点(节奏总纲!$P$4:$P$163,节奏总纲!$O$4:$O$163,$D58)</f>
        <v>2.871589098883871</v>
      </c>
      <c r="F58" s="40">
        <v>6</v>
      </c>
      <c r="G58" s="85"/>
      <c r="H58" s="63" t="s">
        <v>380</v>
      </c>
      <c r="I58" s="63" t="s">
        <v>498</v>
      </c>
      <c r="J58" s="63"/>
      <c r="K58" s="63"/>
      <c r="L58" s="40"/>
      <c r="M58" s="60">
        <f t="shared" si="4"/>
        <v>30</v>
      </c>
      <c r="N58" s="60">
        <f t="shared" si="5"/>
        <v>60</v>
      </c>
      <c r="O58" s="60">
        <f t="shared" si="6"/>
        <v>0</v>
      </c>
      <c r="P58" s="60">
        <f t="shared" si="7"/>
        <v>0</v>
      </c>
      <c r="Q58" s="60">
        <f t="shared" si="8"/>
        <v>7</v>
      </c>
      <c r="R58" s="60">
        <f t="shared" si="9"/>
        <v>14</v>
      </c>
      <c r="S58" s="60">
        <f t="shared" si="10"/>
        <v>20000</v>
      </c>
      <c r="T58" s="60">
        <f t="shared" si="11"/>
        <v>40000</v>
      </c>
      <c r="U58" s="60">
        <f t="shared" si="12"/>
        <v>0</v>
      </c>
      <c r="V58" s="60">
        <f t="shared" si="13"/>
        <v>0</v>
      </c>
      <c r="W58" s="60">
        <f t="shared" si="14"/>
        <v>0</v>
      </c>
      <c r="X58" s="60">
        <f t="shared" si="15"/>
        <v>0</v>
      </c>
      <c r="Y58" s="60">
        <f t="shared" si="16"/>
        <v>0</v>
      </c>
      <c r="Z58" s="60">
        <f t="shared" si="17"/>
        <v>0</v>
      </c>
      <c r="AA58" s="42"/>
      <c r="AB58" s="42"/>
      <c r="AC58" s="60">
        <f t="shared" si="18"/>
        <v>0</v>
      </c>
      <c r="AD58" s="60">
        <f t="shared" si="19"/>
        <v>0</v>
      </c>
      <c r="AE58" s="42"/>
      <c r="AF58" s="42"/>
      <c r="AG58" s="60">
        <f t="shared" si="2"/>
        <v>5</v>
      </c>
      <c r="AH58" s="60">
        <f t="shared" si="20"/>
        <v>10</v>
      </c>
      <c r="AI58" s="38"/>
      <c r="AJ58" s="22"/>
      <c r="AL58" s="72">
        <v>51</v>
      </c>
      <c r="AM58" s="77">
        <f t="shared" si="21"/>
        <v>15710</v>
      </c>
      <c r="AN58" s="77">
        <f t="shared" si="22"/>
        <v>0</v>
      </c>
      <c r="AO58" s="77">
        <f t="shared" si="23"/>
        <v>4534</v>
      </c>
      <c r="AP58" s="77">
        <f t="shared" si="24"/>
        <v>59410000</v>
      </c>
      <c r="AQ58" s="77">
        <f t="shared" si="25"/>
        <v>12080000</v>
      </c>
      <c r="AR58" s="72"/>
      <c r="AS58" s="77">
        <f t="shared" si="26"/>
        <v>0</v>
      </c>
      <c r="AT58" s="77">
        <f t="shared" si="27"/>
        <v>0</v>
      </c>
      <c r="AU58" s="77">
        <f t="shared" si="28"/>
        <v>1925</v>
      </c>
      <c r="AV58" s="72"/>
      <c r="AW58" s="73"/>
      <c r="AX58" s="73">
        <f>AM58/'[1]功能-推荐任务'!D109</f>
        <v>2.6854700854700853</v>
      </c>
      <c r="AY58" s="73" t="e">
        <f>AN58/'[1]功能-推荐任务'!E109</f>
        <v>#DIV/0!</v>
      </c>
      <c r="AZ58" s="73">
        <f>AO58/'[1]功能-推荐任务'!F109</f>
        <v>3.3585185185185185</v>
      </c>
      <c r="BA58" s="73">
        <f>AP58/'[1]功能-推荐任务'!G109</f>
        <v>16.974285714285713</v>
      </c>
      <c r="BB58" s="73" t="e">
        <f>AQ58/'[1]功能-推荐任务'!H109</f>
        <v>#DIV/0!</v>
      </c>
      <c r="BC58" s="73"/>
      <c r="BD58" s="73" t="e">
        <f>AS58/'[1]功能-推荐任务'!J109</f>
        <v>#DIV/0!</v>
      </c>
      <c r="BE58" s="35"/>
    </row>
    <row r="59" spans="1:58" s="25" customFormat="1" x14ac:dyDescent="0.15">
      <c r="A59" s="40"/>
      <c r="B59" s="79" t="str">
        <f t="shared" si="3"/>
        <v/>
      </c>
      <c r="C59" s="85"/>
      <c r="D59" s="75">
        <f>INDEX(节奏总纲!$AM$4:$AM$83,$F59)</f>
        <v>0.22055744069899194</v>
      </c>
      <c r="E59" s="75">
        <f>求节点(节奏总纲!$P$4:$P$163,节奏总纲!$O$4:$O$163,$D59)</f>
        <v>2.871589098883871</v>
      </c>
      <c r="F59" s="40">
        <v>6</v>
      </c>
      <c r="G59" s="85"/>
      <c r="H59" s="63"/>
      <c r="I59" s="63"/>
      <c r="J59" s="63"/>
      <c r="K59" s="63"/>
      <c r="L59" s="40"/>
      <c r="M59" s="60">
        <f t="shared" si="4"/>
        <v>30</v>
      </c>
      <c r="N59" s="60">
        <f t="shared" si="5"/>
        <v>0</v>
      </c>
      <c r="O59" s="60">
        <f t="shared" si="6"/>
        <v>0</v>
      </c>
      <c r="P59" s="60">
        <f t="shared" si="7"/>
        <v>0</v>
      </c>
      <c r="Q59" s="60">
        <f t="shared" si="8"/>
        <v>7</v>
      </c>
      <c r="R59" s="60">
        <f t="shared" si="9"/>
        <v>0</v>
      </c>
      <c r="S59" s="60">
        <f t="shared" si="10"/>
        <v>20000</v>
      </c>
      <c r="T59" s="60">
        <f t="shared" si="11"/>
        <v>0</v>
      </c>
      <c r="U59" s="60">
        <f t="shared" si="12"/>
        <v>0</v>
      </c>
      <c r="V59" s="60">
        <f t="shared" si="13"/>
        <v>0</v>
      </c>
      <c r="W59" s="60">
        <f t="shared" si="14"/>
        <v>0</v>
      </c>
      <c r="X59" s="60">
        <f t="shared" si="15"/>
        <v>0</v>
      </c>
      <c r="Y59" s="60">
        <f t="shared" si="16"/>
        <v>0</v>
      </c>
      <c r="Z59" s="60">
        <f t="shared" si="17"/>
        <v>0</v>
      </c>
      <c r="AA59" s="42"/>
      <c r="AB59" s="42"/>
      <c r="AC59" s="60">
        <f t="shared" si="18"/>
        <v>0</v>
      </c>
      <c r="AD59" s="60">
        <f t="shared" si="19"/>
        <v>0</v>
      </c>
      <c r="AE59" s="42"/>
      <c r="AF59" s="42"/>
      <c r="AG59" s="60">
        <f t="shared" si="2"/>
        <v>5</v>
      </c>
      <c r="AH59" s="60">
        <f t="shared" si="20"/>
        <v>0</v>
      </c>
      <c r="AI59" s="38"/>
      <c r="AJ59" s="22"/>
      <c r="AL59" s="72">
        <v>52</v>
      </c>
      <c r="AM59" s="77">
        <f t="shared" si="21"/>
        <v>15960</v>
      </c>
      <c r="AN59" s="77">
        <f t="shared" si="22"/>
        <v>0</v>
      </c>
      <c r="AO59" s="77">
        <f t="shared" si="23"/>
        <v>4629</v>
      </c>
      <c r="AP59" s="77">
        <f t="shared" si="24"/>
        <v>61710000</v>
      </c>
      <c r="AQ59" s="77">
        <f t="shared" si="25"/>
        <v>12580000</v>
      </c>
      <c r="AR59" s="72"/>
      <c r="AS59" s="77">
        <f t="shared" si="26"/>
        <v>0</v>
      </c>
      <c r="AT59" s="77">
        <f t="shared" si="27"/>
        <v>0</v>
      </c>
      <c r="AU59" s="77">
        <f t="shared" si="28"/>
        <v>1950</v>
      </c>
      <c r="AV59" s="72"/>
      <c r="AW59" s="73"/>
      <c r="AX59" s="73">
        <f>AM59/'[1]功能-推荐任务'!D110</f>
        <v>2.5951219512195123</v>
      </c>
      <c r="AY59" s="73" t="e">
        <f>AN59/'[1]功能-推荐任务'!E110</f>
        <v>#DIV/0!</v>
      </c>
      <c r="AZ59" s="73">
        <f>AO59/'[1]功能-推荐任务'!F110</f>
        <v>3.1924137931034484</v>
      </c>
      <c r="BA59" s="73">
        <f>AP59/'[1]功能-推荐任务'!G110</f>
        <v>14.692857142857143</v>
      </c>
      <c r="BB59" s="73" t="e">
        <f>AQ59/'[1]功能-推荐任务'!H110</f>
        <v>#DIV/0!</v>
      </c>
      <c r="BC59" s="73"/>
      <c r="BD59" s="73" t="e">
        <f>AS59/'[1]功能-推荐任务'!J110</f>
        <v>#DIV/0!</v>
      </c>
      <c r="BE59" s="35"/>
    </row>
    <row r="60" spans="1:58" s="25" customFormat="1" x14ac:dyDescent="0.15">
      <c r="A60" s="40"/>
      <c r="B60" s="79" t="str">
        <f t="shared" si="3"/>
        <v/>
      </c>
      <c r="C60" s="85"/>
      <c r="D60" s="75">
        <f>INDEX(节奏总纲!$AM$4:$AM$83,$F60)</f>
        <v>0.22055744069899194</v>
      </c>
      <c r="E60" s="75">
        <f>求节点(节奏总纲!$P$4:$P$163,节奏总纲!$O$4:$O$163,$D60)</f>
        <v>2.871589098883871</v>
      </c>
      <c r="F60" s="40">
        <v>6</v>
      </c>
      <c r="G60" s="85"/>
      <c r="H60" s="63" t="s">
        <v>604</v>
      </c>
      <c r="I60" s="63"/>
      <c r="J60" s="63"/>
      <c r="K60" s="63"/>
      <c r="L60" s="40"/>
      <c r="M60" s="60">
        <f t="shared" si="4"/>
        <v>30</v>
      </c>
      <c r="N60" s="60">
        <f t="shared" si="5"/>
        <v>30</v>
      </c>
      <c r="O60" s="60">
        <f t="shared" si="6"/>
        <v>0</v>
      </c>
      <c r="P60" s="60">
        <f t="shared" si="7"/>
        <v>0</v>
      </c>
      <c r="Q60" s="60">
        <f t="shared" si="8"/>
        <v>7</v>
      </c>
      <c r="R60" s="60">
        <f t="shared" si="9"/>
        <v>7</v>
      </c>
      <c r="S60" s="60">
        <f t="shared" si="10"/>
        <v>20000</v>
      </c>
      <c r="T60" s="60">
        <f t="shared" si="11"/>
        <v>20000</v>
      </c>
      <c r="U60" s="60">
        <f t="shared" si="12"/>
        <v>0</v>
      </c>
      <c r="V60" s="60">
        <f t="shared" si="13"/>
        <v>0</v>
      </c>
      <c r="W60" s="60">
        <f t="shared" si="14"/>
        <v>0</v>
      </c>
      <c r="X60" s="60">
        <f t="shared" si="15"/>
        <v>0</v>
      </c>
      <c r="Y60" s="60">
        <f t="shared" si="16"/>
        <v>0</v>
      </c>
      <c r="Z60" s="60">
        <f t="shared" si="17"/>
        <v>0</v>
      </c>
      <c r="AA60" s="42"/>
      <c r="AB60" s="42"/>
      <c r="AC60" s="60">
        <f t="shared" si="18"/>
        <v>0</v>
      </c>
      <c r="AD60" s="60">
        <f t="shared" si="19"/>
        <v>0</v>
      </c>
      <c r="AE60" s="42"/>
      <c r="AF60" s="42"/>
      <c r="AG60" s="60">
        <f t="shared" si="2"/>
        <v>5</v>
      </c>
      <c r="AH60" s="60">
        <f t="shared" si="20"/>
        <v>5</v>
      </c>
      <c r="AI60" s="38"/>
      <c r="AJ60" s="22"/>
      <c r="AL60" s="72">
        <v>53</v>
      </c>
      <c r="AM60" s="77">
        <f t="shared" si="21"/>
        <v>16210</v>
      </c>
      <c r="AN60" s="77">
        <f t="shared" si="22"/>
        <v>0</v>
      </c>
      <c r="AO60" s="77">
        <f t="shared" si="23"/>
        <v>4724</v>
      </c>
      <c r="AP60" s="77">
        <f t="shared" si="24"/>
        <v>64110000</v>
      </c>
      <c r="AQ60" s="77">
        <f t="shared" si="25"/>
        <v>13130000</v>
      </c>
      <c r="AR60" s="72"/>
      <c r="AS60" s="77">
        <f t="shared" si="26"/>
        <v>0</v>
      </c>
      <c r="AT60" s="77">
        <f t="shared" si="27"/>
        <v>0</v>
      </c>
      <c r="AU60" s="77">
        <f t="shared" si="28"/>
        <v>1975</v>
      </c>
      <c r="AV60" s="72"/>
      <c r="AW60" s="73"/>
      <c r="AX60" s="73">
        <f>AM60/'[1]功能-推荐任务'!D111</f>
        <v>2.5131782945736436</v>
      </c>
      <c r="AY60" s="73" t="e">
        <f>AN60/'[1]功能-推荐任务'!E111</f>
        <v>#DIV/0!</v>
      </c>
      <c r="AZ60" s="73">
        <f>AO60/'[1]功能-推荐任务'!F111</f>
        <v>3.0477419354838711</v>
      </c>
      <c r="BA60" s="73">
        <f>AP60/'[1]功能-推荐任务'!G111</f>
        <v>12.695049504950495</v>
      </c>
      <c r="BB60" s="73" t="e">
        <f>AQ60/'[1]功能-推荐任务'!H111</f>
        <v>#DIV/0!</v>
      </c>
      <c r="BC60" s="73"/>
      <c r="BD60" s="73" t="e">
        <f>AS60/'[1]功能-推荐任务'!J111</f>
        <v>#DIV/0!</v>
      </c>
      <c r="BE60" s="35"/>
    </row>
    <row r="61" spans="1:58" s="25" customFormat="1" x14ac:dyDescent="0.15">
      <c r="A61" s="40"/>
      <c r="B61" s="79" t="str">
        <f t="shared" si="3"/>
        <v/>
      </c>
      <c r="C61" s="85"/>
      <c r="D61" s="75">
        <f>INDEX(节奏总纲!$AM$4:$AM$83,$F61)</f>
        <v>0.22055744069899194</v>
      </c>
      <c r="E61" s="75">
        <f>求节点(节奏总纲!$P$4:$P$163,节奏总纲!$O$4:$O$163,$D61)</f>
        <v>2.871589098883871</v>
      </c>
      <c r="F61" s="40">
        <v>6</v>
      </c>
      <c r="G61" s="85"/>
      <c r="H61" s="63" t="s">
        <v>607</v>
      </c>
      <c r="I61" s="63"/>
      <c r="J61" s="63"/>
      <c r="K61" s="63"/>
      <c r="L61" s="40"/>
      <c r="M61" s="60">
        <f t="shared" si="4"/>
        <v>30</v>
      </c>
      <c r="N61" s="60">
        <f t="shared" si="5"/>
        <v>30</v>
      </c>
      <c r="O61" s="60">
        <f t="shared" si="6"/>
        <v>0</v>
      </c>
      <c r="P61" s="60">
        <f t="shared" si="7"/>
        <v>0</v>
      </c>
      <c r="Q61" s="60">
        <f t="shared" si="8"/>
        <v>7</v>
      </c>
      <c r="R61" s="60">
        <f t="shared" si="9"/>
        <v>7</v>
      </c>
      <c r="S61" s="60">
        <f t="shared" si="10"/>
        <v>20000</v>
      </c>
      <c r="T61" s="60">
        <f t="shared" si="11"/>
        <v>20000</v>
      </c>
      <c r="U61" s="60">
        <f t="shared" si="12"/>
        <v>0</v>
      </c>
      <c r="V61" s="60">
        <f t="shared" si="13"/>
        <v>0</v>
      </c>
      <c r="W61" s="60">
        <f t="shared" si="14"/>
        <v>0</v>
      </c>
      <c r="X61" s="60">
        <f t="shared" si="15"/>
        <v>0</v>
      </c>
      <c r="Y61" s="60">
        <f t="shared" si="16"/>
        <v>0</v>
      </c>
      <c r="Z61" s="60">
        <f t="shared" si="17"/>
        <v>0</v>
      </c>
      <c r="AA61" s="42"/>
      <c r="AB61" s="42"/>
      <c r="AC61" s="60">
        <f t="shared" si="18"/>
        <v>0</v>
      </c>
      <c r="AD61" s="60">
        <f t="shared" si="19"/>
        <v>0</v>
      </c>
      <c r="AE61" s="42"/>
      <c r="AF61" s="42"/>
      <c r="AG61" s="60">
        <f t="shared" si="2"/>
        <v>5</v>
      </c>
      <c r="AH61" s="60">
        <f t="shared" si="20"/>
        <v>5</v>
      </c>
      <c r="AI61" s="38"/>
      <c r="AJ61" s="22"/>
      <c r="AL61" s="72">
        <v>54</v>
      </c>
      <c r="AM61" s="77">
        <f t="shared" si="21"/>
        <v>16510</v>
      </c>
      <c r="AN61" s="77">
        <f t="shared" si="22"/>
        <v>0</v>
      </c>
      <c r="AO61" s="77">
        <f t="shared" si="23"/>
        <v>4819</v>
      </c>
      <c r="AP61" s="77">
        <f t="shared" si="24"/>
        <v>66560000</v>
      </c>
      <c r="AQ61" s="77">
        <f t="shared" si="25"/>
        <v>13680000</v>
      </c>
      <c r="AR61" s="72"/>
      <c r="AS61" s="77">
        <f t="shared" si="26"/>
        <v>0</v>
      </c>
      <c r="AT61" s="77">
        <f t="shared" si="27"/>
        <v>0</v>
      </c>
      <c r="AU61" s="77">
        <f t="shared" si="28"/>
        <v>2000</v>
      </c>
      <c r="AV61" s="72"/>
      <c r="AW61" s="73"/>
      <c r="AX61" s="73">
        <f>AM61/'[1]功能-推荐任务'!D112</f>
        <v>2.4459259259259261</v>
      </c>
      <c r="AY61" s="73" t="e">
        <f>AN61/'[1]功能-推荐任务'!E112</f>
        <v>#DIV/0!</v>
      </c>
      <c r="AZ61" s="73">
        <f>AO61/'[1]功能-推荐任务'!F112</f>
        <v>2.9206060606060604</v>
      </c>
      <c r="BA61" s="73">
        <f>AP61/'[1]功能-推荐任务'!G112</f>
        <v>11.001652892561983</v>
      </c>
      <c r="BB61" s="73" t="e">
        <f>AQ61/'[1]功能-推荐任务'!H112</f>
        <v>#DIV/0!</v>
      </c>
      <c r="BC61" s="73"/>
      <c r="BD61" s="73" t="e">
        <f>AS61/'[1]功能-推荐任务'!J112</f>
        <v>#DIV/0!</v>
      </c>
      <c r="BE61" s="35"/>
    </row>
    <row r="62" spans="1:58" s="25" customFormat="1" x14ac:dyDescent="0.15">
      <c r="A62" s="40"/>
      <c r="B62" s="79" t="str">
        <f t="shared" si="3"/>
        <v/>
      </c>
      <c r="C62" s="85"/>
      <c r="D62" s="75">
        <f>INDEX(节奏总纲!$AM$4:$AM$83,$F62)</f>
        <v>0.22055744069899194</v>
      </c>
      <c r="E62" s="75">
        <f>求节点(节奏总纲!$P$4:$P$163,节奏总纲!$O$4:$O$163,$D62)</f>
        <v>2.871589098883871</v>
      </c>
      <c r="F62" s="40">
        <v>6</v>
      </c>
      <c r="G62" s="85"/>
      <c r="H62" s="63"/>
      <c r="I62" s="63"/>
      <c r="J62" s="63"/>
      <c r="K62" s="63"/>
      <c r="L62" s="40"/>
      <c r="M62" s="60">
        <f t="shared" si="4"/>
        <v>30</v>
      </c>
      <c r="N62" s="60">
        <f t="shared" si="5"/>
        <v>0</v>
      </c>
      <c r="O62" s="60">
        <f t="shared" si="6"/>
        <v>0</v>
      </c>
      <c r="P62" s="60">
        <f t="shared" si="7"/>
        <v>0</v>
      </c>
      <c r="Q62" s="60">
        <f t="shared" si="8"/>
        <v>7</v>
      </c>
      <c r="R62" s="60">
        <f t="shared" si="9"/>
        <v>0</v>
      </c>
      <c r="S62" s="60">
        <f t="shared" si="10"/>
        <v>20000</v>
      </c>
      <c r="T62" s="60">
        <f t="shared" si="11"/>
        <v>0</v>
      </c>
      <c r="U62" s="60">
        <f t="shared" si="12"/>
        <v>0</v>
      </c>
      <c r="V62" s="60">
        <f t="shared" si="13"/>
        <v>0</v>
      </c>
      <c r="W62" s="60">
        <f t="shared" si="14"/>
        <v>0</v>
      </c>
      <c r="X62" s="60">
        <f t="shared" si="15"/>
        <v>0</v>
      </c>
      <c r="Y62" s="60">
        <f t="shared" si="16"/>
        <v>0</v>
      </c>
      <c r="Z62" s="60">
        <f t="shared" si="17"/>
        <v>0</v>
      </c>
      <c r="AA62" s="42"/>
      <c r="AB62" s="42"/>
      <c r="AC62" s="60">
        <f t="shared" si="18"/>
        <v>0</v>
      </c>
      <c r="AD62" s="60">
        <f t="shared" si="19"/>
        <v>0</v>
      </c>
      <c r="AE62" s="42"/>
      <c r="AF62" s="42"/>
      <c r="AG62" s="60">
        <f t="shared" si="2"/>
        <v>5</v>
      </c>
      <c r="AH62" s="60">
        <f t="shared" si="20"/>
        <v>0</v>
      </c>
      <c r="AI62" s="38"/>
      <c r="AJ62" s="22"/>
      <c r="AL62" s="72">
        <v>55</v>
      </c>
      <c r="AM62" s="77">
        <f t="shared" si="21"/>
        <v>16810</v>
      </c>
      <c r="AN62" s="77">
        <f t="shared" si="22"/>
        <v>0</v>
      </c>
      <c r="AO62" s="77">
        <f t="shared" si="23"/>
        <v>4914</v>
      </c>
      <c r="AP62" s="77">
        <f t="shared" si="24"/>
        <v>69060000</v>
      </c>
      <c r="AQ62" s="77">
        <f t="shared" si="25"/>
        <v>14230000</v>
      </c>
      <c r="AR62" s="72"/>
      <c r="AS62" s="77">
        <f t="shared" si="26"/>
        <v>0</v>
      </c>
      <c r="AT62" s="77">
        <f t="shared" si="27"/>
        <v>0</v>
      </c>
      <c r="AU62" s="77">
        <f t="shared" si="28"/>
        <v>2025</v>
      </c>
      <c r="AV62" s="72"/>
      <c r="AW62" s="73"/>
      <c r="AX62" s="73">
        <f>AM62/'[1]功能-推荐任务'!D113</f>
        <v>2.3843971631205676</v>
      </c>
      <c r="AY62" s="73" t="e">
        <f>AN62/'[1]功能-推荐任务'!E113</f>
        <v>#DIV/0!</v>
      </c>
      <c r="AZ62" s="73">
        <f>AO62/'[1]功能-推荐任务'!F113</f>
        <v>2.8079999999999998</v>
      </c>
      <c r="BA62" s="73">
        <f>AP62/'[1]功能-推荐任务'!G113</f>
        <v>9.5916666666666668</v>
      </c>
      <c r="BB62" s="73" t="e">
        <f>AQ62/'[1]功能-推荐任务'!H113</f>
        <v>#DIV/0!</v>
      </c>
      <c r="BC62" s="73"/>
      <c r="BD62" s="73" t="e">
        <f>AS62/'[1]功能-推荐任务'!J113</f>
        <v>#DIV/0!</v>
      </c>
      <c r="BE62" s="35"/>
    </row>
    <row r="63" spans="1:58" s="25" customFormat="1" x14ac:dyDescent="0.15">
      <c r="A63" s="40"/>
      <c r="B63" s="79" t="str">
        <f t="shared" si="3"/>
        <v/>
      </c>
      <c r="C63" s="85"/>
      <c r="D63" s="75">
        <f>INDEX(节奏总纲!$AM$4:$AM$83,$F63)</f>
        <v>0.22055744069899194</v>
      </c>
      <c r="E63" s="75">
        <f>求节点(节奏总纲!$P$4:$P$163,节奏总纲!$O$4:$O$163,$D63)</f>
        <v>2.871589098883871</v>
      </c>
      <c r="F63" s="40">
        <v>6</v>
      </c>
      <c r="G63" s="85"/>
      <c r="H63" s="63" t="s">
        <v>388</v>
      </c>
      <c r="I63" s="63"/>
      <c r="J63" s="63"/>
      <c r="K63" s="63"/>
      <c r="L63" s="40"/>
      <c r="M63" s="60">
        <f t="shared" si="4"/>
        <v>30</v>
      </c>
      <c r="N63" s="60">
        <f t="shared" si="5"/>
        <v>30</v>
      </c>
      <c r="O63" s="60">
        <f t="shared" si="6"/>
        <v>0</v>
      </c>
      <c r="P63" s="60">
        <f t="shared" si="7"/>
        <v>0</v>
      </c>
      <c r="Q63" s="60">
        <f t="shared" si="8"/>
        <v>7</v>
      </c>
      <c r="R63" s="60">
        <f t="shared" si="9"/>
        <v>7</v>
      </c>
      <c r="S63" s="60">
        <f t="shared" si="10"/>
        <v>20000</v>
      </c>
      <c r="T63" s="60">
        <f t="shared" si="11"/>
        <v>20000</v>
      </c>
      <c r="U63" s="60">
        <f t="shared" si="12"/>
        <v>0</v>
      </c>
      <c r="V63" s="60">
        <f t="shared" si="13"/>
        <v>0</v>
      </c>
      <c r="W63" s="60">
        <f t="shared" si="14"/>
        <v>0</v>
      </c>
      <c r="X63" s="60">
        <f t="shared" si="15"/>
        <v>0</v>
      </c>
      <c r="Y63" s="60">
        <f t="shared" si="16"/>
        <v>0</v>
      </c>
      <c r="Z63" s="60">
        <f t="shared" si="17"/>
        <v>0</v>
      </c>
      <c r="AA63" s="42"/>
      <c r="AB63" s="42"/>
      <c r="AC63" s="60">
        <f t="shared" si="18"/>
        <v>0</v>
      </c>
      <c r="AD63" s="60">
        <f t="shared" si="19"/>
        <v>0</v>
      </c>
      <c r="AE63" s="42"/>
      <c r="AF63" s="42"/>
      <c r="AG63" s="60">
        <f t="shared" si="2"/>
        <v>5</v>
      </c>
      <c r="AH63" s="60">
        <f t="shared" si="20"/>
        <v>5</v>
      </c>
      <c r="AI63" s="38"/>
      <c r="AJ63" s="22"/>
      <c r="AL63" s="72">
        <v>56</v>
      </c>
      <c r="AM63" s="77">
        <f t="shared" si="21"/>
        <v>17110</v>
      </c>
      <c r="AN63" s="77">
        <f t="shared" si="22"/>
        <v>0</v>
      </c>
      <c r="AO63" s="77">
        <f t="shared" si="23"/>
        <v>5009</v>
      </c>
      <c r="AP63" s="77">
        <f t="shared" si="24"/>
        <v>71660000</v>
      </c>
      <c r="AQ63" s="77">
        <f t="shared" si="25"/>
        <v>14780000</v>
      </c>
      <c r="AR63" s="72"/>
      <c r="AS63" s="77">
        <f t="shared" si="26"/>
        <v>0</v>
      </c>
      <c r="AT63" s="77">
        <f t="shared" si="27"/>
        <v>0</v>
      </c>
      <c r="AU63" s="77">
        <f t="shared" si="28"/>
        <v>2050</v>
      </c>
      <c r="AV63" s="72"/>
      <c r="AW63" s="73"/>
      <c r="AX63" s="73">
        <f>AM63/'[1]功能-推荐任务'!D114</f>
        <v>2.3278911564625848</v>
      </c>
      <c r="AY63" s="73" t="e">
        <f>AN63/'[1]功能-推荐任务'!E114</f>
        <v>#DIV/0!</v>
      </c>
      <c r="AZ63" s="73">
        <f>AO63/'[1]功能-推荐任务'!F114</f>
        <v>2.7075675675675677</v>
      </c>
      <c r="BA63" s="73">
        <f>AP63/'[1]功能-推荐任务'!G114</f>
        <v>8.3812865497076015</v>
      </c>
      <c r="BB63" s="73" t="e">
        <f>AQ63/'[1]功能-推荐任务'!H114</f>
        <v>#DIV/0!</v>
      </c>
      <c r="BC63" s="73"/>
      <c r="BD63" s="73" t="e">
        <f>AS63/'[1]功能-推荐任务'!J114</f>
        <v>#DIV/0!</v>
      </c>
      <c r="BE63" s="35"/>
    </row>
    <row r="64" spans="1:58" s="25" customFormat="1" x14ac:dyDescent="0.15">
      <c r="A64" s="40"/>
      <c r="B64" s="79" t="str">
        <f t="shared" si="3"/>
        <v/>
      </c>
      <c r="C64" s="85"/>
      <c r="D64" s="75">
        <f>INDEX(节奏总纲!$AM$4:$AM$83,$F64)</f>
        <v>0.22055744069899194</v>
      </c>
      <c r="E64" s="75">
        <f>求节点(节奏总纲!$P$4:$P$163,节奏总纲!$O$4:$O$163,$D64)</f>
        <v>2.871589098883871</v>
      </c>
      <c r="F64" s="40">
        <v>6</v>
      </c>
      <c r="G64" s="85"/>
      <c r="H64" s="63" t="s">
        <v>389</v>
      </c>
      <c r="I64" s="63"/>
      <c r="J64" s="63"/>
      <c r="K64" s="63"/>
      <c r="L64" s="40"/>
      <c r="M64" s="60">
        <f t="shared" si="4"/>
        <v>30</v>
      </c>
      <c r="N64" s="60">
        <f t="shared" si="5"/>
        <v>30</v>
      </c>
      <c r="O64" s="60">
        <f t="shared" si="6"/>
        <v>0</v>
      </c>
      <c r="P64" s="60">
        <f t="shared" si="7"/>
        <v>0</v>
      </c>
      <c r="Q64" s="60">
        <f t="shared" si="8"/>
        <v>7</v>
      </c>
      <c r="R64" s="60">
        <f t="shared" si="9"/>
        <v>7</v>
      </c>
      <c r="S64" s="60">
        <f t="shared" si="10"/>
        <v>20000</v>
      </c>
      <c r="T64" s="60">
        <f t="shared" si="11"/>
        <v>20000</v>
      </c>
      <c r="U64" s="60">
        <f t="shared" si="12"/>
        <v>0</v>
      </c>
      <c r="V64" s="60">
        <f t="shared" si="13"/>
        <v>0</v>
      </c>
      <c r="W64" s="60">
        <f t="shared" si="14"/>
        <v>0</v>
      </c>
      <c r="X64" s="60">
        <f t="shared" si="15"/>
        <v>0</v>
      </c>
      <c r="Y64" s="60">
        <f t="shared" si="16"/>
        <v>0</v>
      </c>
      <c r="Z64" s="60">
        <f t="shared" si="17"/>
        <v>0</v>
      </c>
      <c r="AA64" s="42"/>
      <c r="AB64" s="42"/>
      <c r="AC64" s="60">
        <f t="shared" si="18"/>
        <v>0</v>
      </c>
      <c r="AD64" s="60">
        <f t="shared" si="19"/>
        <v>0</v>
      </c>
      <c r="AE64" s="42"/>
      <c r="AF64" s="42"/>
      <c r="AG64" s="60">
        <f t="shared" si="2"/>
        <v>5</v>
      </c>
      <c r="AH64" s="60">
        <f t="shared" si="20"/>
        <v>5</v>
      </c>
      <c r="AI64" s="38"/>
      <c r="AJ64" s="22"/>
      <c r="AL64" s="72">
        <v>57</v>
      </c>
      <c r="AM64" s="77">
        <f t="shared" si="21"/>
        <v>17410</v>
      </c>
      <c r="AN64" s="77">
        <f t="shared" si="22"/>
        <v>0</v>
      </c>
      <c r="AO64" s="77">
        <f t="shared" si="23"/>
        <v>5104</v>
      </c>
      <c r="AP64" s="77">
        <f t="shared" si="24"/>
        <v>74310000</v>
      </c>
      <c r="AQ64" s="77">
        <f t="shared" si="25"/>
        <v>15330000</v>
      </c>
      <c r="AR64" s="72"/>
      <c r="AS64" s="77">
        <f t="shared" si="26"/>
        <v>0</v>
      </c>
      <c r="AT64" s="77">
        <f t="shared" si="27"/>
        <v>0</v>
      </c>
      <c r="AU64" s="77">
        <f t="shared" si="28"/>
        <v>2075</v>
      </c>
      <c r="AV64" s="72"/>
      <c r="AW64" s="73"/>
      <c r="AX64" s="73">
        <f>AM64/'[1]功能-推荐任务'!D115</f>
        <v>2.2758169934640522</v>
      </c>
      <c r="AY64" s="73" t="e">
        <f>AN64/'[1]功能-推荐任务'!E115</f>
        <v>#DIV/0!</v>
      </c>
      <c r="AZ64" s="73">
        <f>AO64/'[1]功能-推荐任务'!F115</f>
        <v>2.6174358974358976</v>
      </c>
      <c r="BA64" s="73">
        <f>AP64/'[1]功能-推荐任务'!G115</f>
        <v>7.431</v>
      </c>
      <c r="BB64" s="73" t="e">
        <f>AQ64/'[1]功能-推荐任务'!H115</f>
        <v>#DIV/0!</v>
      </c>
      <c r="BC64" s="73"/>
      <c r="BD64" s="73" t="e">
        <f>AS64/'[1]功能-推荐任务'!J115</f>
        <v>#DIV/0!</v>
      </c>
      <c r="BE64" s="35"/>
    </row>
    <row r="65" spans="1:58" s="25" customFormat="1" x14ac:dyDescent="0.15">
      <c r="A65" s="40"/>
      <c r="B65" s="79" t="str">
        <f t="shared" si="3"/>
        <v/>
      </c>
      <c r="C65" s="85"/>
      <c r="D65" s="75">
        <f>INDEX(节奏总纲!$AM$4:$AM$83,$F65)</f>
        <v>0.22055744069899194</v>
      </c>
      <c r="E65" s="75">
        <f>求节点(节奏总纲!$P$4:$P$163,节奏总纲!$O$4:$O$163,$D65)</f>
        <v>2.871589098883871</v>
      </c>
      <c r="F65" s="40">
        <v>6</v>
      </c>
      <c r="G65" s="85"/>
      <c r="H65" s="63" t="s">
        <v>390</v>
      </c>
      <c r="I65" s="63"/>
      <c r="J65" s="63"/>
      <c r="K65" s="63"/>
      <c r="L65" s="40"/>
      <c r="M65" s="60">
        <f t="shared" si="4"/>
        <v>30</v>
      </c>
      <c r="N65" s="60">
        <f t="shared" si="5"/>
        <v>30</v>
      </c>
      <c r="O65" s="60">
        <f t="shared" si="6"/>
        <v>0</v>
      </c>
      <c r="P65" s="60">
        <f t="shared" si="7"/>
        <v>0</v>
      </c>
      <c r="Q65" s="60">
        <f t="shared" si="8"/>
        <v>7</v>
      </c>
      <c r="R65" s="60">
        <f t="shared" si="9"/>
        <v>7</v>
      </c>
      <c r="S65" s="60">
        <f t="shared" si="10"/>
        <v>20000</v>
      </c>
      <c r="T65" s="60">
        <f t="shared" si="11"/>
        <v>20000</v>
      </c>
      <c r="U65" s="60">
        <f t="shared" si="12"/>
        <v>0</v>
      </c>
      <c r="V65" s="60">
        <f t="shared" si="13"/>
        <v>0</v>
      </c>
      <c r="W65" s="60">
        <f t="shared" si="14"/>
        <v>0</v>
      </c>
      <c r="X65" s="60">
        <f t="shared" si="15"/>
        <v>0</v>
      </c>
      <c r="Y65" s="60">
        <f t="shared" si="16"/>
        <v>0</v>
      </c>
      <c r="Z65" s="60">
        <f t="shared" si="17"/>
        <v>0</v>
      </c>
      <c r="AA65" s="42"/>
      <c r="AB65" s="42"/>
      <c r="AC65" s="60">
        <f t="shared" si="18"/>
        <v>0</v>
      </c>
      <c r="AD65" s="60">
        <f t="shared" si="19"/>
        <v>0</v>
      </c>
      <c r="AE65" s="42"/>
      <c r="AF65" s="42"/>
      <c r="AG65" s="60">
        <f t="shared" si="2"/>
        <v>5</v>
      </c>
      <c r="AH65" s="60">
        <f t="shared" si="20"/>
        <v>5</v>
      </c>
      <c r="AI65" s="38"/>
      <c r="AJ65" s="22"/>
      <c r="AK65" s="19"/>
      <c r="AL65" s="72">
        <v>58</v>
      </c>
      <c r="AM65" s="77">
        <f t="shared" si="21"/>
        <v>17710</v>
      </c>
      <c r="AN65" s="77">
        <f t="shared" si="22"/>
        <v>0</v>
      </c>
      <c r="AO65" s="77">
        <f t="shared" si="23"/>
        <v>5204</v>
      </c>
      <c r="AP65" s="77">
        <f t="shared" si="24"/>
        <v>77060000</v>
      </c>
      <c r="AQ65" s="77">
        <f t="shared" si="25"/>
        <v>15930000</v>
      </c>
      <c r="AR65" s="72"/>
      <c r="AS65" s="77">
        <f t="shared" si="26"/>
        <v>0</v>
      </c>
      <c r="AT65" s="77">
        <f t="shared" si="27"/>
        <v>0</v>
      </c>
      <c r="AU65" s="77">
        <f t="shared" si="28"/>
        <v>2100</v>
      </c>
      <c r="AV65" s="72"/>
      <c r="AW65" s="73"/>
      <c r="AX65" s="73">
        <f>AM65/'[1]功能-推荐任务'!D116</f>
        <v>2.2276729559748429</v>
      </c>
      <c r="AY65" s="73" t="e">
        <f>AN65/'[1]功能-推荐任务'!E116</f>
        <v>#DIV/0!</v>
      </c>
      <c r="AZ65" s="73">
        <f>AO65/'[1]功能-推荐任务'!F116</f>
        <v>2.5385365853658537</v>
      </c>
      <c r="BA65" s="73">
        <f>AP65/'[1]功能-推荐任务'!G116</f>
        <v>6.6718614718614715</v>
      </c>
      <c r="BB65" s="73">
        <f>AQ65/'[1]功能-推荐任务'!H116</f>
        <v>41.109677419354838</v>
      </c>
      <c r="BC65" s="73"/>
      <c r="BD65" s="73" t="e">
        <f>AS65/'[1]功能-推荐任务'!J116</f>
        <v>#DIV/0!</v>
      </c>
      <c r="BE65" s="35"/>
    </row>
    <row r="66" spans="1:58" s="25" customFormat="1" x14ac:dyDescent="0.15">
      <c r="A66" s="40"/>
      <c r="B66" s="79" t="str">
        <f t="shared" si="3"/>
        <v/>
      </c>
      <c r="C66" s="85"/>
      <c r="D66" s="75">
        <f>INDEX(节奏总纲!$AM$4:$AM$83,$F66)</f>
        <v>0.22055744069899194</v>
      </c>
      <c r="E66" s="75">
        <f>求节点(节奏总纲!$P$4:$P$163,节奏总纲!$O$4:$O$163,$D66)</f>
        <v>2.871589098883871</v>
      </c>
      <c r="F66" s="40">
        <v>6</v>
      </c>
      <c r="G66" s="85"/>
      <c r="H66" s="63" t="s">
        <v>391</v>
      </c>
      <c r="I66" s="63"/>
      <c r="J66" s="63"/>
      <c r="K66" s="63"/>
      <c r="L66" s="40"/>
      <c r="M66" s="60">
        <f t="shared" si="4"/>
        <v>30</v>
      </c>
      <c r="N66" s="60">
        <f t="shared" si="5"/>
        <v>30</v>
      </c>
      <c r="O66" s="60">
        <f t="shared" si="6"/>
        <v>0</v>
      </c>
      <c r="P66" s="60">
        <f t="shared" si="7"/>
        <v>0</v>
      </c>
      <c r="Q66" s="60">
        <f t="shared" si="8"/>
        <v>7</v>
      </c>
      <c r="R66" s="60">
        <f t="shared" si="9"/>
        <v>7</v>
      </c>
      <c r="S66" s="60">
        <f t="shared" si="10"/>
        <v>20000</v>
      </c>
      <c r="T66" s="60">
        <f t="shared" si="11"/>
        <v>20000</v>
      </c>
      <c r="U66" s="60">
        <f t="shared" si="12"/>
        <v>0</v>
      </c>
      <c r="V66" s="60">
        <f t="shared" si="13"/>
        <v>0</v>
      </c>
      <c r="W66" s="60">
        <f t="shared" si="14"/>
        <v>0</v>
      </c>
      <c r="X66" s="60">
        <f t="shared" si="15"/>
        <v>0</v>
      </c>
      <c r="Y66" s="60">
        <f t="shared" si="16"/>
        <v>0</v>
      </c>
      <c r="Z66" s="60">
        <f t="shared" si="17"/>
        <v>0</v>
      </c>
      <c r="AA66" s="42"/>
      <c r="AB66" s="42"/>
      <c r="AC66" s="60">
        <f t="shared" si="18"/>
        <v>0</v>
      </c>
      <c r="AD66" s="60">
        <f t="shared" si="19"/>
        <v>0</v>
      </c>
      <c r="AE66" s="42"/>
      <c r="AF66" s="42"/>
      <c r="AG66" s="60">
        <f t="shared" si="2"/>
        <v>5</v>
      </c>
      <c r="AH66" s="60">
        <f t="shared" si="20"/>
        <v>5</v>
      </c>
      <c r="AI66" s="38"/>
      <c r="AJ66" s="22"/>
      <c r="AK66" s="19"/>
      <c r="AL66" s="72">
        <v>59</v>
      </c>
      <c r="AM66" s="77">
        <f t="shared" si="21"/>
        <v>18010</v>
      </c>
      <c r="AN66" s="77">
        <f t="shared" si="22"/>
        <v>0</v>
      </c>
      <c r="AO66" s="77">
        <f t="shared" si="23"/>
        <v>5304</v>
      </c>
      <c r="AP66" s="77">
        <f t="shared" si="24"/>
        <v>79860000</v>
      </c>
      <c r="AQ66" s="77">
        <f t="shared" si="25"/>
        <v>16530000</v>
      </c>
      <c r="AR66" s="72"/>
      <c r="AS66" s="77">
        <f t="shared" si="26"/>
        <v>0</v>
      </c>
      <c r="AT66" s="77">
        <f t="shared" si="27"/>
        <v>0</v>
      </c>
      <c r="AU66" s="77">
        <f t="shared" si="28"/>
        <v>2125</v>
      </c>
      <c r="AV66" s="72"/>
      <c r="AW66" s="73"/>
      <c r="AX66" s="73">
        <f>AM66/'[1]功能-推荐任务'!D117</f>
        <v>2.1830303030303031</v>
      </c>
      <c r="AY66" s="73" t="e">
        <f>AN66/'[1]功能-推荐任务'!E117</f>
        <v>#DIV/0!</v>
      </c>
      <c r="AZ66" s="73">
        <f>AO66/'[1]功能-推荐任务'!F117</f>
        <v>2.4669767441860464</v>
      </c>
      <c r="BA66" s="73">
        <f>AP66/'[1]功能-推荐任务'!G117</f>
        <v>6.05</v>
      </c>
      <c r="BB66" s="73">
        <f>AQ66/'[1]功能-推荐任务'!H117</f>
        <v>20.662500000000001</v>
      </c>
      <c r="BC66" s="73"/>
      <c r="BD66" s="73" t="e">
        <f>AS66/'[1]功能-推荐任务'!J117</f>
        <v>#DIV/0!</v>
      </c>
      <c r="BE66" s="35"/>
    </row>
    <row r="67" spans="1:58" s="25" customFormat="1" x14ac:dyDescent="0.15">
      <c r="A67" s="40"/>
      <c r="B67" s="79" t="str">
        <f t="shared" si="3"/>
        <v/>
      </c>
      <c r="C67" s="85"/>
      <c r="D67" s="75">
        <f>INDEX(节奏总纲!$AM$4:$AM$83,$F67)</f>
        <v>0.22055744069899194</v>
      </c>
      <c r="E67" s="75">
        <f>求节点(节奏总纲!$P$4:$P$163,节奏总纲!$O$4:$O$163,$D67)</f>
        <v>2.871589098883871</v>
      </c>
      <c r="F67" s="40">
        <v>6</v>
      </c>
      <c r="G67" s="85"/>
      <c r="H67" s="63" t="s">
        <v>392</v>
      </c>
      <c r="I67" s="63"/>
      <c r="J67" s="63"/>
      <c r="K67" s="63"/>
      <c r="L67" s="40"/>
      <c r="M67" s="60">
        <f t="shared" si="4"/>
        <v>30</v>
      </c>
      <c r="N67" s="60">
        <f t="shared" si="5"/>
        <v>30</v>
      </c>
      <c r="O67" s="60">
        <f t="shared" si="6"/>
        <v>0</v>
      </c>
      <c r="P67" s="60">
        <f t="shared" si="7"/>
        <v>0</v>
      </c>
      <c r="Q67" s="60">
        <f t="shared" si="8"/>
        <v>7</v>
      </c>
      <c r="R67" s="60">
        <f t="shared" si="9"/>
        <v>7</v>
      </c>
      <c r="S67" s="60">
        <f t="shared" si="10"/>
        <v>20000</v>
      </c>
      <c r="T67" s="60">
        <f t="shared" si="11"/>
        <v>20000</v>
      </c>
      <c r="U67" s="60">
        <f t="shared" si="12"/>
        <v>0</v>
      </c>
      <c r="V67" s="60">
        <f t="shared" si="13"/>
        <v>0</v>
      </c>
      <c r="W67" s="60">
        <f t="shared" si="14"/>
        <v>0</v>
      </c>
      <c r="X67" s="60">
        <f t="shared" si="15"/>
        <v>0</v>
      </c>
      <c r="Y67" s="60">
        <f t="shared" si="16"/>
        <v>0</v>
      </c>
      <c r="Z67" s="60">
        <f t="shared" si="17"/>
        <v>0</v>
      </c>
      <c r="AA67" s="42"/>
      <c r="AB67" s="42"/>
      <c r="AC67" s="60">
        <f t="shared" si="18"/>
        <v>0</v>
      </c>
      <c r="AD67" s="60">
        <f t="shared" si="19"/>
        <v>0</v>
      </c>
      <c r="AE67" s="42"/>
      <c r="AF67" s="42"/>
      <c r="AG67" s="60">
        <f t="shared" si="2"/>
        <v>5</v>
      </c>
      <c r="AH67" s="60">
        <f t="shared" si="20"/>
        <v>5</v>
      </c>
      <c r="AI67" s="38"/>
      <c r="AJ67" s="22"/>
      <c r="AK67" s="19"/>
      <c r="AL67" s="72">
        <v>60</v>
      </c>
      <c r="AM67" s="77">
        <f t="shared" si="21"/>
        <v>18310</v>
      </c>
      <c r="AN67" s="77">
        <f t="shared" si="22"/>
        <v>0</v>
      </c>
      <c r="AO67" s="77">
        <f t="shared" si="23"/>
        <v>5404</v>
      </c>
      <c r="AP67" s="77">
        <f t="shared" si="24"/>
        <v>82760000</v>
      </c>
      <c r="AQ67" s="77">
        <f t="shared" si="25"/>
        <v>17130000</v>
      </c>
      <c r="AR67" s="72"/>
      <c r="AS67" s="77">
        <f t="shared" si="26"/>
        <v>0</v>
      </c>
      <c r="AT67" s="77">
        <f t="shared" si="27"/>
        <v>0</v>
      </c>
      <c r="AU67" s="77">
        <f t="shared" si="28"/>
        <v>2150</v>
      </c>
      <c r="AV67" s="72"/>
      <c r="AW67" s="73"/>
      <c r="AX67" s="73">
        <f>AM67/'[1]功能-推荐任务'!D118</f>
        <v>2.1415204678362572</v>
      </c>
      <c r="AY67" s="73" t="e">
        <f>AN67/'[1]功能-推荐任务'!E118</f>
        <v>#DIV/0!</v>
      </c>
      <c r="AZ67" s="73">
        <f>AO67/'[1]功能-推荐任务'!F118</f>
        <v>2.4017777777777778</v>
      </c>
      <c r="BA67" s="73">
        <f>AP67/'[1]功能-推荐任务'!G118</f>
        <v>5.5357859531772577</v>
      </c>
      <c r="BB67" s="73">
        <f>AQ67/'[1]功能-推荐任务'!H118</f>
        <v>13.842424242424242</v>
      </c>
      <c r="BC67" s="73"/>
      <c r="BD67" s="73" t="e">
        <f>AS67/'[1]功能-推荐任务'!J118</f>
        <v>#DIV/0!</v>
      </c>
      <c r="BE67" s="35"/>
    </row>
    <row r="68" spans="1:58" s="25" customFormat="1" x14ac:dyDescent="0.15">
      <c r="A68" s="40"/>
      <c r="B68" s="79">
        <f t="shared" si="3"/>
        <v>14</v>
      </c>
      <c r="C68" s="85"/>
      <c r="D68" s="75">
        <f>INDEX(节奏总纲!$AM$4:$AM$83,$F68)</f>
        <v>0.31141300609369982</v>
      </c>
      <c r="E68" s="75">
        <f>求节点(节奏总纲!$P$4:$P$163,节奏总纲!$O$4:$O$163,$D68)</f>
        <v>3.9083908523902386</v>
      </c>
      <c r="F68" s="40">
        <v>7</v>
      </c>
      <c r="G68" s="85">
        <v>2</v>
      </c>
      <c r="H68" s="63" t="s">
        <v>386</v>
      </c>
      <c r="I68" s="63" t="s">
        <v>481</v>
      </c>
      <c r="J68" s="63" t="s">
        <v>564</v>
      </c>
      <c r="K68" s="63"/>
      <c r="L68" s="40"/>
      <c r="M68" s="60">
        <f t="shared" si="4"/>
        <v>30</v>
      </c>
      <c r="N68" s="60">
        <f t="shared" si="5"/>
        <v>90</v>
      </c>
      <c r="O68" s="60">
        <f t="shared" si="6"/>
        <v>0</v>
      </c>
      <c r="P68" s="60">
        <f t="shared" si="7"/>
        <v>0</v>
      </c>
      <c r="Q68" s="60">
        <f t="shared" si="8"/>
        <v>7</v>
      </c>
      <c r="R68" s="60">
        <f t="shared" si="9"/>
        <v>21</v>
      </c>
      <c r="S68" s="60">
        <f t="shared" si="10"/>
        <v>20000</v>
      </c>
      <c r="T68" s="60">
        <f t="shared" si="11"/>
        <v>60000</v>
      </c>
      <c r="U68" s="60">
        <f t="shared" si="12"/>
        <v>0</v>
      </c>
      <c r="V68" s="60">
        <f t="shared" si="13"/>
        <v>0</v>
      </c>
      <c r="W68" s="60">
        <f t="shared" si="14"/>
        <v>0</v>
      </c>
      <c r="X68" s="60">
        <f t="shared" si="15"/>
        <v>0</v>
      </c>
      <c r="Y68" s="60">
        <f t="shared" si="16"/>
        <v>0</v>
      </c>
      <c r="Z68" s="60">
        <f t="shared" si="17"/>
        <v>0</v>
      </c>
      <c r="AA68" s="42"/>
      <c r="AB68" s="42"/>
      <c r="AC68" s="60">
        <f t="shared" si="18"/>
        <v>0</v>
      </c>
      <c r="AD68" s="60">
        <f t="shared" si="19"/>
        <v>0</v>
      </c>
      <c r="AE68" s="42"/>
      <c r="AF68" s="42"/>
      <c r="AG68" s="60">
        <f t="shared" si="2"/>
        <v>5</v>
      </c>
      <c r="AH68" s="60">
        <f t="shared" si="20"/>
        <v>15</v>
      </c>
      <c r="AI68" s="38"/>
      <c r="AJ68" s="22"/>
      <c r="AL68" s="72">
        <v>61</v>
      </c>
      <c r="AM68" s="77">
        <f t="shared" si="21"/>
        <v>18310</v>
      </c>
      <c r="AN68" s="77">
        <f t="shared" si="22"/>
        <v>0</v>
      </c>
      <c r="AO68" s="77">
        <f t="shared" si="23"/>
        <v>5404</v>
      </c>
      <c r="AP68" s="77">
        <f t="shared" si="24"/>
        <v>82760000</v>
      </c>
      <c r="AQ68" s="77">
        <f t="shared" si="25"/>
        <v>17130000</v>
      </c>
      <c r="AR68" s="72"/>
      <c r="AS68" s="77">
        <f t="shared" si="26"/>
        <v>0</v>
      </c>
      <c r="AT68" s="77">
        <f t="shared" si="27"/>
        <v>0</v>
      </c>
      <c r="AU68" s="77">
        <f t="shared" si="28"/>
        <v>2150</v>
      </c>
      <c r="AV68" s="72"/>
      <c r="AW68" s="73"/>
      <c r="AX68" s="73">
        <f>AM68/'[1]功能-推荐任务'!D119</f>
        <v>2.0689265536723163</v>
      </c>
      <c r="AY68" s="73" t="e">
        <f>AN68/'[1]功能-推荐任务'!E119</f>
        <v>#DIV/0!</v>
      </c>
      <c r="AZ68" s="73">
        <f>AO68/'[1]功能-推荐任务'!F119</f>
        <v>2.2995744680851065</v>
      </c>
      <c r="BA68" s="73">
        <f>AP68/'[1]功能-推荐任务'!G119</f>
        <v>4.9261904761904765</v>
      </c>
      <c r="BB68" s="73">
        <f>AQ68/'[1]功能-推荐任务'!H119</f>
        <v>10.076470588235294</v>
      </c>
      <c r="BC68" s="73"/>
      <c r="BD68" s="73" t="e">
        <f>AS68/'[1]功能-推荐任务'!J119</f>
        <v>#DIV/0!</v>
      </c>
      <c r="BE68" s="35"/>
    </row>
    <row r="69" spans="1:58" s="25" customFormat="1" x14ac:dyDescent="0.15">
      <c r="A69" s="40"/>
      <c r="B69" s="79" t="str">
        <f t="shared" si="3"/>
        <v/>
      </c>
      <c r="C69" s="85"/>
      <c r="D69" s="75">
        <f>INDEX(节奏总纲!$AM$4:$AM$83,$F69)</f>
        <v>0.31141300609369982</v>
      </c>
      <c r="E69" s="75">
        <f>求节点(节奏总纲!$P$4:$P$163,节奏总纲!$O$4:$O$163,$D69)</f>
        <v>3.9083908523902386</v>
      </c>
      <c r="F69" s="40">
        <v>7</v>
      </c>
      <c r="G69" s="85"/>
      <c r="H69" s="63" t="s">
        <v>500</v>
      </c>
      <c r="I69" s="63" t="s">
        <v>616</v>
      </c>
      <c r="J69" s="63"/>
      <c r="K69" s="63"/>
      <c r="L69" s="40"/>
      <c r="M69" s="60">
        <f t="shared" si="4"/>
        <v>30</v>
      </c>
      <c r="N69" s="60">
        <f t="shared" si="5"/>
        <v>60</v>
      </c>
      <c r="O69" s="60">
        <f t="shared" si="6"/>
        <v>0</v>
      </c>
      <c r="P69" s="60">
        <f t="shared" si="7"/>
        <v>0</v>
      </c>
      <c r="Q69" s="60">
        <f t="shared" si="8"/>
        <v>7</v>
      </c>
      <c r="R69" s="60">
        <f t="shared" si="9"/>
        <v>14</v>
      </c>
      <c r="S69" s="60">
        <f t="shared" si="10"/>
        <v>20000</v>
      </c>
      <c r="T69" s="60">
        <f t="shared" si="11"/>
        <v>40000</v>
      </c>
      <c r="U69" s="60">
        <f t="shared" si="12"/>
        <v>0</v>
      </c>
      <c r="V69" s="60">
        <f t="shared" si="13"/>
        <v>0</v>
      </c>
      <c r="W69" s="60">
        <f t="shared" si="14"/>
        <v>0</v>
      </c>
      <c r="X69" s="60">
        <f t="shared" si="15"/>
        <v>0</v>
      </c>
      <c r="Y69" s="60">
        <f t="shared" si="16"/>
        <v>0</v>
      </c>
      <c r="Z69" s="60">
        <f t="shared" si="17"/>
        <v>0</v>
      </c>
      <c r="AA69" s="42"/>
      <c r="AB69" s="42"/>
      <c r="AC69" s="60">
        <f t="shared" si="18"/>
        <v>0</v>
      </c>
      <c r="AD69" s="60">
        <f t="shared" si="19"/>
        <v>0</v>
      </c>
      <c r="AE69" s="42"/>
      <c r="AF69" s="42"/>
      <c r="AG69" s="60">
        <f t="shared" si="2"/>
        <v>5</v>
      </c>
      <c r="AH69" s="60">
        <f t="shared" si="20"/>
        <v>10</v>
      </c>
      <c r="AI69" s="38"/>
      <c r="AJ69" s="22"/>
      <c r="AL69" s="72">
        <v>62</v>
      </c>
      <c r="AM69" s="77">
        <f t="shared" si="21"/>
        <v>18310</v>
      </c>
      <c r="AN69" s="77">
        <f t="shared" si="22"/>
        <v>0</v>
      </c>
      <c r="AO69" s="77">
        <f t="shared" si="23"/>
        <v>5404</v>
      </c>
      <c r="AP69" s="77">
        <f t="shared" si="24"/>
        <v>82760000</v>
      </c>
      <c r="AQ69" s="77">
        <f t="shared" si="25"/>
        <v>17130000</v>
      </c>
      <c r="AR69" s="72"/>
      <c r="AS69" s="77">
        <f t="shared" si="26"/>
        <v>0</v>
      </c>
      <c r="AT69" s="77">
        <f t="shared" si="27"/>
        <v>0</v>
      </c>
      <c r="AU69" s="77">
        <f t="shared" si="28"/>
        <v>2150</v>
      </c>
      <c r="AV69" s="72"/>
      <c r="AW69" s="73"/>
      <c r="AX69" s="73">
        <f>AM69/'[1]功能-推荐任务'!D120</f>
        <v>2.0010928961748635</v>
      </c>
      <c r="AY69" s="73" t="e">
        <f>AN69/'[1]功能-推荐任务'!E120</f>
        <v>#DIV/0!</v>
      </c>
      <c r="AZ69" s="73">
        <f>AO69/'[1]功能-推荐任务'!F120</f>
        <v>2.2057142857142855</v>
      </c>
      <c r="BA69" s="73">
        <f>AP69/'[1]功能-推荐任务'!G120</f>
        <v>4.4138666666666664</v>
      </c>
      <c r="BB69" s="73">
        <f>AQ69/'[1]功能-推荐任务'!H120</f>
        <v>7.830857142857143</v>
      </c>
      <c r="BC69" s="73"/>
      <c r="BD69" s="73" t="e">
        <f>AS69/'[1]功能-推荐任务'!J120</f>
        <v>#DIV/0!</v>
      </c>
      <c r="BE69" s="35"/>
    </row>
    <row r="70" spans="1:58" s="25" customFormat="1" x14ac:dyDescent="0.15">
      <c r="A70" s="40"/>
      <c r="B70" s="79" t="str">
        <f t="shared" si="3"/>
        <v/>
      </c>
      <c r="C70" s="85"/>
      <c r="D70" s="75">
        <f>INDEX(节奏总纲!$AM$4:$AM$83,$F70)</f>
        <v>0.31141300609369982</v>
      </c>
      <c r="E70" s="75">
        <f>求节点(节奏总纲!$P$4:$P$163,节奏总纲!$O$4:$O$163,$D70)</f>
        <v>3.9083908523902386</v>
      </c>
      <c r="F70" s="40">
        <v>7</v>
      </c>
      <c r="G70" s="85"/>
      <c r="H70" s="63" t="s">
        <v>634</v>
      </c>
      <c r="I70" s="63" t="s">
        <v>563</v>
      </c>
      <c r="J70" s="63"/>
      <c r="K70" s="63"/>
      <c r="L70" s="40"/>
      <c r="M70" s="60">
        <f t="shared" si="4"/>
        <v>30</v>
      </c>
      <c r="N70" s="60">
        <f t="shared" si="5"/>
        <v>60</v>
      </c>
      <c r="O70" s="60">
        <f t="shared" si="6"/>
        <v>0</v>
      </c>
      <c r="P70" s="60">
        <f t="shared" si="7"/>
        <v>0</v>
      </c>
      <c r="Q70" s="60">
        <f t="shared" si="8"/>
        <v>7</v>
      </c>
      <c r="R70" s="60">
        <f t="shared" si="9"/>
        <v>14</v>
      </c>
      <c r="S70" s="60">
        <f t="shared" si="10"/>
        <v>20000</v>
      </c>
      <c r="T70" s="60">
        <f t="shared" si="11"/>
        <v>40000</v>
      </c>
      <c r="U70" s="60">
        <f t="shared" si="12"/>
        <v>0</v>
      </c>
      <c r="V70" s="60">
        <f t="shared" si="13"/>
        <v>0</v>
      </c>
      <c r="W70" s="60">
        <f t="shared" si="14"/>
        <v>0</v>
      </c>
      <c r="X70" s="60">
        <f t="shared" si="15"/>
        <v>0</v>
      </c>
      <c r="Y70" s="60">
        <f t="shared" si="16"/>
        <v>0</v>
      </c>
      <c r="Z70" s="60">
        <f t="shared" si="17"/>
        <v>0</v>
      </c>
      <c r="AA70" s="42"/>
      <c r="AB70" s="42"/>
      <c r="AC70" s="60">
        <f t="shared" si="18"/>
        <v>0</v>
      </c>
      <c r="AD70" s="60">
        <f t="shared" si="19"/>
        <v>0</v>
      </c>
      <c r="AE70" s="42"/>
      <c r="AF70" s="42"/>
      <c r="AG70" s="60">
        <f t="shared" si="2"/>
        <v>5</v>
      </c>
      <c r="AH70" s="60">
        <f t="shared" si="20"/>
        <v>10</v>
      </c>
      <c r="AI70" s="38"/>
      <c r="AJ70" s="22"/>
      <c r="AL70" s="72">
        <v>63</v>
      </c>
      <c r="AM70" s="77">
        <f t="shared" si="21"/>
        <v>18310</v>
      </c>
      <c r="AN70" s="77">
        <f t="shared" si="22"/>
        <v>0</v>
      </c>
      <c r="AO70" s="77">
        <f t="shared" si="23"/>
        <v>5404</v>
      </c>
      <c r="AP70" s="77">
        <f t="shared" si="24"/>
        <v>82760000</v>
      </c>
      <c r="AQ70" s="77">
        <f t="shared" si="25"/>
        <v>17130000</v>
      </c>
      <c r="AR70" s="72"/>
      <c r="AS70" s="77">
        <f t="shared" si="26"/>
        <v>0</v>
      </c>
      <c r="AT70" s="77">
        <f t="shared" si="27"/>
        <v>0</v>
      </c>
      <c r="AU70" s="77">
        <f t="shared" si="28"/>
        <v>2150</v>
      </c>
      <c r="AV70" s="72"/>
      <c r="AW70" s="73"/>
      <c r="AX70" s="73">
        <f>AM70/'[1]功能-推荐任务'!D121</f>
        <v>1.9375661375661375</v>
      </c>
      <c r="AY70" s="73" t="e">
        <f>AN70/'[1]功能-推荐任务'!E121</f>
        <v>#DIV/0!</v>
      </c>
      <c r="AZ70" s="73">
        <f>AO70/'[1]功能-推荐任务'!F121</f>
        <v>2.1192156862745097</v>
      </c>
      <c r="BA70" s="73">
        <f>AP70/'[1]功能-推荐任务'!G121</f>
        <v>3.9788461538461539</v>
      </c>
      <c r="BB70" s="73">
        <f>AQ70/'[1]功能-推荐任务'!H121</f>
        <v>6.3444444444444441</v>
      </c>
      <c r="BC70" s="73"/>
      <c r="BD70" s="73" t="e">
        <f>AS70/'[1]功能-推荐任务'!J121</f>
        <v>#DIV/0!</v>
      </c>
      <c r="BE70" s="35"/>
    </row>
    <row r="71" spans="1:58" s="25" customFormat="1" x14ac:dyDescent="0.15">
      <c r="A71" s="40"/>
      <c r="B71" s="79" t="str">
        <f t="shared" si="3"/>
        <v/>
      </c>
      <c r="C71" s="85"/>
      <c r="D71" s="75">
        <f>INDEX(节奏总纲!$AM$4:$AM$83,$F71)</f>
        <v>0.31141300609369982</v>
      </c>
      <c r="E71" s="75">
        <f>求节点(节奏总纲!$P$4:$P$163,节奏总纲!$O$4:$O$163,$D71)</f>
        <v>3.9083908523902386</v>
      </c>
      <c r="F71" s="40">
        <v>7</v>
      </c>
      <c r="G71" s="85"/>
      <c r="H71" s="63" t="s">
        <v>387</v>
      </c>
      <c r="I71" s="63"/>
      <c r="J71" s="63"/>
      <c r="K71" s="63"/>
      <c r="L71" s="40"/>
      <c r="M71" s="60">
        <f t="shared" si="4"/>
        <v>30</v>
      </c>
      <c r="N71" s="60">
        <f t="shared" si="5"/>
        <v>30</v>
      </c>
      <c r="O71" s="60">
        <f t="shared" si="6"/>
        <v>0</v>
      </c>
      <c r="P71" s="60">
        <f t="shared" si="7"/>
        <v>0</v>
      </c>
      <c r="Q71" s="60">
        <f t="shared" si="8"/>
        <v>7</v>
      </c>
      <c r="R71" s="60">
        <f t="shared" si="9"/>
        <v>7</v>
      </c>
      <c r="S71" s="60">
        <f t="shared" si="10"/>
        <v>20000</v>
      </c>
      <c r="T71" s="60">
        <f t="shared" si="11"/>
        <v>20000</v>
      </c>
      <c r="U71" s="60">
        <f t="shared" si="12"/>
        <v>0</v>
      </c>
      <c r="V71" s="60">
        <f t="shared" si="13"/>
        <v>0</v>
      </c>
      <c r="W71" s="60">
        <f t="shared" si="14"/>
        <v>0</v>
      </c>
      <c r="X71" s="60">
        <f t="shared" si="15"/>
        <v>0</v>
      </c>
      <c r="Y71" s="60">
        <f t="shared" si="16"/>
        <v>0</v>
      </c>
      <c r="Z71" s="60">
        <f t="shared" si="17"/>
        <v>0</v>
      </c>
      <c r="AA71" s="42"/>
      <c r="AB71" s="42"/>
      <c r="AC71" s="60">
        <f t="shared" si="18"/>
        <v>0</v>
      </c>
      <c r="AD71" s="60">
        <f t="shared" si="19"/>
        <v>0</v>
      </c>
      <c r="AE71" s="42"/>
      <c r="AF71" s="42"/>
      <c r="AG71" s="60">
        <f t="shared" si="2"/>
        <v>5</v>
      </c>
      <c r="AH71" s="60">
        <f t="shared" si="20"/>
        <v>5</v>
      </c>
      <c r="AI71" s="38"/>
      <c r="AJ71" s="22"/>
      <c r="AK71" s="19"/>
      <c r="AL71" s="72">
        <v>64</v>
      </c>
      <c r="AM71" s="77">
        <f t="shared" si="21"/>
        <v>18310</v>
      </c>
      <c r="AN71" s="77">
        <f t="shared" si="22"/>
        <v>0</v>
      </c>
      <c r="AO71" s="77">
        <f t="shared" si="23"/>
        <v>5404</v>
      </c>
      <c r="AP71" s="77">
        <f t="shared" si="24"/>
        <v>82760000</v>
      </c>
      <c r="AQ71" s="77">
        <f t="shared" si="25"/>
        <v>17130000</v>
      </c>
      <c r="AR71" s="72"/>
      <c r="AS71" s="77">
        <f t="shared" si="26"/>
        <v>0</v>
      </c>
      <c r="AT71" s="77">
        <f t="shared" si="27"/>
        <v>0</v>
      </c>
      <c r="AU71" s="77">
        <f t="shared" si="28"/>
        <v>2150</v>
      </c>
      <c r="AV71" s="72"/>
      <c r="AW71" s="73"/>
      <c r="AX71" s="73">
        <f>AM71/'[1]功能-推荐任务'!D122</f>
        <v>1.877948717948718</v>
      </c>
      <c r="AY71" s="73" t="e">
        <f>AN71/'[1]功能-推荐任务'!E122</f>
        <v>#DIV/0!</v>
      </c>
      <c r="AZ71" s="73">
        <f>AO71/'[1]功能-推荐任务'!F122</f>
        <v>2.0392452830188681</v>
      </c>
      <c r="BA71" s="73">
        <f>AP71/'[1]功能-推荐任务'!G122</f>
        <v>3.6218818380743985</v>
      </c>
      <c r="BB71" s="73">
        <f>AQ71/'[1]功能-推荐任务'!H122</f>
        <v>5.3322957198443577</v>
      </c>
      <c r="BC71" s="73"/>
      <c r="BD71" s="73" t="e">
        <f>AS71/'[1]功能-推荐任务'!J122</f>
        <v>#DIV/0!</v>
      </c>
      <c r="BE71" s="35"/>
    </row>
    <row r="72" spans="1:58" s="25" customFormat="1" x14ac:dyDescent="0.15">
      <c r="A72" s="40"/>
      <c r="B72" s="79" t="str">
        <f t="shared" si="3"/>
        <v/>
      </c>
      <c r="C72" s="85"/>
      <c r="D72" s="75">
        <f>INDEX(节奏总纲!$AM$4:$AM$83,$F72)</f>
        <v>0.31141300609369982</v>
      </c>
      <c r="E72" s="75">
        <f>求节点(节奏总纲!$P$4:$P$163,节奏总纲!$O$4:$O$163,$D72)</f>
        <v>3.9083908523902386</v>
      </c>
      <c r="F72" s="40">
        <v>7</v>
      </c>
      <c r="G72" s="85"/>
      <c r="H72" s="63" t="s">
        <v>346</v>
      </c>
      <c r="I72" s="63"/>
      <c r="J72" s="63"/>
      <c r="K72" s="63"/>
      <c r="L72" s="40"/>
      <c r="M72" s="60">
        <f t="shared" si="4"/>
        <v>30</v>
      </c>
      <c r="N72" s="60">
        <f t="shared" si="5"/>
        <v>30</v>
      </c>
      <c r="O72" s="60">
        <f t="shared" si="6"/>
        <v>0</v>
      </c>
      <c r="P72" s="60">
        <f t="shared" si="7"/>
        <v>0</v>
      </c>
      <c r="Q72" s="60">
        <f t="shared" si="8"/>
        <v>7</v>
      </c>
      <c r="R72" s="60">
        <f t="shared" si="9"/>
        <v>7</v>
      </c>
      <c r="S72" s="60">
        <f t="shared" si="10"/>
        <v>20000</v>
      </c>
      <c r="T72" s="60">
        <f t="shared" si="11"/>
        <v>20000</v>
      </c>
      <c r="U72" s="60">
        <f t="shared" si="12"/>
        <v>0</v>
      </c>
      <c r="V72" s="60">
        <f t="shared" si="13"/>
        <v>0</v>
      </c>
      <c r="W72" s="60">
        <f t="shared" si="14"/>
        <v>0</v>
      </c>
      <c r="X72" s="60">
        <f t="shared" si="15"/>
        <v>0</v>
      </c>
      <c r="Y72" s="60">
        <f t="shared" si="16"/>
        <v>0</v>
      </c>
      <c r="Z72" s="60">
        <f t="shared" si="17"/>
        <v>0</v>
      </c>
      <c r="AA72" s="42"/>
      <c r="AB72" s="42"/>
      <c r="AC72" s="60">
        <f t="shared" si="18"/>
        <v>0</v>
      </c>
      <c r="AD72" s="60">
        <f t="shared" si="19"/>
        <v>0</v>
      </c>
      <c r="AE72" s="42"/>
      <c r="AF72" s="42"/>
      <c r="AG72" s="60">
        <f t="shared" si="2"/>
        <v>5</v>
      </c>
      <c r="AH72" s="60">
        <f t="shared" si="20"/>
        <v>5</v>
      </c>
      <c r="AI72" s="38"/>
      <c r="AJ72" s="22"/>
      <c r="AK72" s="19"/>
      <c r="AL72" s="72">
        <v>65</v>
      </c>
      <c r="AM72" s="77">
        <f t="shared" si="21"/>
        <v>18310</v>
      </c>
      <c r="AN72" s="77">
        <f t="shared" si="22"/>
        <v>0</v>
      </c>
      <c r="AO72" s="77">
        <f t="shared" si="23"/>
        <v>5404</v>
      </c>
      <c r="AP72" s="77">
        <f t="shared" si="24"/>
        <v>82760000</v>
      </c>
      <c r="AQ72" s="77">
        <f t="shared" si="25"/>
        <v>17130000</v>
      </c>
      <c r="AR72" s="72"/>
      <c r="AS72" s="77">
        <f t="shared" si="26"/>
        <v>0</v>
      </c>
      <c r="AT72" s="77">
        <f t="shared" si="27"/>
        <v>0</v>
      </c>
      <c r="AU72" s="77">
        <f t="shared" si="28"/>
        <v>2150</v>
      </c>
      <c r="AV72" s="72"/>
      <c r="AW72" s="73"/>
      <c r="AX72" s="73">
        <f>AM72/'[1]功能-推荐任务'!D123</f>
        <v>1.8218905472636815</v>
      </c>
      <c r="AY72" s="73" t="e">
        <f>AN72/'[1]功能-推荐任务'!E123</f>
        <v>#DIV/0!</v>
      </c>
      <c r="AZ72" s="73">
        <f>AO72/'[1]功能-推荐任务'!F123</f>
        <v>1.965090909090909</v>
      </c>
      <c r="BA72" s="73">
        <f>AP72/'[1]功能-推荐任务'!G123</f>
        <v>3.3236947791164657</v>
      </c>
      <c r="BB72" s="73">
        <f>AQ72/'[1]功能-推荐任务'!H123</f>
        <v>4.5986577181208057</v>
      </c>
      <c r="BC72" s="73"/>
      <c r="BD72" s="73" t="e">
        <f>AS72/'[1]功能-推荐任务'!J123</f>
        <v>#DIV/0!</v>
      </c>
      <c r="BE72" s="35"/>
    </row>
    <row r="73" spans="1:58" s="25" customFormat="1" x14ac:dyDescent="0.15">
      <c r="A73" s="40"/>
      <c r="B73" s="79" t="str">
        <f t="shared" ref="B73:B136" si="62">IF(F73&lt;&gt;F72,COUNTIFS($F$8:$F$999,$F73,$H$8:$H$999,"&lt;&gt;")+COUNTIFS($F$8:$F$999,$F73,$I$8:$I$999,"&lt;&gt;")+COUNTIFS($F$8:$F$999,$F73,$J$8:$J$999,"&lt;&gt;"),"")</f>
        <v/>
      </c>
      <c r="C73" s="85"/>
      <c r="D73" s="75">
        <f>INDEX(节奏总纲!$AM$4:$AM$83,$F73)</f>
        <v>0.31141300609369982</v>
      </c>
      <c r="E73" s="75">
        <f>求节点(节奏总纲!$P$4:$P$163,节奏总纲!$O$4:$O$163,$D73)</f>
        <v>3.9083908523902386</v>
      </c>
      <c r="F73" s="40">
        <v>7</v>
      </c>
      <c r="G73" s="85"/>
      <c r="H73" s="63" t="s">
        <v>517</v>
      </c>
      <c r="I73" s="63"/>
      <c r="J73" s="63"/>
      <c r="K73" s="63"/>
      <c r="L73" s="40"/>
      <c r="M73" s="60">
        <f t="shared" si="4"/>
        <v>30</v>
      </c>
      <c r="N73" s="60">
        <f t="shared" si="5"/>
        <v>30</v>
      </c>
      <c r="O73" s="60">
        <f t="shared" si="6"/>
        <v>0</v>
      </c>
      <c r="P73" s="60">
        <f t="shared" si="7"/>
        <v>0</v>
      </c>
      <c r="Q73" s="60">
        <f t="shared" si="8"/>
        <v>7</v>
      </c>
      <c r="R73" s="60">
        <f t="shared" si="9"/>
        <v>7</v>
      </c>
      <c r="S73" s="60">
        <f t="shared" si="10"/>
        <v>20000</v>
      </c>
      <c r="T73" s="60">
        <f t="shared" si="11"/>
        <v>20000</v>
      </c>
      <c r="U73" s="60">
        <f t="shared" si="12"/>
        <v>0</v>
      </c>
      <c r="V73" s="60">
        <f t="shared" si="13"/>
        <v>0</v>
      </c>
      <c r="W73" s="60">
        <f t="shared" si="14"/>
        <v>0</v>
      </c>
      <c r="X73" s="60">
        <f t="shared" si="15"/>
        <v>0</v>
      </c>
      <c r="Y73" s="60">
        <f t="shared" si="16"/>
        <v>0</v>
      </c>
      <c r="Z73" s="60">
        <f t="shared" si="17"/>
        <v>0</v>
      </c>
      <c r="AA73" s="42"/>
      <c r="AB73" s="42"/>
      <c r="AC73" s="60">
        <f t="shared" si="18"/>
        <v>0</v>
      </c>
      <c r="AD73" s="60">
        <f t="shared" si="19"/>
        <v>0</v>
      </c>
      <c r="AE73" s="42"/>
      <c r="AF73" s="42"/>
      <c r="AG73" s="60">
        <f t="shared" si="2"/>
        <v>5</v>
      </c>
      <c r="AH73" s="60">
        <f t="shared" si="20"/>
        <v>5</v>
      </c>
      <c r="AI73" s="38"/>
      <c r="AJ73" s="22"/>
      <c r="AK73" s="19"/>
      <c r="AL73" s="72">
        <v>66</v>
      </c>
      <c r="AM73" s="77">
        <f t="shared" ref="AM73:AM87" si="63">SUMIFS($N$8:$N$999,$F$8:$F$999,"&lt;="&amp;$AL73)</f>
        <v>18310</v>
      </c>
      <c r="AN73" s="77">
        <f t="shared" ref="AN73:AN87" si="64">SUMIFS($P$8:$P$999,$F$8:$F$999,"&lt;="&amp;$AL73)</f>
        <v>0</v>
      </c>
      <c r="AO73" s="77">
        <f t="shared" ref="AO73:AO87" si="65">SUMIFS($R$8:$R$999,$F$8:$F$999,"&lt;="&amp;$AL73)</f>
        <v>5404</v>
      </c>
      <c r="AP73" s="77">
        <f t="shared" ref="AP73:AP87" si="66">SUMIFS($T$8:$T$999,$F$8:$F$999,"&lt;="&amp;$AL73)+SUMIFS($V$8:$V$999,$F$8:$F$999,"&lt;="&amp;$AL73)</f>
        <v>82760000</v>
      </c>
      <c r="AQ73" s="77">
        <f t="shared" ref="AQ73:AQ87" si="67">SUMIFS($X$8:$X$999,$F$8:$F$999,"&lt;="&amp;$AL73)+SUMIFS($Z$8:$Z$999,$F$8:$F$999,"&lt;="&amp;$AL73)</f>
        <v>17130000</v>
      </c>
      <c r="AR73" s="72"/>
      <c r="AS73" s="77">
        <f t="shared" ref="AS73:AS87" si="68">SUMIFS($AD$8:$AD$999,$F$8:$F$999,"&lt;="&amp;$AL73)</f>
        <v>0</v>
      </c>
      <c r="AT73" s="77">
        <f t="shared" ref="AT73:AT87" si="69">SUMIFS($AF$8:$AF$999,$F$8:$F$999,"&lt;="&amp;$AL73)</f>
        <v>0</v>
      </c>
      <c r="AU73" s="77">
        <f t="shared" ref="AU73:AU87" si="70">SUMIFS($AH$8:$AH$999,$F$8:$F$999,"&lt;="&amp;$AL73)</f>
        <v>2150</v>
      </c>
      <c r="AV73" s="72"/>
      <c r="AW73" s="73"/>
      <c r="AX73" s="73">
        <f>AM73/'[1]功能-推荐任务'!D124</f>
        <v>1.7690821256038647</v>
      </c>
      <c r="AY73" s="73" t="e">
        <f>AN73/'[1]功能-推荐任务'!E124</f>
        <v>#DIV/0!</v>
      </c>
      <c r="AZ73" s="73">
        <f>AO73/'[1]功能-推荐任务'!F124</f>
        <v>1.896140350877193</v>
      </c>
      <c r="BA73" s="73">
        <f>AP73/'[1]功能-推荐任务'!G124</f>
        <v>3.0708719851576993</v>
      </c>
      <c r="BB73" s="73">
        <f>AQ73/'[1]功能-推荐任务'!H124</f>
        <v>4.0424778761061946</v>
      </c>
      <c r="BC73" s="73"/>
      <c r="BD73" s="73" t="e">
        <f>AS73/'[1]功能-推荐任务'!J124</f>
        <v>#DIV/0!</v>
      </c>
      <c r="BE73" s="35"/>
    </row>
    <row r="74" spans="1:58" s="25" customFormat="1" x14ac:dyDescent="0.15">
      <c r="A74" s="40"/>
      <c r="B74" s="79" t="str">
        <f t="shared" si="62"/>
        <v/>
      </c>
      <c r="C74" s="85"/>
      <c r="D74" s="75">
        <f>INDEX(节奏总纲!$AM$4:$AM$83,$F74)</f>
        <v>0.31141300609369982</v>
      </c>
      <c r="E74" s="75">
        <f>求节点(节奏总纲!$P$4:$P$163,节奏总纲!$O$4:$O$163,$D74)</f>
        <v>3.9083908523902386</v>
      </c>
      <c r="F74" s="40">
        <v>7</v>
      </c>
      <c r="G74" s="85"/>
      <c r="H74" s="63" t="s">
        <v>513</v>
      </c>
      <c r="I74" s="63"/>
      <c r="J74" s="63"/>
      <c r="K74" s="63"/>
      <c r="L74" s="40"/>
      <c r="M74" s="60">
        <f t="shared" si="4"/>
        <v>30</v>
      </c>
      <c r="N74" s="60">
        <f t="shared" si="5"/>
        <v>30</v>
      </c>
      <c r="O74" s="60">
        <f t="shared" si="6"/>
        <v>0</v>
      </c>
      <c r="P74" s="60">
        <f t="shared" si="7"/>
        <v>0</v>
      </c>
      <c r="Q74" s="60">
        <f t="shared" si="8"/>
        <v>7</v>
      </c>
      <c r="R74" s="60">
        <f t="shared" si="9"/>
        <v>7</v>
      </c>
      <c r="S74" s="60">
        <f t="shared" si="10"/>
        <v>20000</v>
      </c>
      <c r="T74" s="60">
        <f t="shared" si="11"/>
        <v>20000</v>
      </c>
      <c r="U74" s="60">
        <f t="shared" si="12"/>
        <v>0</v>
      </c>
      <c r="V74" s="60">
        <f t="shared" si="13"/>
        <v>0</v>
      </c>
      <c r="W74" s="60">
        <f t="shared" si="14"/>
        <v>0</v>
      </c>
      <c r="X74" s="60">
        <f t="shared" si="15"/>
        <v>0</v>
      </c>
      <c r="Y74" s="60">
        <f t="shared" si="16"/>
        <v>0</v>
      </c>
      <c r="Z74" s="60">
        <f t="shared" si="17"/>
        <v>0</v>
      </c>
      <c r="AA74" s="42"/>
      <c r="AB74" s="42"/>
      <c r="AC74" s="60">
        <f t="shared" si="18"/>
        <v>0</v>
      </c>
      <c r="AD74" s="60">
        <f t="shared" si="19"/>
        <v>0</v>
      </c>
      <c r="AE74" s="42"/>
      <c r="AF74" s="42"/>
      <c r="AG74" s="60">
        <f t="shared" si="2"/>
        <v>5</v>
      </c>
      <c r="AH74" s="60">
        <f t="shared" si="20"/>
        <v>5</v>
      </c>
      <c r="AI74" s="38"/>
      <c r="AJ74" s="22"/>
      <c r="AK74" s="19"/>
      <c r="AL74" s="72">
        <v>67</v>
      </c>
      <c r="AM74" s="77">
        <f t="shared" si="63"/>
        <v>18310</v>
      </c>
      <c r="AN74" s="77">
        <f t="shared" si="64"/>
        <v>0</v>
      </c>
      <c r="AO74" s="77">
        <f t="shared" si="65"/>
        <v>5404</v>
      </c>
      <c r="AP74" s="77">
        <f t="shared" si="66"/>
        <v>82760000</v>
      </c>
      <c r="AQ74" s="77">
        <f t="shared" si="67"/>
        <v>17130000</v>
      </c>
      <c r="AR74" s="72"/>
      <c r="AS74" s="77">
        <f t="shared" si="68"/>
        <v>0</v>
      </c>
      <c r="AT74" s="77">
        <f t="shared" si="69"/>
        <v>0</v>
      </c>
      <c r="AU74" s="77">
        <f t="shared" si="70"/>
        <v>2150</v>
      </c>
      <c r="AV74" s="72"/>
      <c r="AW74" s="73"/>
      <c r="AX74" s="73">
        <f>AM74/'[1]功能-推荐任务'!D125</f>
        <v>1.7192488262910799</v>
      </c>
      <c r="AY74" s="73" t="e">
        <f>AN74/'[1]功能-推荐任务'!E125</f>
        <v>#DIV/0!</v>
      </c>
      <c r="AZ74" s="73">
        <f>AO74/'[1]功能-推荐任务'!F125</f>
        <v>1.831864406779661</v>
      </c>
      <c r="BA74" s="73">
        <f>AP74/'[1]功能-推荐任务'!G125</f>
        <v>2.8537931034482757</v>
      </c>
      <c r="BB74" s="73">
        <f>AQ74/'[1]功能-推荐任务'!H125</f>
        <v>3.6063157894736841</v>
      </c>
      <c r="BC74" s="73"/>
      <c r="BD74" s="73" t="e">
        <f>AS74/'[1]功能-推荐任务'!J125</f>
        <v>#DIV/0!</v>
      </c>
      <c r="BE74" s="35"/>
      <c r="BF74" s="19"/>
    </row>
    <row r="75" spans="1:58" x14ac:dyDescent="0.15">
      <c r="B75" s="79" t="str">
        <f t="shared" si="62"/>
        <v/>
      </c>
      <c r="C75" s="85"/>
      <c r="D75" s="75">
        <f>INDEX(节奏总纲!$AM$4:$AM$83,$F75)</f>
        <v>0.31141300609369982</v>
      </c>
      <c r="E75" s="75">
        <f>求节点(节奏总纲!$P$4:$P$163,节奏总纲!$O$4:$O$163,$D75)</f>
        <v>3.9083908523902386</v>
      </c>
      <c r="F75" s="40">
        <v>7</v>
      </c>
      <c r="G75" s="85"/>
      <c r="H75" s="63" t="s">
        <v>514</v>
      </c>
      <c r="I75" s="63"/>
      <c r="J75" s="63"/>
      <c r="K75" s="63"/>
      <c r="M75" s="60">
        <f t="shared" si="4"/>
        <v>30</v>
      </c>
      <c r="N75" s="60">
        <f t="shared" si="5"/>
        <v>30</v>
      </c>
      <c r="O75" s="60">
        <f t="shared" si="6"/>
        <v>0</v>
      </c>
      <c r="P75" s="60">
        <f t="shared" si="7"/>
        <v>0</v>
      </c>
      <c r="Q75" s="60">
        <f t="shared" si="8"/>
        <v>7</v>
      </c>
      <c r="R75" s="60">
        <f t="shared" si="9"/>
        <v>7</v>
      </c>
      <c r="S75" s="60">
        <f t="shared" si="10"/>
        <v>20000</v>
      </c>
      <c r="T75" s="60">
        <f t="shared" si="11"/>
        <v>20000</v>
      </c>
      <c r="U75" s="60">
        <f t="shared" si="12"/>
        <v>0</v>
      </c>
      <c r="V75" s="60">
        <f t="shared" si="13"/>
        <v>0</v>
      </c>
      <c r="W75" s="60">
        <f t="shared" si="14"/>
        <v>0</v>
      </c>
      <c r="X75" s="60">
        <f t="shared" si="15"/>
        <v>0</v>
      </c>
      <c r="Y75" s="60">
        <f t="shared" si="16"/>
        <v>0</v>
      </c>
      <c r="Z75" s="60">
        <f t="shared" si="17"/>
        <v>0</v>
      </c>
      <c r="AA75" s="42"/>
      <c r="AB75" s="42"/>
      <c r="AC75" s="60">
        <f t="shared" si="18"/>
        <v>0</v>
      </c>
      <c r="AD75" s="60">
        <f t="shared" si="19"/>
        <v>0</v>
      </c>
      <c r="AE75" s="42"/>
      <c r="AF75" s="42"/>
      <c r="AG75" s="60">
        <f t="shared" si="2"/>
        <v>5</v>
      </c>
      <c r="AH75" s="60">
        <f t="shared" si="20"/>
        <v>5</v>
      </c>
      <c r="AL75" s="72">
        <v>68</v>
      </c>
      <c r="AM75" s="77">
        <f t="shared" si="63"/>
        <v>18310</v>
      </c>
      <c r="AN75" s="77">
        <f t="shared" si="64"/>
        <v>0</v>
      </c>
      <c r="AO75" s="77">
        <f t="shared" si="65"/>
        <v>5404</v>
      </c>
      <c r="AP75" s="77">
        <f t="shared" si="66"/>
        <v>82760000</v>
      </c>
      <c r="AQ75" s="77">
        <f t="shared" si="67"/>
        <v>17130000</v>
      </c>
      <c r="AR75" s="72"/>
      <c r="AS75" s="77">
        <f t="shared" si="68"/>
        <v>0</v>
      </c>
      <c r="AT75" s="77">
        <f t="shared" si="69"/>
        <v>0</v>
      </c>
      <c r="AU75" s="77">
        <f t="shared" si="70"/>
        <v>2150</v>
      </c>
      <c r="AV75" s="72"/>
      <c r="AW75" s="73"/>
      <c r="AX75" s="73">
        <f>AM75/'[1]功能-推荐任务'!D126</f>
        <v>1.6721461187214612</v>
      </c>
      <c r="AY75" s="73" t="e">
        <f>AN75/'[1]功能-推荐任务'!E126</f>
        <v>#DIV/0!</v>
      </c>
      <c r="AZ75" s="73">
        <f>AO75/'[1]功能-推荐任务'!F126</f>
        <v>1.7718032786885245</v>
      </c>
      <c r="BA75" s="73">
        <f>AP75/'[1]功能-推荐任务'!G126</f>
        <v>2.6653784219001611</v>
      </c>
      <c r="BB75" s="73">
        <f>AQ75/'[1]功能-推荐任务'!H126</f>
        <v>3.2551068883610452</v>
      </c>
      <c r="BC75" s="73"/>
      <c r="BD75" s="73" t="e">
        <f>AS75/'[1]功能-推荐任务'!J126</f>
        <v>#DIV/0!</v>
      </c>
    </row>
    <row r="76" spans="1:58" x14ac:dyDescent="0.15">
      <c r="B76" s="79" t="str">
        <f t="shared" si="62"/>
        <v/>
      </c>
      <c r="C76" s="85"/>
      <c r="D76" s="75">
        <f>INDEX(节奏总纲!$AM$4:$AM$83,$F76)</f>
        <v>0.31141300609369982</v>
      </c>
      <c r="E76" s="75">
        <f>求节点(节奏总纲!$P$4:$P$163,节奏总纲!$O$4:$O$163,$D76)</f>
        <v>3.9083908523902386</v>
      </c>
      <c r="F76" s="40">
        <v>7</v>
      </c>
      <c r="G76" s="85"/>
      <c r="H76" s="63" t="s">
        <v>515</v>
      </c>
      <c r="I76" s="63"/>
      <c r="J76" s="63"/>
      <c r="K76" s="63"/>
      <c r="M76" s="60">
        <f t="shared" si="4"/>
        <v>30</v>
      </c>
      <c r="N76" s="60">
        <f t="shared" si="5"/>
        <v>30</v>
      </c>
      <c r="O76" s="60">
        <f t="shared" si="6"/>
        <v>0</v>
      </c>
      <c r="P76" s="60">
        <f t="shared" si="7"/>
        <v>0</v>
      </c>
      <c r="Q76" s="60">
        <f t="shared" si="8"/>
        <v>7</v>
      </c>
      <c r="R76" s="60">
        <f t="shared" si="9"/>
        <v>7</v>
      </c>
      <c r="S76" s="60">
        <f t="shared" si="10"/>
        <v>20000</v>
      </c>
      <c r="T76" s="60">
        <f t="shared" si="11"/>
        <v>20000</v>
      </c>
      <c r="U76" s="60">
        <f t="shared" si="12"/>
        <v>0</v>
      </c>
      <c r="V76" s="60">
        <f t="shared" si="13"/>
        <v>0</v>
      </c>
      <c r="W76" s="60">
        <f t="shared" si="14"/>
        <v>0</v>
      </c>
      <c r="X76" s="60">
        <f t="shared" si="15"/>
        <v>0</v>
      </c>
      <c r="Y76" s="60">
        <f t="shared" si="16"/>
        <v>0</v>
      </c>
      <c r="Z76" s="60">
        <f t="shared" si="17"/>
        <v>0</v>
      </c>
      <c r="AA76" s="42"/>
      <c r="AB76" s="42"/>
      <c r="AC76" s="60">
        <f t="shared" si="18"/>
        <v>0</v>
      </c>
      <c r="AD76" s="60">
        <f t="shared" si="19"/>
        <v>0</v>
      </c>
      <c r="AE76" s="42"/>
      <c r="AF76" s="42"/>
      <c r="AG76" s="60">
        <f t="shared" si="2"/>
        <v>5</v>
      </c>
      <c r="AH76" s="60">
        <f t="shared" si="20"/>
        <v>5</v>
      </c>
      <c r="AL76" s="72">
        <v>69</v>
      </c>
      <c r="AM76" s="77">
        <f t="shared" si="63"/>
        <v>18310</v>
      </c>
      <c r="AN76" s="77">
        <f t="shared" si="64"/>
        <v>0</v>
      </c>
      <c r="AO76" s="77">
        <f t="shared" si="65"/>
        <v>5404</v>
      </c>
      <c r="AP76" s="77">
        <f t="shared" si="66"/>
        <v>82760000</v>
      </c>
      <c r="AQ76" s="77">
        <f t="shared" si="67"/>
        <v>17130000</v>
      </c>
      <c r="AR76" s="72"/>
      <c r="AS76" s="77">
        <f t="shared" si="68"/>
        <v>0</v>
      </c>
      <c r="AT76" s="77">
        <f t="shared" si="69"/>
        <v>0</v>
      </c>
      <c r="AU76" s="77">
        <f t="shared" si="70"/>
        <v>2150</v>
      </c>
      <c r="AV76" s="72"/>
      <c r="AW76" s="73"/>
      <c r="AX76" s="73">
        <f>AM76/'[1]功能-推荐任务'!D127</f>
        <v>1.6275555555555556</v>
      </c>
      <c r="AY76" s="73" t="e">
        <f>AN76/'[1]功能-推荐任务'!E127</f>
        <v>#DIV/0!</v>
      </c>
      <c r="AZ76" s="73">
        <f>AO76/'[1]功能-推荐任务'!F127</f>
        <v>1.7155555555555555</v>
      </c>
      <c r="BA76" s="73">
        <f>AP76/'[1]功能-推荐任务'!G127</f>
        <v>2.5003021148036253</v>
      </c>
      <c r="BB76" s="73">
        <f>AQ76/'[1]功能-推荐任务'!H127</f>
        <v>2.9662337662337661</v>
      </c>
      <c r="BC76" s="73"/>
      <c r="BD76" s="73" t="e">
        <f>AS76/'[1]功能-推荐任务'!J127</f>
        <v>#DIV/0!</v>
      </c>
      <c r="BF76" s="25"/>
    </row>
    <row r="77" spans="1:58" s="25" customFormat="1" x14ac:dyDescent="0.15">
      <c r="A77" s="40"/>
      <c r="B77" s="79" t="str">
        <f t="shared" si="62"/>
        <v/>
      </c>
      <c r="C77" s="85"/>
      <c r="D77" s="75">
        <f>INDEX(节奏总纲!$AM$4:$AM$83,$F77)</f>
        <v>0.31141300609369982</v>
      </c>
      <c r="E77" s="75">
        <f>求节点(节奏总纲!$P$4:$P$163,节奏总纲!$O$4:$O$163,$D77)</f>
        <v>3.9083908523902386</v>
      </c>
      <c r="F77" s="40">
        <v>7</v>
      </c>
      <c r="G77" s="85"/>
      <c r="H77" s="63" t="s">
        <v>516</v>
      </c>
      <c r="I77" s="63"/>
      <c r="J77" s="63"/>
      <c r="K77" s="63"/>
      <c r="L77" s="40"/>
      <c r="M77" s="60">
        <f t="shared" ref="M77:M140" si="71">ROUNDUP((M$2*$F77^M$1+M$3)/M$4,0)*M$4</f>
        <v>30</v>
      </c>
      <c r="N77" s="60">
        <f t="shared" ref="N77:N140" si="72">M77*COUNTA($H77:$K77)</f>
        <v>30</v>
      </c>
      <c r="O77" s="60">
        <f t="shared" ref="O77:O140" si="73">ROUNDUP((O$2*$F77^O$1+O$3)/O$4,0)*O$4</f>
        <v>0</v>
      </c>
      <c r="P77" s="60">
        <f t="shared" ref="P77:P140" si="74">O77*COUNTA($H77:$K77)</f>
        <v>0</v>
      </c>
      <c r="Q77" s="60">
        <f t="shared" ref="Q77:Q140" si="75">ROUNDUP((Q$2*$F77^Q$1+Q$3)/Q$4,0)*Q$4</f>
        <v>7</v>
      </c>
      <c r="R77" s="60">
        <f t="shared" ref="R77:R140" si="76">Q77*COUNTA($H77:$K77)</f>
        <v>7</v>
      </c>
      <c r="S77" s="60">
        <f t="shared" ref="S77:S140" si="77">ROUNDUP((S$2*$F77^S$1+S$3)/S$4,0)*S$4</f>
        <v>20000</v>
      </c>
      <c r="T77" s="60">
        <f t="shared" ref="T77:T140" si="78">S77*COUNTA($H77:$K77)</f>
        <v>20000</v>
      </c>
      <c r="U77" s="60">
        <f t="shared" ref="U77:U140" si="79">ROUNDUP((U$2*$F77^U$1+U$3)/U$4,0)*U$4</f>
        <v>0</v>
      </c>
      <c r="V77" s="60">
        <f t="shared" ref="V77:V140" si="80">U77*COUNTA($H77:$K77)</f>
        <v>0</v>
      </c>
      <c r="W77" s="60">
        <f t="shared" ref="W77:W140" si="81">IF(F77&lt;28,0,ROUNDUP((W$2*$F77^W$1+W$3)/W$4,0)*W$4)</f>
        <v>0</v>
      </c>
      <c r="X77" s="60">
        <f t="shared" ref="X77:X140" si="82">W77*COUNTA($H77:$K77)</f>
        <v>0</v>
      </c>
      <c r="Y77" s="60">
        <f t="shared" ref="Y77:Y140" si="83">IF(F77&lt;28,0,ROUNDUP((Y$2*$F77^Y$1+Y$3)/Y$4,0)*Y$4)</f>
        <v>0</v>
      </c>
      <c r="Z77" s="60">
        <f t="shared" ref="Z77:Z140" si="84">Y77*COUNTA($H77:$K77)</f>
        <v>0</v>
      </c>
      <c r="AA77" s="42"/>
      <c r="AB77" s="42"/>
      <c r="AC77" s="60">
        <f t="shared" ref="AC77:AC140" si="85">ROUNDUP((AC$2*$F77^AC$1+AC$3)/AC$4,0)*AC$4</f>
        <v>0</v>
      </c>
      <c r="AD77" s="60">
        <f t="shared" ref="AD77:AD140" si="86">AC77*COUNTA($H77:$K77)</f>
        <v>0</v>
      </c>
      <c r="AE77" s="42"/>
      <c r="AF77" s="42"/>
      <c r="AG77" s="60">
        <f t="shared" si="2"/>
        <v>5</v>
      </c>
      <c r="AH77" s="60">
        <f t="shared" ref="AH77:AH140" si="87">AG77*COUNTA($H77:$K77)</f>
        <v>5</v>
      </c>
      <c r="AI77" s="38"/>
      <c r="AJ77" s="22"/>
      <c r="AL77" s="72">
        <v>70</v>
      </c>
      <c r="AM77" s="77">
        <f t="shared" si="63"/>
        <v>18310</v>
      </c>
      <c r="AN77" s="77">
        <f t="shared" si="64"/>
        <v>0</v>
      </c>
      <c r="AO77" s="77">
        <f t="shared" si="65"/>
        <v>5404</v>
      </c>
      <c r="AP77" s="77">
        <f t="shared" si="66"/>
        <v>82760000</v>
      </c>
      <c r="AQ77" s="77">
        <f t="shared" si="67"/>
        <v>17130000</v>
      </c>
      <c r="AR77" s="72"/>
      <c r="AS77" s="77">
        <f t="shared" si="68"/>
        <v>0</v>
      </c>
      <c r="AT77" s="77">
        <f t="shared" si="69"/>
        <v>0</v>
      </c>
      <c r="AU77" s="77">
        <f t="shared" si="70"/>
        <v>2150</v>
      </c>
      <c r="AV77" s="72"/>
      <c r="AW77" s="73"/>
      <c r="AX77" s="73">
        <f>AM77/'[1]功能-推荐任务'!D128</f>
        <v>1.5852813852813852</v>
      </c>
      <c r="AY77" s="73" t="e">
        <f>AN77/'[1]功能-推荐任务'!E128</f>
        <v>#DIV/0!</v>
      </c>
      <c r="AZ77" s="73">
        <f>AO77/'[1]功能-推荐任务'!F128</f>
        <v>1.6627692307692308</v>
      </c>
      <c r="BA77" s="73">
        <f>AP77/'[1]功能-推荐任务'!G128</f>
        <v>2.3544807965860599</v>
      </c>
      <c r="BB77" s="73">
        <f>AQ77/'[1]功能-推荐任务'!H128</f>
        <v>2.7244532803180914</v>
      </c>
      <c r="BC77" s="73"/>
      <c r="BD77" s="73" t="e">
        <f>AS77/'[1]功能-推荐任务'!J128</f>
        <v>#DIV/0!</v>
      </c>
      <c r="BE77" s="35"/>
    </row>
    <row r="78" spans="1:58" s="25" customFormat="1" x14ac:dyDescent="0.15">
      <c r="A78" s="40"/>
      <c r="B78" s="79">
        <f t="shared" si="62"/>
        <v>13</v>
      </c>
      <c r="C78" s="85"/>
      <c r="D78" s="75">
        <f>INDEX(节奏总纲!$AM$4:$AM$83,$F78)</f>
        <v>0.42660095793436714</v>
      </c>
      <c r="E78" s="75">
        <f>求节点(节奏总纲!$P$4:$P$163,节奏总纲!$O$4:$O$163,$D78)</f>
        <v>5.1220396939633002</v>
      </c>
      <c r="F78" s="40">
        <v>8</v>
      </c>
      <c r="G78" s="85">
        <v>3</v>
      </c>
      <c r="H78" s="63" t="s">
        <v>393</v>
      </c>
      <c r="I78" s="63" t="s">
        <v>636</v>
      </c>
      <c r="J78" s="63"/>
      <c r="K78" s="63"/>
      <c r="L78" s="40"/>
      <c r="M78" s="60">
        <f t="shared" si="71"/>
        <v>30</v>
      </c>
      <c r="N78" s="60">
        <f t="shared" si="72"/>
        <v>60</v>
      </c>
      <c r="O78" s="60">
        <f t="shared" si="73"/>
        <v>0</v>
      </c>
      <c r="P78" s="60">
        <f t="shared" si="74"/>
        <v>0</v>
      </c>
      <c r="Q78" s="60">
        <f t="shared" si="75"/>
        <v>8</v>
      </c>
      <c r="R78" s="60">
        <f t="shared" si="76"/>
        <v>16</v>
      </c>
      <c r="S78" s="60">
        <f t="shared" si="77"/>
        <v>30000</v>
      </c>
      <c r="T78" s="60">
        <f t="shared" si="78"/>
        <v>60000</v>
      </c>
      <c r="U78" s="60">
        <f t="shared" si="79"/>
        <v>0</v>
      </c>
      <c r="V78" s="60">
        <f t="shared" si="80"/>
        <v>0</v>
      </c>
      <c r="W78" s="60">
        <f t="shared" si="81"/>
        <v>0</v>
      </c>
      <c r="X78" s="60">
        <f t="shared" si="82"/>
        <v>0</v>
      </c>
      <c r="Y78" s="60">
        <f t="shared" si="83"/>
        <v>0</v>
      </c>
      <c r="Z78" s="60">
        <f t="shared" si="84"/>
        <v>0</v>
      </c>
      <c r="AA78" s="42"/>
      <c r="AB78" s="42"/>
      <c r="AC78" s="60">
        <f t="shared" si="85"/>
        <v>0</v>
      </c>
      <c r="AD78" s="60">
        <f t="shared" si="86"/>
        <v>0</v>
      </c>
      <c r="AE78" s="42"/>
      <c r="AF78" s="42"/>
      <c r="AG78" s="60">
        <f t="shared" si="2"/>
        <v>5</v>
      </c>
      <c r="AH78" s="60">
        <f t="shared" si="87"/>
        <v>10</v>
      </c>
      <c r="AI78" s="38"/>
      <c r="AJ78" s="22"/>
      <c r="AL78" s="72">
        <v>71</v>
      </c>
      <c r="AM78" s="77">
        <f t="shared" si="63"/>
        <v>18310</v>
      </c>
      <c r="AN78" s="77">
        <f t="shared" si="64"/>
        <v>0</v>
      </c>
      <c r="AO78" s="77">
        <f t="shared" si="65"/>
        <v>5404</v>
      </c>
      <c r="AP78" s="77">
        <f t="shared" si="66"/>
        <v>82760000</v>
      </c>
      <c r="AQ78" s="77">
        <f t="shared" si="67"/>
        <v>17130000</v>
      </c>
      <c r="AR78" s="72"/>
      <c r="AS78" s="77">
        <f t="shared" si="68"/>
        <v>0</v>
      </c>
      <c r="AT78" s="77">
        <f t="shared" si="69"/>
        <v>0</v>
      </c>
      <c r="AU78" s="77">
        <f t="shared" si="70"/>
        <v>2150</v>
      </c>
      <c r="AV78" s="72"/>
      <c r="AW78" s="73"/>
      <c r="AX78" s="73">
        <f>AM78/'[1]功能-推荐任务'!D129</f>
        <v>1.5451476793248946</v>
      </c>
      <c r="AY78" s="73" t="e">
        <f>AN78/'[1]功能-推荐任务'!E129</f>
        <v>#DIV/0!</v>
      </c>
      <c r="AZ78" s="73">
        <f>AO78/'[1]功能-推荐任务'!F129</f>
        <v>1.6131343283582089</v>
      </c>
      <c r="BA78" s="73">
        <f>AP78/'[1]功能-推荐任务'!G129</f>
        <v>2.2247311827956988</v>
      </c>
      <c r="BB78" s="73">
        <f>AQ78/'[1]功能-推荐任务'!H129</f>
        <v>2.5191176470588235</v>
      </c>
      <c r="BC78" s="73"/>
      <c r="BD78" s="73" t="e">
        <f>AS78/'[1]功能-推荐任务'!J129</f>
        <v>#DIV/0!</v>
      </c>
      <c r="BE78" s="35"/>
    </row>
    <row r="79" spans="1:58" s="25" customFormat="1" x14ac:dyDescent="0.15">
      <c r="A79" s="40"/>
      <c r="B79" s="79" t="str">
        <f t="shared" si="62"/>
        <v/>
      </c>
      <c r="C79" s="85"/>
      <c r="D79" s="75">
        <f>INDEX(节奏总纲!$AM$4:$AM$83,$F79)</f>
        <v>0.42660095793436714</v>
      </c>
      <c r="E79" s="75">
        <f>求节点(节奏总纲!$P$4:$P$163,节奏总纲!$O$4:$O$163,$D79)</f>
        <v>5.1220396939633002</v>
      </c>
      <c r="F79" s="40">
        <v>8</v>
      </c>
      <c r="G79" s="85"/>
      <c r="H79" s="63" t="s">
        <v>394</v>
      </c>
      <c r="I79" s="63" t="s">
        <v>637</v>
      </c>
      <c r="J79" s="63"/>
      <c r="K79" s="63"/>
      <c r="L79" s="40"/>
      <c r="M79" s="60">
        <f t="shared" si="71"/>
        <v>30</v>
      </c>
      <c r="N79" s="60">
        <f t="shared" si="72"/>
        <v>60</v>
      </c>
      <c r="O79" s="60">
        <f t="shared" si="73"/>
        <v>0</v>
      </c>
      <c r="P79" s="60">
        <f t="shared" si="74"/>
        <v>0</v>
      </c>
      <c r="Q79" s="60">
        <f t="shared" si="75"/>
        <v>8</v>
      </c>
      <c r="R79" s="60">
        <f t="shared" si="76"/>
        <v>16</v>
      </c>
      <c r="S79" s="60">
        <f t="shared" si="77"/>
        <v>30000</v>
      </c>
      <c r="T79" s="60">
        <f t="shared" si="78"/>
        <v>60000</v>
      </c>
      <c r="U79" s="60">
        <f t="shared" si="79"/>
        <v>0</v>
      </c>
      <c r="V79" s="60">
        <f t="shared" si="80"/>
        <v>0</v>
      </c>
      <c r="W79" s="60">
        <f t="shared" si="81"/>
        <v>0</v>
      </c>
      <c r="X79" s="60">
        <f t="shared" si="82"/>
        <v>0</v>
      </c>
      <c r="Y79" s="60">
        <f t="shared" si="83"/>
        <v>0</v>
      </c>
      <c r="Z79" s="60">
        <f t="shared" si="84"/>
        <v>0</v>
      </c>
      <c r="AA79" s="42"/>
      <c r="AB79" s="42"/>
      <c r="AC79" s="60">
        <f t="shared" si="85"/>
        <v>0</v>
      </c>
      <c r="AD79" s="60">
        <f t="shared" si="86"/>
        <v>0</v>
      </c>
      <c r="AE79" s="42"/>
      <c r="AF79" s="42"/>
      <c r="AG79" s="60">
        <f t="shared" si="2"/>
        <v>5</v>
      </c>
      <c r="AH79" s="60">
        <f t="shared" si="87"/>
        <v>10</v>
      </c>
      <c r="AI79" s="38"/>
      <c r="AJ79" s="22"/>
      <c r="AL79" s="72">
        <v>72</v>
      </c>
      <c r="AM79" s="77">
        <f t="shared" si="63"/>
        <v>18310</v>
      </c>
      <c r="AN79" s="77">
        <f t="shared" si="64"/>
        <v>0</v>
      </c>
      <c r="AO79" s="77">
        <f t="shared" si="65"/>
        <v>5404</v>
      </c>
      <c r="AP79" s="77">
        <f t="shared" si="66"/>
        <v>82760000</v>
      </c>
      <c r="AQ79" s="77">
        <f t="shared" si="67"/>
        <v>17130000</v>
      </c>
      <c r="AR79" s="72"/>
      <c r="AS79" s="77">
        <f t="shared" si="68"/>
        <v>0</v>
      </c>
      <c r="AT79" s="77">
        <f t="shared" si="69"/>
        <v>0</v>
      </c>
      <c r="AU79" s="77">
        <f t="shared" si="70"/>
        <v>2150</v>
      </c>
      <c r="AV79" s="72"/>
      <c r="AW79" s="73"/>
      <c r="AX79" s="73">
        <f>AM79/'[1]功能-推荐任务'!D130</f>
        <v>1.5069958847736626</v>
      </c>
      <c r="AY79" s="73" t="e">
        <f>AN79/'[1]功能-推荐任务'!E130</f>
        <v>#DIV/0!</v>
      </c>
      <c r="AZ79" s="73">
        <f>AO79/'[1]功能-推荐任务'!F130</f>
        <v>1.5663768115942029</v>
      </c>
      <c r="BA79" s="73">
        <f>AP79/'[1]功能-推荐任务'!G130</f>
        <v>2.1085350318471336</v>
      </c>
      <c r="BB79" s="73">
        <f>AQ79/'[1]功能-推荐任务'!H130</f>
        <v>2.3425641025641024</v>
      </c>
      <c r="BC79" s="73"/>
      <c r="BD79" s="73" t="e">
        <f>AS79/'[1]功能-推荐任务'!J130</f>
        <v>#DIV/0!</v>
      </c>
      <c r="BE79" s="35"/>
    </row>
    <row r="80" spans="1:58" s="25" customFormat="1" x14ac:dyDescent="0.15">
      <c r="A80" s="40"/>
      <c r="B80" s="79" t="str">
        <f t="shared" si="62"/>
        <v/>
      </c>
      <c r="C80" s="85"/>
      <c r="D80" s="75">
        <f>INDEX(节奏总纲!$AM$4:$AM$83,$F80)</f>
        <v>0.42660095793436714</v>
      </c>
      <c r="E80" s="75">
        <f>求节点(节奏总纲!$P$4:$P$163,节奏总纲!$O$4:$O$163,$D80)</f>
        <v>5.1220396939633002</v>
      </c>
      <c r="F80" s="40">
        <v>8</v>
      </c>
      <c r="G80" s="85"/>
      <c r="H80" s="63" t="s">
        <v>347</v>
      </c>
      <c r="I80" s="63" t="s">
        <v>638</v>
      </c>
      <c r="J80" s="63"/>
      <c r="K80" s="63"/>
      <c r="L80" s="40"/>
      <c r="M80" s="60">
        <f t="shared" si="71"/>
        <v>30</v>
      </c>
      <c r="N80" s="60">
        <f t="shared" si="72"/>
        <v>60</v>
      </c>
      <c r="O80" s="60">
        <f t="shared" si="73"/>
        <v>0</v>
      </c>
      <c r="P80" s="60">
        <f t="shared" si="74"/>
        <v>0</v>
      </c>
      <c r="Q80" s="60">
        <f t="shared" si="75"/>
        <v>8</v>
      </c>
      <c r="R80" s="60">
        <f t="shared" si="76"/>
        <v>16</v>
      </c>
      <c r="S80" s="60">
        <f t="shared" si="77"/>
        <v>30000</v>
      </c>
      <c r="T80" s="60">
        <f t="shared" si="78"/>
        <v>60000</v>
      </c>
      <c r="U80" s="60">
        <f t="shared" si="79"/>
        <v>0</v>
      </c>
      <c r="V80" s="60">
        <f t="shared" si="80"/>
        <v>0</v>
      </c>
      <c r="W80" s="60">
        <f t="shared" si="81"/>
        <v>0</v>
      </c>
      <c r="X80" s="60">
        <f t="shared" si="82"/>
        <v>0</v>
      </c>
      <c r="Y80" s="60">
        <f t="shared" si="83"/>
        <v>0</v>
      </c>
      <c r="Z80" s="60">
        <f t="shared" si="84"/>
        <v>0</v>
      </c>
      <c r="AA80" s="42"/>
      <c r="AB80" s="42"/>
      <c r="AC80" s="60">
        <f t="shared" si="85"/>
        <v>0</v>
      </c>
      <c r="AD80" s="60">
        <f t="shared" si="86"/>
        <v>0</v>
      </c>
      <c r="AE80" s="42"/>
      <c r="AF80" s="42"/>
      <c r="AG80" s="60">
        <f t="shared" si="2"/>
        <v>5</v>
      </c>
      <c r="AH80" s="60">
        <f t="shared" si="87"/>
        <v>10</v>
      </c>
      <c r="AI80" s="38"/>
      <c r="AJ80" s="22"/>
      <c r="AL80" s="72">
        <v>73</v>
      </c>
      <c r="AM80" s="77">
        <f t="shared" si="63"/>
        <v>18310</v>
      </c>
      <c r="AN80" s="77">
        <f t="shared" si="64"/>
        <v>0</v>
      </c>
      <c r="AO80" s="77">
        <f t="shared" si="65"/>
        <v>5404</v>
      </c>
      <c r="AP80" s="77">
        <f t="shared" si="66"/>
        <v>82760000</v>
      </c>
      <c r="AQ80" s="77">
        <f t="shared" si="67"/>
        <v>17130000</v>
      </c>
      <c r="AR80" s="72"/>
      <c r="AS80" s="77">
        <f t="shared" si="68"/>
        <v>0</v>
      </c>
      <c r="AT80" s="77">
        <f t="shared" si="69"/>
        <v>0</v>
      </c>
      <c r="AU80" s="77">
        <f t="shared" si="70"/>
        <v>2150</v>
      </c>
      <c r="AV80" s="72"/>
      <c r="AW80" s="73"/>
      <c r="AX80" s="73">
        <f>AM80/'[1]功能-推荐任务'!D131</f>
        <v>1.4706827309236947</v>
      </c>
      <c r="AY80" s="73" t="e">
        <f>AN80/'[1]功能-推荐任务'!E131</f>
        <v>#DIV/0!</v>
      </c>
      <c r="AZ80" s="73">
        <f>AO80/'[1]功能-推荐任务'!F131</f>
        <v>1.5222535211267605</v>
      </c>
      <c r="BA80" s="73">
        <f>AP80/'[1]功能-推荐任务'!G131</f>
        <v>2.0038740920096854</v>
      </c>
      <c r="BB80" s="73">
        <f>AQ80/'[1]功能-推荐任务'!H131</f>
        <v>2.1891373801916933</v>
      </c>
      <c r="BC80" s="73"/>
      <c r="BD80" s="73" t="e">
        <f>AS80/'[1]功能-推荐任务'!J131</f>
        <v>#DIV/0!</v>
      </c>
      <c r="BE80" s="35"/>
      <c r="BF80" s="19"/>
    </row>
    <row r="81" spans="2:56" x14ac:dyDescent="0.15">
      <c r="B81" s="79" t="str">
        <f t="shared" si="62"/>
        <v/>
      </c>
      <c r="C81" s="85"/>
      <c r="D81" s="75">
        <f>INDEX(节奏总纲!$AM$4:$AM$83,$F81)</f>
        <v>0.42660095793436714</v>
      </c>
      <c r="E81" s="75">
        <f>求节点(节奏总纲!$P$4:$P$163,节奏总纲!$O$4:$O$163,$D81)</f>
        <v>5.1220396939633002</v>
      </c>
      <c r="F81" s="40">
        <v>8</v>
      </c>
      <c r="G81" s="85"/>
      <c r="H81" s="65"/>
      <c r="I81" s="63"/>
      <c r="J81" s="63"/>
      <c r="K81" s="63"/>
      <c r="M81" s="60">
        <f t="shared" si="71"/>
        <v>30</v>
      </c>
      <c r="N81" s="60">
        <f t="shared" si="72"/>
        <v>0</v>
      </c>
      <c r="O81" s="60">
        <f t="shared" si="73"/>
        <v>0</v>
      </c>
      <c r="P81" s="60">
        <f t="shared" si="74"/>
        <v>0</v>
      </c>
      <c r="Q81" s="60">
        <f t="shared" si="75"/>
        <v>8</v>
      </c>
      <c r="R81" s="60">
        <f t="shared" si="76"/>
        <v>0</v>
      </c>
      <c r="S81" s="60">
        <f t="shared" si="77"/>
        <v>30000</v>
      </c>
      <c r="T81" s="60">
        <f t="shared" si="78"/>
        <v>0</v>
      </c>
      <c r="U81" s="60">
        <f t="shared" si="79"/>
        <v>0</v>
      </c>
      <c r="V81" s="60">
        <f t="shared" si="80"/>
        <v>0</v>
      </c>
      <c r="W81" s="60">
        <f t="shared" si="81"/>
        <v>0</v>
      </c>
      <c r="X81" s="60">
        <f t="shared" si="82"/>
        <v>0</v>
      </c>
      <c r="Y81" s="60">
        <f t="shared" si="83"/>
        <v>0</v>
      </c>
      <c r="Z81" s="60">
        <f t="shared" si="84"/>
        <v>0</v>
      </c>
      <c r="AA81" s="42"/>
      <c r="AB81" s="42"/>
      <c r="AC81" s="60">
        <f t="shared" si="85"/>
        <v>0</v>
      </c>
      <c r="AD81" s="60">
        <f t="shared" si="86"/>
        <v>0</v>
      </c>
      <c r="AE81" s="42"/>
      <c r="AF81" s="42"/>
      <c r="AG81" s="60">
        <f t="shared" si="2"/>
        <v>5</v>
      </c>
      <c r="AH81" s="60">
        <f t="shared" si="87"/>
        <v>0</v>
      </c>
      <c r="AL81" s="72">
        <v>74</v>
      </c>
      <c r="AM81" s="77">
        <f t="shared" si="63"/>
        <v>18310</v>
      </c>
      <c r="AN81" s="77">
        <f t="shared" si="64"/>
        <v>0</v>
      </c>
      <c r="AO81" s="77">
        <f t="shared" si="65"/>
        <v>5404</v>
      </c>
      <c r="AP81" s="77">
        <f t="shared" si="66"/>
        <v>82760000</v>
      </c>
      <c r="AQ81" s="77">
        <f t="shared" si="67"/>
        <v>17130000</v>
      </c>
      <c r="AR81" s="72"/>
      <c r="AS81" s="77">
        <f t="shared" si="68"/>
        <v>0</v>
      </c>
      <c r="AT81" s="77">
        <f t="shared" si="69"/>
        <v>0</v>
      </c>
      <c r="AU81" s="77">
        <f t="shared" si="70"/>
        <v>2150</v>
      </c>
      <c r="AV81" s="72"/>
      <c r="AW81" s="73"/>
      <c r="AX81" s="73">
        <f>AM81/'[1]功能-推荐任务'!D132</f>
        <v>1.436078431372549</v>
      </c>
      <c r="AY81" s="73" t="e">
        <f>AN81/'[1]功能-推荐任务'!E132</f>
        <v>#DIV/0!</v>
      </c>
      <c r="AZ81" s="73">
        <f>AO81/'[1]功能-推荐任务'!F132</f>
        <v>1.4805479452054795</v>
      </c>
      <c r="BA81" s="73">
        <f>AP81/'[1]功能-推荐任务'!G132</f>
        <v>1.9091118800461362</v>
      </c>
      <c r="BB81" s="73">
        <f>AQ81/'[1]功能-推荐任务'!H132</f>
        <v>2.0545727136431786</v>
      </c>
      <c r="BC81" s="73"/>
      <c r="BD81" s="73" t="e">
        <f>AS81/'[1]功能-推荐任务'!J132</f>
        <v>#DIV/0!</v>
      </c>
    </row>
    <row r="82" spans="2:56" x14ac:dyDescent="0.15">
      <c r="B82" s="79" t="str">
        <f t="shared" si="62"/>
        <v/>
      </c>
      <c r="C82" s="85"/>
      <c r="D82" s="75">
        <f>INDEX(节奏总纲!$AM$4:$AM$83,$F82)</f>
        <v>0.42660095793436714</v>
      </c>
      <c r="E82" s="75">
        <f>求节点(节奏总纲!$P$4:$P$163,节奏总纲!$O$4:$O$163,$D82)</f>
        <v>5.1220396939633002</v>
      </c>
      <c r="F82" s="40">
        <v>8</v>
      </c>
      <c r="G82" s="85"/>
      <c r="H82" s="65"/>
      <c r="I82" s="63" t="s">
        <v>635</v>
      </c>
      <c r="J82" s="63"/>
      <c r="K82" s="63"/>
      <c r="M82" s="60">
        <f t="shared" si="71"/>
        <v>30</v>
      </c>
      <c r="N82" s="60">
        <f t="shared" si="72"/>
        <v>30</v>
      </c>
      <c r="O82" s="60">
        <f t="shared" si="73"/>
        <v>0</v>
      </c>
      <c r="P82" s="60">
        <f t="shared" si="74"/>
        <v>0</v>
      </c>
      <c r="Q82" s="60">
        <f t="shared" si="75"/>
        <v>8</v>
      </c>
      <c r="R82" s="60">
        <f t="shared" si="76"/>
        <v>8</v>
      </c>
      <c r="S82" s="60">
        <f t="shared" si="77"/>
        <v>30000</v>
      </c>
      <c r="T82" s="60">
        <f t="shared" si="78"/>
        <v>30000</v>
      </c>
      <c r="U82" s="60">
        <f t="shared" si="79"/>
        <v>0</v>
      </c>
      <c r="V82" s="60">
        <f t="shared" si="80"/>
        <v>0</v>
      </c>
      <c r="W82" s="60">
        <f t="shared" si="81"/>
        <v>0</v>
      </c>
      <c r="X82" s="60">
        <f t="shared" si="82"/>
        <v>0</v>
      </c>
      <c r="Y82" s="60">
        <f t="shared" si="83"/>
        <v>0</v>
      </c>
      <c r="Z82" s="60">
        <f t="shared" si="84"/>
        <v>0</v>
      </c>
      <c r="AA82" s="42"/>
      <c r="AB82" s="42"/>
      <c r="AC82" s="60">
        <f t="shared" si="85"/>
        <v>0</v>
      </c>
      <c r="AD82" s="60">
        <f t="shared" si="86"/>
        <v>0</v>
      </c>
      <c r="AE82" s="42"/>
      <c r="AF82" s="42"/>
      <c r="AG82" s="60">
        <f t="shared" si="2"/>
        <v>5</v>
      </c>
      <c r="AH82" s="60">
        <f t="shared" si="87"/>
        <v>5</v>
      </c>
      <c r="AL82" s="72">
        <v>75</v>
      </c>
      <c r="AM82" s="77">
        <f t="shared" si="63"/>
        <v>18310</v>
      </c>
      <c r="AN82" s="77">
        <f t="shared" si="64"/>
        <v>0</v>
      </c>
      <c r="AO82" s="77">
        <f t="shared" si="65"/>
        <v>5404</v>
      </c>
      <c r="AP82" s="77">
        <f t="shared" si="66"/>
        <v>82760000</v>
      </c>
      <c r="AQ82" s="77">
        <f t="shared" si="67"/>
        <v>17130000</v>
      </c>
      <c r="AR82" s="72"/>
      <c r="AS82" s="77">
        <f t="shared" si="68"/>
        <v>0</v>
      </c>
      <c r="AT82" s="77">
        <f t="shared" si="69"/>
        <v>0</v>
      </c>
      <c r="AU82" s="77">
        <f t="shared" si="70"/>
        <v>2150</v>
      </c>
      <c r="AV82" s="72"/>
      <c r="AW82" s="73"/>
      <c r="AX82" s="73">
        <f>AM82/'[1]功能-推荐任务'!D133</f>
        <v>1.4030651340996168</v>
      </c>
      <c r="AY82" s="73" t="e">
        <f>AN82/'[1]功能-推荐任务'!E133</f>
        <v>#DIV/0!</v>
      </c>
      <c r="AZ82" s="73">
        <f>AO82/'[1]功能-推荐任务'!F133</f>
        <v>1.4410666666666667</v>
      </c>
      <c r="BA82" s="73">
        <f>AP82/'[1]功能-推荐任务'!G133</f>
        <v>1.8229074889867842</v>
      </c>
      <c r="BB82" s="73">
        <f>AQ82/'[1]功能-推荐任务'!H133</f>
        <v>1.935593220338983</v>
      </c>
      <c r="BC82" s="73"/>
      <c r="BD82" s="73" t="e">
        <f>AS82/'[1]功能-推荐任务'!J133</f>
        <v>#DIV/0!</v>
      </c>
    </row>
    <row r="83" spans="2:56" x14ac:dyDescent="0.15">
      <c r="B83" s="79" t="str">
        <f t="shared" si="62"/>
        <v/>
      </c>
      <c r="C83" s="85"/>
      <c r="D83" s="75">
        <f>INDEX(节奏总纲!$AM$4:$AM$83,$F83)</f>
        <v>0.42660095793436714</v>
      </c>
      <c r="E83" s="75">
        <f>求节点(节奏总纲!$P$4:$P$163,节奏总纲!$O$4:$O$163,$D83)</f>
        <v>5.1220396939633002</v>
      </c>
      <c r="F83" s="40">
        <v>8</v>
      </c>
      <c r="G83" s="85"/>
      <c r="H83" s="63"/>
      <c r="I83" s="63"/>
      <c r="J83" s="63"/>
      <c r="K83" s="63"/>
      <c r="M83" s="60">
        <f t="shared" si="71"/>
        <v>30</v>
      </c>
      <c r="N83" s="60">
        <f t="shared" si="72"/>
        <v>0</v>
      </c>
      <c r="O83" s="60">
        <f t="shared" si="73"/>
        <v>0</v>
      </c>
      <c r="P83" s="60">
        <f t="shared" si="74"/>
        <v>0</v>
      </c>
      <c r="Q83" s="60">
        <f t="shared" si="75"/>
        <v>8</v>
      </c>
      <c r="R83" s="60">
        <f t="shared" si="76"/>
        <v>0</v>
      </c>
      <c r="S83" s="60">
        <f t="shared" si="77"/>
        <v>30000</v>
      </c>
      <c r="T83" s="60">
        <f t="shared" si="78"/>
        <v>0</v>
      </c>
      <c r="U83" s="60">
        <f t="shared" si="79"/>
        <v>0</v>
      </c>
      <c r="V83" s="60">
        <f t="shared" si="80"/>
        <v>0</v>
      </c>
      <c r="W83" s="60">
        <f t="shared" si="81"/>
        <v>0</v>
      </c>
      <c r="X83" s="60">
        <f t="shared" si="82"/>
        <v>0</v>
      </c>
      <c r="Y83" s="60">
        <f t="shared" si="83"/>
        <v>0</v>
      </c>
      <c r="Z83" s="60">
        <f t="shared" si="84"/>
        <v>0</v>
      </c>
      <c r="AA83" s="42"/>
      <c r="AB83" s="42"/>
      <c r="AC83" s="60">
        <f t="shared" si="85"/>
        <v>0</v>
      </c>
      <c r="AD83" s="60">
        <f t="shared" si="86"/>
        <v>0</v>
      </c>
      <c r="AE83" s="42"/>
      <c r="AF83" s="42"/>
      <c r="AG83" s="60">
        <f t="shared" si="2"/>
        <v>5</v>
      </c>
      <c r="AH83" s="60">
        <f t="shared" si="87"/>
        <v>0</v>
      </c>
      <c r="AL83" s="72">
        <v>76</v>
      </c>
      <c r="AM83" s="77">
        <f t="shared" si="63"/>
        <v>18310</v>
      </c>
      <c r="AN83" s="77">
        <f t="shared" si="64"/>
        <v>0</v>
      </c>
      <c r="AO83" s="77">
        <f t="shared" si="65"/>
        <v>5404</v>
      </c>
      <c r="AP83" s="77">
        <f t="shared" si="66"/>
        <v>82760000</v>
      </c>
      <c r="AQ83" s="77">
        <f t="shared" si="67"/>
        <v>17130000</v>
      </c>
      <c r="AR83" s="72"/>
      <c r="AS83" s="77">
        <f t="shared" si="68"/>
        <v>0</v>
      </c>
      <c r="AT83" s="77">
        <f t="shared" si="69"/>
        <v>0</v>
      </c>
      <c r="AU83" s="77">
        <f t="shared" si="70"/>
        <v>2150</v>
      </c>
      <c r="AV83" s="72"/>
      <c r="AW83" s="73"/>
      <c r="AX83" s="73">
        <f>AM83/'[1]功能-推荐任务'!D134</f>
        <v>1.3715355805243445</v>
      </c>
      <c r="AY83" s="73" t="e">
        <f>AN83/'[1]功能-推荐任务'!E134</f>
        <v>#DIV/0!</v>
      </c>
      <c r="AZ83" s="73">
        <f>AO83/'[1]功能-推荐任务'!F134</f>
        <v>1.4036363636363636</v>
      </c>
      <c r="BA83" s="73">
        <f>AP83/'[1]功能-推荐任务'!G134</f>
        <v>1.7441517386722867</v>
      </c>
      <c r="BB83" s="73">
        <f>AQ83/'[1]功能-推荐任务'!H134</f>
        <v>1.8296395193591455</v>
      </c>
      <c r="BC83" s="73"/>
      <c r="BD83" s="73" t="e">
        <f>AS83/'[1]功能-推荐任务'!J134</f>
        <v>#DIV/0!</v>
      </c>
    </row>
    <row r="84" spans="2:56" x14ac:dyDescent="0.15">
      <c r="B84" s="79" t="str">
        <f t="shared" si="62"/>
        <v/>
      </c>
      <c r="C84" s="85"/>
      <c r="D84" s="75">
        <f>INDEX(节奏总纲!$AM$4:$AM$83,$F84)</f>
        <v>0.42660095793436714</v>
      </c>
      <c r="E84" s="75">
        <f>求节点(节奏总纲!$P$4:$P$163,节奏总纲!$O$4:$O$163,$D84)</f>
        <v>5.1220396939633002</v>
      </c>
      <c r="F84" s="40">
        <v>8</v>
      </c>
      <c r="G84" s="85"/>
      <c r="H84" s="63" t="s">
        <v>605</v>
      </c>
      <c r="I84" s="63" t="s">
        <v>550</v>
      </c>
      <c r="J84" s="63"/>
      <c r="K84" s="63"/>
      <c r="M84" s="60">
        <f t="shared" si="71"/>
        <v>30</v>
      </c>
      <c r="N84" s="60">
        <f t="shared" si="72"/>
        <v>60</v>
      </c>
      <c r="O84" s="60">
        <f t="shared" si="73"/>
        <v>0</v>
      </c>
      <c r="P84" s="60">
        <f t="shared" si="74"/>
        <v>0</v>
      </c>
      <c r="Q84" s="60">
        <f t="shared" si="75"/>
        <v>8</v>
      </c>
      <c r="R84" s="60">
        <f t="shared" si="76"/>
        <v>16</v>
      </c>
      <c r="S84" s="60">
        <f t="shared" si="77"/>
        <v>30000</v>
      </c>
      <c r="T84" s="60">
        <f t="shared" si="78"/>
        <v>60000</v>
      </c>
      <c r="U84" s="60">
        <f t="shared" si="79"/>
        <v>0</v>
      </c>
      <c r="V84" s="60">
        <f t="shared" si="80"/>
        <v>0</v>
      </c>
      <c r="W84" s="60">
        <f t="shared" si="81"/>
        <v>0</v>
      </c>
      <c r="X84" s="60">
        <f t="shared" si="82"/>
        <v>0</v>
      </c>
      <c r="Y84" s="60">
        <f t="shared" si="83"/>
        <v>0</v>
      </c>
      <c r="Z84" s="60">
        <f t="shared" si="84"/>
        <v>0</v>
      </c>
      <c r="AA84" s="42"/>
      <c r="AB84" s="42"/>
      <c r="AC84" s="60">
        <f t="shared" si="85"/>
        <v>0</v>
      </c>
      <c r="AD84" s="60">
        <f t="shared" si="86"/>
        <v>0</v>
      </c>
      <c r="AE84" s="42"/>
      <c r="AF84" s="42"/>
      <c r="AG84" s="60">
        <f t="shared" si="2"/>
        <v>5</v>
      </c>
      <c r="AH84" s="60">
        <f t="shared" si="87"/>
        <v>10</v>
      </c>
      <c r="AL84" s="72">
        <v>77</v>
      </c>
      <c r="AM84" s="77">
        <f t="shared" si="63"/>
        <v>18310</v>
      </c>
      <c r="AN84" s="77">
        <f t="shared" si="64"/>
        <v>0</v>
      </c>
      <c r="AO84" s="77">
        <f t="shared" si="65"/>
        <v>5404</v>
      </c>
      <c r="AP84" s="77">
        <f t="shared" si="66"/>
        <v>82760000</v>
      </c>
      <c r="AQ84" s="77">
        <f t="shared" si="67"/>
        <v>17130000</v>
      </c>
      <c r="AR84" s="72"/>
      <c r="AS84" s="77">
        <f t="shared" si="68"/>
        <v>0</v>
      </c>
      <c r="AT84" s="77">
        <f t="shared" si="69"/>
        <v>0</v>
      </c>
      <c r="AU84" s="77">
        <f t="shared" si="70"/>
        <v>2150</v>
      </c>
      <c r="AV84" s="72"/>
      <c r="AW84" s="73"/>
      <c r="AX84" s="73">
        <f>AM84/'[1]功能-推荐任务'!D135</f>
        <v>1.3413919413919413</v>
      </c>
      <c r="AY84" s="73" t="e">
        <f>AN84/'[1]功能-推荐任务'!E135</f>
        <v>#DIV/0!</v>
      </c>
      <c r="AZ84" s="73">
        <f>AO84/'[1]功能-推荐任务'!F135</f>
        <v>1.3681012658227849</v>
      </c>
      <c r="BA84" s="73">
        <f>AP84/'[1]功能-推荐任务'!G135</f>
        <v>1.671919191919192</v>
      </c>
      <c r="BB84" s="73">
        <f>AQ84/'[1]功能-推荐任务'!H135</f>
        <v>1.7346835443037976</v>
      </c>
      <c r="BC84" s="73"/>
      <c r="BD84" s="73" t="e">
        <f>AS84/'[1]功能-推荐任务'!J135</f>
        <v>#DIV/0!</v>
      </c>
    </row>
    <row r="85" spans="2:56" x14ac:dyDescent="0.15">
      <c r="B85" s="79" t="str">
        <f t="shared" si="62"/>
        <v/>
      </c>
      <c r="C85" s="85"/>
      <c r="D85" s="75">
        <f>INDEX(节奏总纲!$AM$4:$AM$83,$F85)</f>
        <v>0.42660095793436714</v>
      </c>
      <c r="E85" s="75">
        <f>求节点(节奏总纲!$P$4:$P$163,节奏总纲!$O$4:$O$163,$D85)</f>
        <v>5.1220396939633002</v>
      </c>
      <c r="F85" s="40">
        <v>8</v>
      </c>
      <c r="G85" s="85"/>
      <c r="H85" s="63" t="s">
        <v>614</v>
      </c>
      <c r="I85" s="63" t="s">
        <v>540</v>
      </c>
      <c r="J85" s="63"/>
      <c r="K85" s="63"/>
      <c r="M85" s="60">
        <f t="shared" si="71"/>
        <v>30</v>
      </c>
      <c r="N85" s="60">
        <f t="shared" si="72"/>
        <v>60</v>
      </c>
      <c r="O85" s="60">
        <f t="shared" si="73"/>
        <v>0</v>
      </c>
      <c r="P85" s="60">
        <f t="shared" si="74"/>
        <v>0</v>
      </c>
      <c r="Q85" s="60">
        <f t="shared" si="75"/>
        <v>8</v>
      </c>
      <c r="R85" s="60">
        <f t="shared" si="76"/>
        <v>16</v>
      </c>
      <c r="S85" s="60">
        <f t="shared" si="77"/>
        <v>30000</v>
      </c>
      <c r="T85" s="60">
        <f t="shared" si="78"/>
        <v>60000</v>
      </c>
      <c r="U85" s="60">
        <f t="shared" si="79"/>
        <v>0</v>
      </c>
      <c r="V85" s="60">
        <f t="shared" si="80"/>
        <v>0</v>
      </c>
      <c r="W85" s="60">
        <f t="shared" si="81"/>
        <v>0</v>
      </c>
      <c r="X85" s="60">
        <f t="shared" si="82"/>
        <v>0</v>
      </c>
      <c r="Y85" s="60">
        <f t="shared" si="83"/>
        <v>0</v>
      </c>
      <c r="Z85" s="60">
        <f t="shared" si="84"/>
        <v>0</v>
      </c>
      <c r="AA85" s="42"/>
      <c r="AB85" s="42"/>
      <c r="AC85" s="60">
        <f t="shared" si="85"/>
        <v>0</v>
      </c>
      <c r="AD85" s="60">
        <f t="shared" si="86"/>
        <v>0</v>
      </c>
      <c r="AE85" s="42"/>
      <c r="AF85" s="42"/>
      <c r="AG85" s="60">
        <f t="shared" si="2"/>
        <v>5</v>
      </c>
      <c r="AH85" s="60">
        <f t="shared" si="87"/>
        <v>10</v>
      </c>
      <c r="AL85" s="72">
        <v>78</v>
      </c>
      <c r="AM85" s="77">
        <f t="shared" si="63"/>
        <v>18310</v>
      </c>
      <c r="AN85" s="77">
        <f t="shared" si="64"/>
        <v>0</v>
      </c>
      <c r="AO85" s="77">
        <f t="shared" si="65"/>
        <v>5404</v>
      </c>
      <c r="AP85" s="77">
        <f t="shared" si="66"/>
        <v>82760000</v>
      </c>
      <c r="AQ85" s="77">
        <f t="shared" si="67"/>
        <v>17130000</v>
      </c>
      <c r="AR85" s="72"/>
      <c r="AS85" s="77">
        <f t="shared" si="68"/>
        <v>0</v>
      </c>
      <c r="AT85" s="77">
        <f t="shared" si="69"/>
        <v>0</v>
      </c>
      <c r="AU85" s="77">
        <f t="shared" si="70"/>
        <v>2150</v>
      </c>
      <c r="AV85" s="72"/>
      <c r="AW85" s="73"/>
      <c r="AX85" s="73">
        <f>AM85/'[1]功能-推荐任务'!D136</f>
        <v>1.3125448028673836</v>
      </c>
      <c r="AY85" s="73" t="e">
        <f>AN85/'[1]功能-推荐任务'!E136</f>
        <v>#DIV/0!</v>
      </c>
      <c r="AZ85" s="73">
        <f>AO85/'[1]功能-推荐任务'!F136</f>
        <v>1.3343209876543209</v>
      </c>
      <c r="BA85" s="73">
        <f>AP85/'[1]功能-推荐任务'!G136</f>
        <v>1.605431619786615</v>
      </c>
      <c r="BB85" s="73">
        <f>AQ85/'[1]功能-推荐任务'!H136</f>
        <v>1.6490974729241876</v>
      </c>
      <c r="BC85" s="73"/>
      <c r="BD85" s="73" t="e">
        <f>AS85/'[1]功能-推荐任务'!J136</f>
        <v>#DIV/0!</v>
      </c>
    </row>
    <row r="86" spans="2:56" x14ac:dyDescent="0.15">
      <c r="B86" s="79" t="str">
        <f t="shared" si="62"/>
        <v/>
      </c>
      <c r="C86" s="85"/>
      <c r="D86" s="75">
        <f>INDEX(节奏总纲!$AM$4:$AM$83,$F86)</f>
        <v>0.42660095793436714</v>
      </c>
      <c r="E86" s="75">
        <f>求节点(节奏总纲!$P$4:$P$163,节奏总纲!$O$4:$O$163,$D86)</f>
        <v>5.1220396939633002</v>
      </c>
      <c r="F86" s="40">
        <v>8</v>
      </c>
      <c r="G86" s="85"/>
      <c r="H86" s="63"/>
      <c r="I86" s="63"/>
      <c r="J86" s="63"/>
      <c r="K86" s="63"/>
      <c r="M86" s="60">
        <f t="shared" si="71"/>
        <v>30</v>
      </c>
      <c r="N86" s="60">
        <f t="shared" si="72"/>
        <v>0</v>
      </c>
      <c r="O86" s="60">
        <f t="shared" si="73"/>
        <v>0</v>
      </c>
      <c r="P86" s="60">
        <f t="shared" si="74"/>
        <v>0</v>
      </c>
      <c r="Q86" s="60">
        <f t="shared" si="75"/>
        <v>8</v>
      </c>
      <c r="R86" s="60">
        <f t="shared" si="76"/>
        <v>0</v>
      </c>
      <c r="S86" s="60">
        <f t="shared" si="77"/>
        <v>30000</v>
      </c>
      <c r="T86" s="60">
        <f t="shared" si="78"/>
        <v>0</v>
      </c>
      <c r="U86" s="60">
        <f t="shared" si="79"/>
        <v>0</v>
      </c>
      <c r="V86" s="60">
        <f t="shared" si="80"/>
        <v>0</v>
      </c>
      <c r="W86" s="60">
        <f t="shared" si="81"/>
        <v>0</v>
      </c>
      <c r="X86" s="60">
        <f t="shared" si="82"/>
        <v>0</v>
      </c>
      <c r="Y86" s="60">
        <f t="shared" si="83"/>
        <v>0</v>
      </c>
      <c r="Z86" s="60">
        <f t="shared" si="84"/>
        <v>0</v>
      </c>
      <c r="AA86" s="42"/>
      <c r="AB86" s="42"/>
      <c r="AC86" s="60">
        <f t="shared" si="85"/>
        <v>0</v>
      </c>
      <c r="AD86" s="60">
        <f t="shared" si="86"/>
        <v>0</v>
      </c>
      <c r="AE86" s="42"/>
      <c r="AF86" s="42"/>
      <c r="AG86" s="60">
        <f t="shared" si="2"/>
        <v>5</v>
      </c>
      <c r="AH86" s="60">
        <f t="shared" si="87"/>
        <v>0</v>
      </c>
      <c r="AL86" s="72">
        <v>79</v>
      </c>
      <c r="AM86" s="77">
        <f t="shared" si="63"/>
        <v>18310</v>
      </c>
      <c r="AN86" s="77">
        <f t="shared" si="64"/>
        <v>0</v>
      </c>
      <c r="AO86" s="77">
        <f t="shared" si="65"/>
        <v>5404</v>
      </c>
      <c r="AP86" s="77">
        <f t="shared" si="66"/>
        <v>82760000</v>
      </c>
      <c r="AQ86" s="77">
        <f t="shared" si="67"/>
        <v>17130000</v>
      </c>
      <c r="AR86" s="72"/>
      <c r="AS86" s="77">
        <f t="shared" si="68"/>
        <v>0</v>
      </c>
      <c r="AT86" s="77">
        <f t="shared" si="69"/>
        <v>0</v>
      </c>
      <c r="AU86" s="77">
        <f t="shared" si="70"/>
        <v>2150</v>
      </c>
      <c r="AV86" s="72"/>
      <c r="AW86" s="73"/>
      <c r="AX86" s="73">
        <f>AM86/'[1]功能-推荐任务'!D137</f>
        <v>1.2849122807017543</v>
      </c>
      <c r="AY86" s="73" t="e">
        <f>AN86/'[1]功能-推荐任务'!E137</f>
        <v>#DIV/0!</v>
      </c>
      <c r="AZ86" s="73">
        <f>AO86/'[1]功能-推荐任务'!F137</f>
        <v>1.3021686746987953</v>
      </c>
      <c r="BA86" s="73">
        <f>AP86/'[1]功能-推荐任务'!G137</f>
        <v>1.5440298507462686</v>
      </c>
      <c r="BB86" s="73">
        <f>AQ86/'[1]功能-推荐任务'!H137</f>
        <v>1.571559633027523</v>
      </c>
      <c r="BC86" s="73"/>
      <c r="BD86" s="73" t="e">
        <f>AS86/'[1]功能-推荐任务'!J137</f>
        <v>#DIV/0!</v>
      </c>
    </row>
    <row r="87" spans="2:56" x14ac:dyDescent="0.15">
      <c r="B87" s="79" t="str">
        <f t="shared" si="62"/>
        <v/>
      </c>
      <c r="C87" s="85"/>
      <c r="D87" s="75">
        <f>INDEX(节奏总纲!$AM$4:$AM$83,$F87)</f>
        <v>0.42660095793436714</v>
      </c>
      <c r="E87" s="75">
        <f>求节点(节奏总纲!$P$4:$P$163,节奏总纲!$O$4:$O$163,$D87)</f>
        <v>5.1220396939633002</v>
      </c>
      <c r="F87" s="40">
        <v>8</v>
      </c>
      <c r="G87" s="85"/>
      <c r="H87" s="63"/>
      <c r="I87" s="63"/>
      <c r="J87" s="63"/>
      <c r="K87" s="63"/>
      <c r="M87" s="60">
        <f t="shared" si="71"/>
        <v>30</v>
      </c>
      <c r="N87" s="60">
        <f t="shared" si="72"/>
        <v>0</v>
      </c>
      <c r="O87" s="60">
        <f t="shared" si="73"/>
        <v>0</v>
      </c>
      <c r="P87" s="60">
        <f t="shared" si="74"/>
        <v>0</v>
      </c>
      <c r="Q87" s="60">
        <f t="shared" si="75"/>
        <v>8</v>
      </c>
      <c r="R87" s="60">
        <f t="shared" si="76"/>
        <v>0</v>
      </c>
      <c r="S87" s="60">
        <f t="shared" si="77"/>
        <v>30000</v>
      </c>
      <c r="T87" s="60">
        <f t="shared" si="78"/>
        <v>0</v>
      </c>
      <c r="U87" s="60">
        <f t="shared" si="79"/>
        <v>0</v>
      </c>
      <c r="V87" s="60">
        <f t="shared" si="80"/>
        <v>0</v>
      </c>
      <c r="W87" s="60">
        <f t="shared" si="81"/>
        <v>0</v>
      </c>
      <c r="X87" s="60">
        <f t="shared" si="82"/>
        <v>0</v>
      </c>
      <c r="Y87" s="60">
        <f t="shared" si="83"/>
        <v>0</v>
      </c>
      <c r="Z87" s="60">
        <f t="shared" si="84"/>
        <v>0</v>
      </c>
      <c r="AA87" s="42"/>
      <c r="AB87" s="42"/>
      <c r="AC87" s="60">
        <f t="shared" si="85"/>
        <v>0</v>
      </c>
      <c r="AD87" s="60">
        <f t="shared" si="86"/>
        <v>0</v>
      </c>
      <c r="AE87" s="42"/>
      <c r="AF87" s="42"/>
      <c r="AG87" s="60">
        <f t="shared" si="2"/>
        <v>5</v>
      </c>
      <c r="AH87" s="60">
        <f t="shared" si="87"/>
        <v>0</v>
      </c>
      <c r="AL87" s="72">
        <v>80</v>
      </c>
      <c r="AM87" s="77">
        <f t="shared" si="63"/>
        <v>18310</v>
      </c>
      <c r="AN87" s="77">
        <f t="shared" si="64"/>
        <v>0</v>
      </c>
      <c r="AO87" s="77">
        <f t="shared" si="65"/>
        <v>5404</v>
      </c>
      <c r="AP87" s="77">
        <f t="shared" si="66"/>
        <v>82760000</v>
      </c>
      <c r="AQ87" s="77">
        <f t="shared" si="67"/>
        <v>17130000</v>
      </c>
      <c r="AR87" s="72"/>
      <c r="AS87" s="77">
        <f t="shared" si="68"/>
        <v>0</v>
      </c>
      <c r="AT87" s="77">
        <f t="shared" si="69"/>
        <v>0</v>
      </c>
      <c r="AU87" s="77">
        <f t="shared" si="70"/>
        <v>2150</v>
      </c>
      <c r="AV87" s="72"/>
      <c r="AW87" s="73"/>
      <c r="AX87" s="73">
        <f>AM87/'[1]功能-推荐任务'!D138</f>
        <v>1.2584192439862543</v>
      </c>
      <c r="AY87" s="73" t="e">
        <f>AN87/'[1]功能-推荐任务'!E138</f>
        <v>#DIV/0!</v>
      </c>
      <c r="AZ87" s="73">
        <f>AO87/'[1]功能-推荐任务'!F138</f>
        <v>1.2715294117647058</v>
      </c>
      <c r="BA87" s="73">
        <f>AP87/'[1]功能-推荐任务'!G138</f>
        <v>1.487151841868823</v>
      </c>
      <c r="BB87" s="73">
        <f>AQ87/'[1]功能-推荐任务'!H138</f>
        <v>1.500985761226725</v>
      </c>
      <c r="BC87" s="73"/>
      <c r="BD87" s="73" t="e">
        <f>AS87/'[1]功能-推荐任务'!J138</f>
        <v>#DIV/0!</v>
      </c>
    </row>
    <row r="88" spans="2:56" x14ac:dyDescent="0.15">
      <c r="B88" s="79" t="str">
        <f t="shared" si="62"/>
        <v/>
      </c>
      <c r="C88" s="85"/>
      <c r="D88" s="75">
        <f>INDEX(节奏总纲!$AM$4:$AM$83,$F88)</f>
        <v>0.42660095793436714</v>
      </c>
      <c r="E88" s="75">
        <f>求节点(节奏总纲!$P$4:$P$163,节奏总纲!$O$4:$O$163,$D88)</f>
        <v>5.1220396939633002</v>
      </c>
      <c r="F88" s="40">
        <v>8</v>
      </c>
      <c r="G88" s="85"/>
      <c r="H88" s="63" t="s">
        <v>348</v>
      </c>
      <c r="I88" s="63"/>
      <c r="J88" s="63"/>
      <c r="K88" s="63"/>
      <c r="M88" s="60">
        <f t="shared" si="71"/>
        <v>30</v>
      </c>
      <c r="N88" s="60">
        <f t="shared" si="72"/>
        <v>30</v>
      </c>
      <c r="O88" s="60">
        <f t="shared" si="73"/>
        <v>0</v>
      </c>
      <c r="P88" s="60">
        <f t="shared" si="74"/>
        <v>0</v>
      </c>
      <c r="Q88" s="60">
        <f t="shared" si="75"/>
        <v>8</v>
      </c>
      <c r="R88" s="60">
        <f t="shared" si="76"/>
        <v>8</v>
      </c>
      <c r="S88" s="60">
        <f t="shared" si="77"/>
        <v>30000</v>
      </c>
      <c r="T88" s="60">
        <f t="shared" si="78"/>
        <v>30000</v>
      </c>
      <c r="U88" s="60">
        <f t="shared" si="79"/>
        <v>0</v>
      </c>
      <c r="V88" s="60">
        <f t="shared" si="80"/>
        <v>0</v>
      </c>
      <c r="W88" s="60">
        <f t="shared" si="81"/>
        <v>0</v>
      </c>
      <c r="X88" s="60">
        <f t="shared" si="82"/>
        <v>0</v>
      </c>
      <c r="Y88" s="60">
        <f t="shared" si="83"/>
        <v>0</v>
      </c>
      <c r="Z88" s="60">
        <f t="shared" si="84"/>
        <v>0</v>
      </c>
      <c r="AA88" s="42"/>
      <c r="AB88" s="42"/>
      <c r="AC88" s="60">
        <f t="shared" si="85"/>
        <v>0</v>
      </c>
      <c r="AD88" s="60">
        <f t="shared" si="86"/>
        <v>0</v>
      </c>
      <c r="AE88" s="42"/>
      <c r="AF88" s="42"/>
      <c r="AG88" s="60">
        <f t="shared" si="2"/>
        <v>5</v>
      </c>
      <c r="AH88" s="60">
        <f t="shared" si="87"/>
        <v>5</v>
      </c>
    </row>
    <row r="89" spans="2:56" x14ac:dyDescent="0.15">
      <c r="B89" s="79" t="str">
        <f t="shared" si="62"/>
        <v/>
      </c>
      <c r="C89" s="85"/>
      <c r="D89" s="75">
        <f>INDEX(节奏总纲!$AM$4:$AM$83,$F89)</f>
        <v>0.42660095793436714</v>
      </c>
      <c r="E89" s="75">
        <f>求节点(节奏总纲!$P$4:$P$163,节奏总纲!$O$4:$O$163,$D89)</f>
        <v>5.1220396939633002</v>
      </c>
      <c r="F89" s="40">
        <v>8</v>
      </c>
      <c r="G89" s="85"/>
      <c r="H89" s="63" t="s">
        <v>349</v>
      </c>
      <c r="I89" s="63"/>
      <c r="J89" s="63"/>
      <c r="K89" s="63"/>
      <c r="M89" s="60">
        <f t="shared" si="71"/>
        <v>30</v>
      </c>
      <c r="N89" s="60">
        <f t="shared" si="72"/>
        <v>30</v>
      </c>
      <c r="O89" s="60">
        <f t="shared" si="73"/>
        <v>0</v>
      </c>
      <c r="P89" s="60">
        <f t="shared" si="74"/>
        <v>0</v>
      </c>
      <c r="Q89" s="60">
        <f t="shared" si="75"/>
        <v>8</v>
      </c>
      <c r="R89" s="60">
        <f t="shared" si="76"/>
        <v>8</v>
      </c>
      <c r="S89" s="60">
        <f t="shared" si="77"/>
        <v>30000</v>
      </c>
      <c r="T89" s="60">
        <f t="shared" si="78"/>
        <v>30000</v>
      </c>
      <c r="U89" s="60">
        <f t="shared" si="79"/>
        <v>0</v>
      </c>
      <c r="V89" s="60">
        <f t="shared" si="80"/>
        <v>0</v>
      </c>
      <c r="W89" s="60">
        <f t="shared" si="81"/>
        <v>0</v>
      </c>
      <c r="X89" s="60">
        <f t="shared" si="82"/>
        <v>0</v>
      </c>
      <c r="Y89" s="60">
        <f t="shared" si="83"/>
        <v>0</v>
      </c>
      <c r="Z89" s="60">
        <f t="shared" si="84"/>
        <v>0</v>
      </c>
      <c r="AA89" s="42"/>
      <c r="AB89" s="42"/>
      <c r="AC89" s="60">
        <f t="shared" si="85"/>
        <v>0</v>
      </c>
      <c r="AD89" s="60">
        <f t="shared" si="86"/>
        <v>0</v>
      </c>
      <c r="AE89" s="42"/>
      <c r="AF89" s="42"/>
      <c r="AG89" s="60">
        <f t="shared" ref="AG89:AG152" si="88">ROUNDUP((AG$2*$F89^AG$1+AG$3)/AG$4,0)*AG$4</f>
        <v>5</v>
      </c>
      <c r="AH89" s="60">
        <f t="shared" si="87"/>
        <v>5</v>
      </c>
    </row>
    <row r="90" spans="2:56" x14ac:dyDescent="0.15">
      <c r="B90" s="79">
        <f t="shared" si="62"/>
        <v>6</v>
      </c>
      <c r="C90" s="85"/>
      <c r="D90" s="75">
        <f>INDEX(节奏总纲!$AM$4:$AM$83,$F90)</f>
        <v>0.57090651823243421</v>
      </c>
      <c r="E90" s="75">
        <f>求节点(节奏总纲!$P$4:$P$163,节奏总纲!$O$4:$O$163,$D90)</f>
        <v>6.5073154848533106</v>
      </c>
      <c r="F90" s="40">
        <v>9</v>
      </c>
      <c r="G90" s="85">
        <v>4</v>
      </c>
      <c r="H90" s="63" t="s">
        <v>395</v>
      </c>
      <c r="I90" s="63"/>
      <c r="J90" s="63"/>
      <c r="K90" s="63"/>
      <c r="M90" s="60">
        <f t="shared" si="71"/>
        <v>30</v>
      </c>
      <c r="N90" s="60">
        <f t="shared" si="72"/>
        <v>30</v>
      </c>
      <c r="O90" s="60">
        <f t="shared" si="73"/>
        <v>0</v>
      </c>
      <c r="P90" s="60">
        <f t="shared" si="74"/>
        <v>0</v>
      </c>
      <c r="Q90" s="60">
        <f t="shared" si="75"/>
        <v>8</v>
      </c>
      <c r="R90" s="60">
        <f t="shared" si="76"/>
        <v>8</v>
      </c>
      <c r="S90" s="60">
        <f t="shared" si="77"/>
        <v>30000</v>
      </c>
      <c r="T90" s="60">
        <f t="shared" si="78"/>
        <v>30000</v>
      </c>
      <c r="U90" s="60">
        <f t="shared" si="79"/>
        <v>0</v>
      </c>
      <c r="V90" s="60">
        <f t="shared" si="80"/>
        <v>0</v>
      </c>
      <c r="W90" s="60">
        <f t="shared" si="81"/>
        <v>0</v>
      </c>
      <c r="X90" s="60">
        <f t="shared" si="82"/>
        <v>0</v>
      </c>
      <c r="Y90" s="60">
        <f t="shared" si="83"/>
        <v>0</v>
      </c>
      <c r="Z90" s="60">
        <f t="shared" si="84"/>
        <v>0</v>
      </c>
      <c r="AA90" s="42"/>
      <c r="AB90" s="42"/>
      <c r="AC90" s="60">
        <f t="shared" si="85"/>
        <v>0</v>
      </c>
      <c r="AD90" s="60">
        <f t="shared" si="86"/>
        <v>0</v>
      </c>
      <c r="AE90" s="42"/>
      <c r="AF90" s="42"/>
      <c r="AG90" s="60">
        <f t="shared" si="88"/>
        <v>5</v>
      </c>
      <c r="AH90" s="60">
        <f t="shared" si="87"/>
        <v>5</v>
      </c>
    </row>
    <row r="91" spans="2:56" x14ac:dyDescent="0.15">
      <c r="B91" s="79" t="str">
        <f t="shared" si="62"/>
        <v/>
      </c>
      <c r="C91" s="85"/>
      <c r="D91" s="75">
        <f>INDEX(节奏总纲!$AM$4:$AM$83,$F91)</f>
        <v>0.57090651823243421</v>
      </c>
      <c r="E91" s="75">
        <f>求节点(节奏总纲!$P$4:$P$163,节奏总纲!$O$4:$O$163,$D91)</f>
        <v>6.5073154848533106</v>
      </c>
      <c r="F91" s="40">
        <v>9</v>
      </c>
      <c r="G91" s="85"/>
      <c r="H91" s="65" t="s">
        <v>652</v>
      </c>
      <c r="I91" s="63"/>
      <c r="J91" s="63"/>
      <c r="K91" s="63"/>
      <c r="M91" s="60">
        <f t="shared" si="71"/>
        <v>30</v>
      </c>
      <c r="N91" s="60">
        <f t="shared" si="72"/>
        <v>30</v>
      </c>
      <c r="O91" s="60">
        <f t="shared" si="73"/>
        <v>0</v>
      </c>
      <c r="P91" s="60">
        <f t="shared" si="74"/>
        <v>0</v>
      </c>
      <c r="Q91" s="60">
        <f t="shared" si="75"/>
        <v>8</v>
      </c>
      <c r="R91" s="60">
        <f t="shared" si="76"/>
        <v>8</v>
      </c>
      <c r="S91" s="60">
        <f t="shared" si="77"/>
        <v>30000</v>
      </c>
      <c r="T91" s="60">
        <f t="shared" si="78"/>
        <v>30000</v>
      </c>
      <c r="U91" s="60">
        <f t="shared" si="79"/>
        <v>0</v>
      </c>
      <c r="V91" s="60">
        <f t="shared" si="80"/>
        <v>0</v>
      </c>
      <c r="W91" s="60">
        <f t="shared" si="81"/>
        <v>0</v>
      </c>
      <c r="X91" s="60">
        <f t="shared" si="82"/>
        <v>0</v>
      </c>
      <c r="Y91" s="60">
        <f t="shared" si="83"/>
        <v>0</v>
      </c>
      <c r="Z91" s="60">
        <f t="shared" si="84"/>
        <v>0</v>
      </c>
      <c r="AA91" s="42"/>
      <c r="AB91" s="42"/>
      <c r="AC91" s="60">
        <f t="shared" si="85"/>
        <v>0</v>
      </c>
      <c r="AD91" s="60">
        <f t="shared" si="86"/>
        <v>0</v>
      </c>
      <c r="AE91" s="42"/>
      <c r="AF91" s="42"/>
      <c r="AG91" s="60">
        <f t="shared" si="88"/>
        <v>5</v>
      </c>
      <c r="AH91" s="60">
        <f t="shared" si="87"/>
        <v>5</v>
      </c>
    </row>
    <row r="92" spans="2:56" x14ac:dyDescent="0.15">
      <c r="B92" s="79" t="str">
        <f t="shared" si="62"/>
        <v/>
      </c>
      <c r="C92" s="85"/>
      <c r="D92" s="75">
        <f>INDEX(节奏总纲!$AM$4:$AM$83,$F92)</f>
        <v>0.57090651823243421</v>
      </c>
      <c r="E92" s="75">
        <f>求节点(节奏总纲!$P$4:$P$163,节奏总纲!$O$4:$O$163,$D92)</f>
        <v>6.5073154848533106</v>
      </c>
      <c r="F92" s="40">
        <v>9</v>
      </c>
      <c r="G92" s="85"/>
      <c r="H92" s="65" t="s">
        <v>613</v>
      </c>
      <c r="I92" s="63" t="s">
        <v>628</v>
      </c>
      <c r="J92" s="63"/>
      <c r="K92" s="63"/>
      <c r="M92" s="60">
        <f t="shared" si="71"/>
        <v>30</v>
      </c>
      <c r="N92" s="60">
        <f t="shared" si="72"/>
        <v>60</v>
      </c>
      <c r="O92" s="60">
        <f t="shared" si="73"/>
        <v>0</v>
      </c>
      <c r="P92" s="60">
        <f t="shared" si="74"/>
        <v>0</v>
      </c>
      <c r="Q92" s="60">
        <f t="shared" si="75"/>
        <v>8</v>
      </c>
      <c r="R92" s="60">
        <f t="shared" si="76"/>
        <v>16</v>
      </c>
      <c r="S92" s="60">
        <f t="shared" si="77"/>
        <v>30000</v>
      </c>
      <c r="T92" s="60">
        <f t="shared" si="78"/>
        <v>60000</v>
      </c>
      <c r="U92" s="60">
        <f t="shared" si="79"/>
        <v>0</v>
      </c>
      <c r="V92" s="60">
        <f t="shared" si="80"/>
        <v>0</v>
      </c>
      <c r="W92" s="60">
        <f t="shared" si="81"/>
        <v>0</v>
      </c>
      <c r="X92" s="60">
        <f t="shared" si="82"/>
        <v>0</v>
      </c>
      <c r="Y92" s="60">
        <f t="shared" si="83"/>
        <v>0</v>
      </c>
      <c r="Z92" s="60">
        <f t="shared" si="84"/>
        <v>0</v>
      </c>
      <c r="AA92" s="42"/>
      <c r="AB92" s="42"/>
      <c r="AC92" s="60">
        <f t="shared" si="85"/>
        <v>0</v>
      </c>
      <c r="AD92" s="60">
        <f t="shared" si="86"/>
        <v>0</v>
      </c>
      <c r="AE92" s="42"/>
      <c r="AF92" s="42"/>
      <c r="AG92" s="60">
        <f t="shared" si="88"/>
        <v>5</v>
      </c>
      <c r="AH92" s="60">
        <f t="shared" si="87"/>
        <v>10</v>
      </c>
    </row>
    <row r="93" spans="2:56" x14ac:dyDescent="0.15">
      <c r="B93" s="79" t="str">
        <f t="shared" si="62"/>
        <v/>
      </c>
      <c r="C93" s="85"/>
      <c r="D93" s="75">
        <f>INDEX(节奏总纲!$AM$4:$AM$83,$F93)</f>
        <v>0.57090651823243421</v>
      </c>
      <c r="E93" s="75">
        <f>求节点(节奏总纲!$P$4:$P$163,节奏总纲!$O$4:$O$163,$D93)</f>
        <v>6.5073154848533106</v>
      </c>
      <c r="F93" s="40">
        <v>9</v>
      </c>
      <c r="G93" s="85"/>
      <c r="H93" s="63" t="s">
        <v>350</v>
      </c>
      <c r="I93" s="63"/>
      <c r="J93" s="63"/>
      <c r="K93" s="63"/>
      <c r="M93" s="60">
        <f t="shared" si="71"/>
        <v>30</v>
      </c>
      <c r="N93" s="60">
        <f t="shared" si="72"/>
        <v>30</v>
      </c>
      <c r="O93" s="60">
        <f t="shared" si="73"/>
        <v>0</v>
      </c>
      <c r="P93" s="60">
        <f t="shared" si="74"/>
        <v>0</v>
      </c>
      <c r="Q93" s="60">
        <f t="shared" si="75"/>
        <v>8</v>
      </c>
      <c r="R93" s="60">
        <f t="shared" si="76"/>
        <v>8</v>
      </c>
      <c r="S93" s="60">
        <f t="shared" si="77"/>
        <v>30000</v>
      </c>
      <c r="T93" s="60">
        <f t="shared" si="78"/>
        <v>30000</v>
      </c>
      <c r="U93" s="60">
        <f t="shared" si="79"/>
        <v>0</v>
      </c>
      <c r="V93" s="60">
        <f t="shared" si="80"/>
        <v>0</v>
      </c>
      <c r="W93" s="60">
        <f t="shared" si="81"/>
        <v>0</v>
      </c>
      <c r="X93" s="60">
        <f t="shared" si="82"/>
        <v>0</v>
      </c>
      <c r="Y93" s="60">
        <f t="shared" si="83"/>
        <v>0</v>
      </c>
      <c r="Z93" s="60">
        <f t="shared" si="84"/>
        <v>0</v>
      </c>
      <c r="AA93" s="42"/>
      <c r="AB93" s="42"/>
      <c r="AC93" s="60">
        <f t="shared" si="85"/>
        <v>0</v>
      </c>
      <c r="AD93" s="60">
        <f t="shared" si="86"/>
        <v>0</v>
      </c>
      <c r="AE93" s="42"/>
      <c r="AF93" s="42"/>
      <c r="AG93" s="60">
        <f t="shared" si="88"/>
        <v>5</v>
      </c>
      <c r="AH93" s="60">
        <f t="shared" si="87"/>
        <v>5</v>
      </c>
    </row>
    <row r="94" spans="2:56" x14ac:dyDescent="0.15">
      <c r="B94" s="79" t="str">
        <f t="shared" si="62"/>
        <v/>
      </c>
      <c r="C94" s="85"/>
      <c r="D94" s="75">
        <f>INDEX(节奏总纲!$AM$4:$AM$83,$F94)</f>
        <v>0.57090651823243421</v>
      </c>
      <c r="E94" s="75">
        <f>求节点(节奏总纲!$P$4:$P$163,节奏总纲!$O$4:$O$163,$D94)</f>
        <v>6.5073154848533106</v>
      </c>
      <c r="F94" s="40">
        <v>9</v>
      </c>
      <c r="G94" s="86"/>
      <c r="H94" s="63" t="s">
        <v>499</v>
      </c>
      <c r="I94" s="63"/>
      <c r="J94" s="63"/>
      <c r="K94" s="63"/>
      <c r="M94" s="60">
        <f t="shared" si="71"/>
        <v>30</v>
      </c>
      <c r="N94" s="60">
        <f t="shared" si="72"/>
        <v>30</v>
      </c>
      <c r="O94" s="60">
        <f t="shared" si="73"/>
        <v>0</v>
      </c>
      <c r="P94" s="60">
        <f t="shared" si="74"/>
        <v>0</v>
      </c>
      <c r="Q94" s="60">
        <f t="shared" si="75"/>
        <v>8</v>
      </c>
      <c r="R94" s="60">
        <f t="shared" si="76"/>
        <v>8</v>
      </c>
      <c r="S94" s="60">
        <f t="shared" si="77"/>
        <v>30000</v>
      </c>
      <c r="T94" s="60">
        <f t="shared" si="78"/>
        <v>30000</v>
      </c>
      <c r="U94" s="60">
        <f t="shared" si="79"/>
        <v>0</v>
      </c>
      <c r="V94" s="60">
        <f t="shared" si="80"/>
        <v>0</v>
      </c>
      <c r="W94" s="60">
        <f t="shared" si="81"/>
        <v>0</v>
      </c>
      <c r="X94" s="60">
        <f t="shared" si="82"/>
        <v>0</v>
      </c>
      <c r="Y94" s="60">
        <f t="shared" si="83"/>
        <v>0</v>
      </c>
      <c r="Z94" s="60">
        <f t="shared" si="84"/>
        <v>0</v>
      </c>
      <c r="AA94" s="42"/>
      <c r="AB94" s="42"/>
      <c r="AC94" s="60">
        <f t="shared" si="85"/>
        <v>0</v>
      </c>
      <c r="AD94" s="60">
        <f t="shared" si="86"/>
        <v>0</v>
      </c>
      <c r="AE94" s="42"/>
      <c r="AF94" s="42"/>
      <c r="AG94" s="60">
        <f t="shared" si="88"/>
        <v>5</v>
      </c>
      <c r="AH94" s="60">
        <f t="shared" si="87"/>
        <v>5</v>
      </c>
    </row>
    <row r="95" spans="2:56" x14ac:dyDescent="0.15">
      <c r="B95" s="79">
        <f t="shared" si="62"/>
        <v>13</v>
      </c>
      <c r="C95" s="85"/>
      <c r="D95" s="75">
        <f>INDEX(节奏总纲!$AM$4:$AM$83,$F95)</f>
        <v>0.75</v>
      </c>
      <c r="E95" s="75">
        <f>求节点(节奏总纲!$P$4:$P$163,节奏总纲!$O$4:$O$163,$D95)</f>
        <v>8.071211008105136</v>
      </c>
      <c r="F95" s="40">
        <v>10</v>
      </c>
      <c r="G95" s="85">
        <v>5</v>
      </c>
      <c r="H95" s="63" t="s">
        <v>397</v>
      </c>
      <c r="I95" s="63"/>
      <c r="J95" s="63"/>
      <c r="K95" s="63"/>
      <c r="M95" s="60">
        <f t="shared" si="71"/>
        <v>30</v>
      </c>
      <c r="N95" s="60">
        <f t="shared" si="72"/>
        <v>30</v>
      </c>
      <c r="O95" s="60">
        <f t="shared" si="73"/>
        <v>0</v>
      </c>
      <c r="P95" s="60">
        <f t="shared" si="74"/>
        <v>0</v>
      </c>
      <c r="Q95" s="60">
        <f t="shared" si="75"/>
        <v>8</v>
      </c>
      <c r="R95" s="60">
        <f t="shared" si="76"/>
        <v>8</v>
      </c>
      <c r="S95" s="60">
        <f t="shared" si="77"/>
        <v>40000</v>
      </c>
      <c r="T95" s="60">
        <f t="shared" si="78"/>
        <v>40000</v>
      </c>
      <c r="U95" s="60">
        <f t="shared" si="79"/>
        <v>0</v>
      </c>
      <c r="V95" s="60">
        <f t="shared" si="80"/>
        <v>0</v>
      </c>
      <c r="W95" s="60">
        <f t="shared" si="81"/>
        <v>0</v>
      </c>
      <c r="X95" s="60">
        <f t="shared" si="82"/>
        <v>0</v>
      </c>
      <c r="Y95" s="60">
        <f t="shared" si="83"/>
        <v>0</v>
      </c>
      <c r="Z95" s="60">
        <f t="shared" si="84"/>
        <v>0</v>
      </c>
      <c r="AA95" s="42"/>
      <c r="AB95" s="42"/>
      <c r="AC95" s="60">
        <f t="shared" si="85"/>
        <v>0</v>
      </c>
      <c r="AD95" s="60">
        <f t="shared" si="86"/>
        <v>0</v>
      </c>
      <c r="AE95" s="42"/>
      <c r="AF95" s="42"/>
      <c r="AG95" s="60">
        <f t="shared" si="88"/>
        <v>5</v>
      </c>
      <c r="AH95" s="60">
        <f t="shared" si="87"/>
        <v>5</v>
      </c>
    </row>
    <row r="96" spans="2:56" x14ac:dyDescent="0.15">
      <c r="B96" s="79" t="str">
        <f t="shared" si="62"/>
        <v/>
      </c>
      <c r="C96" s="85"/>
      <c r="D96" s="75">
        <f>INDEX(节奏总纲!$AM$4:$AM$83,$F96)</f>
        <v>0.75</v>
      </c>
      <c r="E96" s="75">
        <f>求节点(节奏总纲!$P$4:$P$163,节奏总纲!$O$4:$O$163,$D96)</f>
        <v>8.071211008105136</v>
      </c>
      <c r="F96" s="40">
        <v>10</v>
      </c>
      <c r="G96" s="85"/>
      <c r="H96" s="63" t="s">
        <v>396</v>
      </c>
      <c r="I96" s="63"/>
      <c r="J96" s="63"/>
      <c r="K96" s="63"/>
      <c r="M96" s="60">
        <f t="shared" si="71"/>
        <v>30</v>
      </c>
      <c r="N96" s="60">
        <f t="shared" si="72"/>
        <v>30</v>
      </c>
      <c r="O96" s="60">
        <f t="shared" si="73"/>
        <v>0</v>
      </c>
      <c r="P96" s="60">
        <f t="shared" si="74"/>
        <v>0</v>
      </c>
      <c r="Q96" s="60">
        <f t="shared" si="75"/>
        <v>8</v>
      </c>
      <c r="R96" s="60">
        <f t="shared" si="76"/>
        <v>8</v>
      </c>
      <c r="S96" s="60">
        <f t="shared" si="77"/>
        <v>40000</v>
      </c>
      <c r="T96" s="60">
        <f t="shared" si="78"/>
        <v>40000</v>
      </c>
      <c r="U96" s="60">
        <f t="shared" si="79"/>
        <v>0</v>
      </c>
      <c r="V96" s="60">
        <f t="shared" si="80"/>
        <v>0</v>
      </c>
      <c r="W96" s="60">
        <f t="shared" si="81"/>
        <v>0</v>
      </c>
      <c r="X96" s="60">
        <f t="shared" si="82"/>
        <v>0</v>
      </c>
      <c r="Y96" s="60">
        <f t="shared" si="83"/>
        <v>0</v>
      </c>
      <c r="Z96" s="60">
        <f t="shared" si="84"/>
        <v>0</v>
      </c>
      <c r="AA96" s="42"/>
      <c r="AB96" s="42"/>
      <c r="AC96" s="60">
        <f t="shared" si="85"/>
        <v>0</v>
      </c>
      <c r="AD96" s="60">
        <f t="shared" si="86"/>
        <v>0</v>
      </c>
      <c r="AE96" s="42"/>
      <c r="AF96" s="42"/>
      <c r="AG96" s="60">
        <f t="shared" si="88"/>
        <v>5</v>
      </c>
      <c r="AH96" s="60">
        <f t="shared" si="87"/>
        <v>5</v>
      </c>
    </row>
    <row r="97" spans="2:56" x14ac:dyDescent="0.15">
      <c r="B97" s="79" t="str">
        <f t="shared" si="62"/>
        <v/>
      </c>
      <c r="C97" s="85"/>
      <c r="D97" s="75">
        <f>INDEX(节奏总纲!$AM$4:$AM$83,$F97)</f>
        <v>0.75</v>
      </c>
      <c r="E97" s="75">
        <f>求节点(节奏总纲!$P$4:$P$163,节奏总纲!$O$4:$O$163,$D97)</f>
        <v>8.071211008105136</v>
      </c>
      <c r="F97" s="40">
        <v>10</v>
      </c>
      <c r="G97" s="85"/>
      <c r="H97" s="71" t="s">
        <v>559</v>
      </c>
      <c r="I97" s="63"/>
      <c r="J97" s="63"/>
      <c r="K97" s="63"/>
      <c r="M97" s="60">
        <f t="shared" si="71"/>
        <v>30</v>
      </c>
      <c r="N97" s="60">
        <f>M97*COUNTA($H97:$K97)</f>
        <v>30</v>
      </c>
      <c r="O97" s="60">
        <f t="shared" si="73"/>
        <v>0</v>
      </c>
      <c r="P97" s="60">
        <f>O97*COUNTA($H97:$K97)</f>
        <v>0</v>
      </c>
      <c r="Q97" s="60">
        <f t="shared" si="75"/>
        <v>8</v>
      </c>
      <c r="R97" s="60">
        <f>Q97*COUNTA($H97:$K97)</f>
        <v>8</v>
      </c>
      <c r="S97" s="60">
        <f t="shared" si="77"/>
        <v>40000</v>
      </c>
      <c r="T97" s="60">
        <f>S97*COUNTA($H97:$K97)</f>
        <v>40000</v>
      </c>
      <c r="U97" s="60">
        <f t="shared" si="79"/>
        <v>0</v>
      </c>
      <c r="V97" s="60">
        <f>U97*COUNTA($H97:$K97)</f>
        <v>0</v>
      </c>
      <c r="W97" s="60">
        <f t="shared" si="81"/>
        <v>0</v>
      </c>
      <c r="X97" s="60">
        <f>W97*COUNTA($H97:$K97)</f>
        <v>0</v>
      </c>
      <c r="Y97" s="60">
        <f t="shared" si="83"/>
        <v>0</v>
      </c>
      <c r="Z97" s="60">
        <f>Y97*COUNTA($H97:$K97)</f>
        <v>0</v>
      </c>
      <c r="AA97" s="42"/>
      <c r="AB97" s="42"/>
      <c r="AC97" s="60">
        <f t="shared" si="85"/>
        <v>0</v>
      </c>
      <c r="AD97" s="60">
        <f>AC97*COUNTA($H97:$K97)</f>
        <v>0</v>
      </c>
      <c r="AE97" s="42"/>
      <c r="AF97" s="42"/>
      <c r="AG97" s="60">
        <f t="shared" si="88"/>
        <v>5</v>
      </c>
      <c r="AH97" s="60">
        <f>AG97*COUNTA($H97:$K97)</f>
        <v>5</v>
      </c>
    </row>
    <row r="98" spans="2:56" x14ac:dyDescent="0.15">
      <c r="B98" s="79" t="str">
        <f t="shared" si="62"/>
        <v/>
      </c>
      <c r="C98" s="85"/>
      <c r="D98" s="75">
        <f>INDEX(节奏总纲!$AM$4:$AM$83,$F98)</f>
        <v>0.75</v>
      </c>
      <c r="E98" s="75">
        <f>求节点(节奏总纲!$P$4:$P$163,节奏总纲!$O$4:$O$163,$D98)</f>
        <v>8.071211008105136</v>
      </c>
      <c r="F98" s="40">
        <v>10</v>
      </c>
      <c r="G98" s="85"/>
      <c r="H98" s="71" t="s">
        <v>606</v>
      </c>
      <c r="I98" s="63"/>
      <c r="J98" s="63"/>
      <c r="K98" s="63"/>
      <c r="M98" s="60">
        <f t="shared" si="71"/>
        <v>30</v>
      </c>
      <c r="N98" s="60">
        <f>M98*COUNTA($H98:$K98)</f>
        <v>30</v>
      </c>
      <c r="O98" s="60">
        <f t="shared" si="73"/>
        <v>0</v>
      </c>
      <c r="P98" s="60">
        <f>O98*COUNTA($H98:$K98)</f>
        <v>0</v>
      </c>
      <c r="Q98" s="60">
        <f t="shared" si="75"/>
        <v>8</v>
      </c>
      <c r="R98" s="60">
        <f>Q98*COUNTA($H98:$K98)</f>
        <v>8</v>
      </c>
      <c r="S98" s="60">
        <f t="shared" si="77"/>
        <v>40000</v>
      </c>
      <c r="T98" s="60">
        <f>S98*COUNTA($H98:$K98)</f>
        <v>40000</v>
      </c>
      <c r="U98" s="60">
        <f t="shared" si="79"/>
        <v>0</v>
      </c>
      <c r="V98" s="60">
        <f>U98*COUNTA($H98:$K98)</f>
        <v>0</v>
      </c>
      <c r="W98" s="60">
        <f t="shared" si="81"/>
        <v>0</v>
      </c>
      <c r="X98" s="60">
        <f>W98*COUNTA($H98:$K98)</f>
        <v>0</v>
      </c>
      <c r="Y98" s="60">
        <f t="shared" si="83"/>
        <v>0</v>
      </c>
      <c r="Z98" s="60">
        <f>Y98*COUNTA($H98:$K98)</f>
        <v>0</v>
      </c>
      <c r="AA98" s="42"/>
      <c r="AB98" s="42"/>
      <c r="AC98" s="60">
        <f t="shared" si="85"/>
        <v>0</v>
      </c>
      <c r="AD98" s="60">
        <f>AC98*COUNTA($H98:$K98)</f>
        <v>0</v>
      </c>
      <c r="AE98" s="42"/>
      <c r="AF98" s="42"/>
      <c r="AG98" s="60">
        <f t="shared" si="88"/>
        <v>5</v>
      </c>
      <c r="AH98" s="60">
        <f>AG98*COUNTA($H98:$K98)</f>
        <v>5</v>
      </c>
    </row>
    <row r="99" spans="2:56" x14ac:dyDescent="0.15">
      <c r="B99" s="79" t="str">
        <f t="shared" si="62"/>
        <v/>
      </c>
      <c r="C99" s="85"/>
      <c r="D99" s="75">
        <f>INDEX(节奏总纲!$AM$4:$AM$83,$F99)</f>
        <v>0.75</v>
      </c>
      <c r="E99" s="75">
        <f>求节点(节奏总纲!$P$4:$P$163,节奏总纲!$O$4:$O$163,$D99)</f>
        <v>8.071211008105136</v>
      </c>
      <c r="F99" s="40">
        <v>10</v>
      </c>
      <c r="G99" s="85"/>
      <c r="H99" s="71"/>
      <c r="I99" s="63" t="s">
        <v>531</v>
      </c>
      <c r="J99" s="63"/>
      <c r="K99" s="63"/>
      <c r="M99" s="60">
        <f t="shared" si="71"/>
        <v>30</v>
      </c>
      <c r="N99" s="60">
        <f>M99*COUNTA($H99:$K99)</f>
        <v>30</v>
      </c>
      <c r="O99" s="60">
        <f t="shared" si="73"/>
        <v>0</v>
      </c>
      <c r="P99" s="60">
        <f>O99*COUNTA($H99:$K99)</f>
        <v>0</v>
      </c>
      <c r="Q99" s="60">
        <f t="shared" si="75"/>
        <v>8</v>
      </c>
      <c r="R99" s="60">
        <f>Q99*COUNTA($H99:$K99)</f>
        <v>8</v>
      </c>
      <c r="S99" s="60">
        <f t="shared" si="77"/>
        <v>40000</v>
      </c>
      <c r="T99" s="60">
        <f>S99*COUNTA($H99:$K99)</f>
        <v>40000</v>
      </c>
      <c r="U99" s="60">
        <f t="shared" si="79"/>
        <v>0</v>
      </c>
      <c r="V99" s="60">
        <f>U99*COUNTA($H99:$K99)</f>
        <v>0</v>
      </c>
      <c r="W99" s="60">
        <f t="shared" si="81"/>
        <v>0</v>
      </c>
      <c r="X99" s="60">
        <f>W99*COUNTA($H99:$K99)</f>
        <v>0</v>
      </c>
      <c r="Y99" s="60">
        <f t="shared" si="83"/>
        <v>0</v>
      </c>
      <c r="Z99" s="60">
        <f>Y99*COUNTA($H99:$K99)</f>
        <v>0</v>
      </c>
      <c r="AA99" s="42"/>
      <c r="AB99" s="42"/>
      <c r="AC99" s="60">
        <f t="shared" si="85"/>
        <v>0</v>
      </c>
      <c r="AD99" s="60">
        <f>AC99*COUNTA($H99:$K99)</f>
        <v>0</v>
      </c>
      <c r="AE99" s="42"/>
      <c r="AF99" s="42"/>
      <c r="AG99" s="60">
        <f t="shared" si="88"/>
        <v>5</v>
      </c>
      <c r="AH99" s="60">
        <f>AG99*COUNTA($H99:$K99)</f>
        <v>5</v>
      </c>
    </row>
    <row r="100" spans="2:56" x14ac:dyDescent="0.15">
      <c r="B100" s="79" t="str">
        <f t="shared" si="62"/>
        <v/>
      </c>
      <c r="C100" s="85"/>
      <c r="D100" s="75">
        <f>INDEX(节奏总纲!$AM$4:$AM$83,$F100)</f>
        <v>0.75</v>
      </c>
      <c r="E100" s="75">
        <f>求节点(节奏总纲!$P$4:$P$163,节奏总纲!$O$4:$O$163,$D100)</f>
        <v>8.071211008105136</v>
      </c>
      <c r="F100" s="40">
        <v>10</v>
      </c>
      <c r="G100" s="85"/>
      <c r="H100" s="65" t="s">
        <v>558</v>
      </c>
      <c r="I100" s="63" t="s">
        <v>560</v>
      </c>
      <c r="J100" s="63"/>
      <c r="K100" s="63"/>
      <c r="M100" s="60">
        <f t="shared" si="71"/>
        <v>30</v>
      </c>
      <c r="N100" s="60">
        <f t="shared" si="72"/>
        <v>60</v>
      </c>
      <c r="O100" s="60">
        <f t="shared" si="73"/>
        <v>0</v>
      </c>
      <c r="P100" s="60">
        <f t="shared" si="74"/>
        <v>0</v>
      </c>
      <c r="Q100" s="60">
        <f t="shared" si="75"/>
        <v>8</v>
      </c>
      <c r="R100" s="60">
        <f t="shared" si="76"/>
        <v>16</v>
      </c>
      <c r="S100" s="60">
        <f t="shared" si="77"/>
        <v>40000</v>
      </c>
      <c r="T100" s="60">
        <f t="shared" si="78"/>
        <v>80000</v>
      </c>
      <c r="U100" s="60">
        <f t="shared" si="79"/>
        <v>0</v>
      </c>
      <c r="V100" s="60">
        <f t="shared" si="80"/>
        <v>0</v>
      </c>
      <c r="W100" s="60">
        <f t="shared" si="81"/>
        <v>0</v>
      </c>
      <c r="X100" s="60">
        <f t="shared" si="82"/>
        <v>0</v>
      </c>
      <c r="Y100" s="60">
        <f t="shared" si="83"/>
        <v>0</v>
      </c>
      <c r="Z100" s="60">
        <f t="shared" si="84"/>
        <v>0</v>
      </c>
      <c r="AA100" s="42"/>
      <c r="AB100" s="42"/>
      <c r="AC100" s="60">
        <f t="shared" si="85"/>
        <v>0</v>
      </c>
      <c r="AD100" s="60">
        <f t="shared" si="86"/>
        <v>0</v>
      </c>
      <c r="AE100" s="42"/>
      <c r="AF100" s="42"/>
      <c r="AG100" s="60">
        <f t="shared" si="88"/>
        <v>5</v>
      </c>
      <c r="AH100" s="60">
        <f t="shared" si="87"/>
        <v>10</v>
      </c>
    </row>
    <row r="101" spans="2:56" x14ac:dyDescent="0.15">
      <c r="B101" s="79" t="str">
        <f t="shared" si="62"/>
        <v/>
      </c>
      <c r="C101" s="85"/>
      <c r="D101" s="75">
        <f>INDEX(节奏总纲!$AM$4:$AM$83,$F101)</f>
        <v>0.75</v>
      </c>
      <c r="E101" s="75">
        <f>求节点(节奏总纲!$P$4:$P$163,节奏总纲!$O$4:$O$163,$D101)</f>
        <v>8.071211008105136</v>
      </c>
      <c r="F101" s="40">
        <v>10</v>
      </c>
      <c r="G101" s="85"/>
      <c r="H101" s="65" t="s">
        <v>351</v>
      </c>
      <c r="I101" s="67" t="s">
        <v>662</v>
      </c>
      <c r="J101" s="63"/>
      <c r="K101" s="63"/>
      <c r="M101" s="60">
        <f t="shared" si="71"/>
        <v>30</v>
      </c>
      <c r="N101" s="60">
        <f t="shared" si="72"/>
        <v>60</v>
      </c>
      <c r="O101" s="60">
        <f t="shared" si="73"/>
        <v>0</v>
      </c>
      <c r="P101" s="60">
        <f t="shared" si="74"/>
        <v>0</v>
      </c>
      <c r="Q101" s="60">
        <f t="shared" si="75"/>
        <v>8</v>
      </c>
      <c r="R101" s="60">
        <f t="shared" si="76"/>
        <v>16</v>
      </c>
      <c r="S101" s="60">
        <f t="shared" si="77"/>
        <v>40000</v>
      </c>
      <c r="T101" s="60">
        <f t="shared" si="78"/>
        <v>80000</v>
      </c>
      <c r="U101" s="60">
        <f t="shared" si="79"/>
        <v>0</v>
      </c>
      <c r="V101" s="60">
        <f t="shared" si="80"/>
        <v>0</v>
      </c>
      <c r="W101" s="60">
        <f t="shared" si="81"/>
        <v>0</v>
      </c>
      <c r="X101" s="60">
        <f t="shared" si="82"/>
        <v>0</v>
      </c>
      <c r="Y101" s="60">
        <f t="shared" si="83"/>
        <v>0</v>
      </c>
      <c r="Z101" s="60">
        <f t="shared" si="84"/>
        <v>0</v>
      </c>
      <c r="AA101" s="42"/>
      <c r="AB101" s="42"/>
      <c r="AC101" s="60">
        <f t="shared" si="85"/>
        <v>0</v>
      </c>
      <c r="AD101" s="60">
        <f t="shared" si="86"/>
        <v>0</v>
      </c>
      <c r="AE101" s="42"/>
      <c r="AF101" s="42"/>
      <c r="AG101" s="60">
        <f t="shared" si="88"/>
        <v>5</v>
      </c>
      <c r="AH101" s="60">
        <f t="shared" si="87"/>
        <v>10</v>
      </c>
    </row>
    <row r="102" spans="2:56" x14ac:dyDescent="0.15">
      <c r="B102" s="79" t="str">
        <f t="shared" si="62"/>
        <v/>
      </c>
      <c r="C102" s="85"/>
      <c r="D102" s="75">
        <f>INDEX(节奏总纲!$AM$4:$AM$83,$F102)</f>
        <v>0.75</v>
      </c>
      <c r="E102" s="75">
        <f>求节点(节奏总纲!$P$4:$P$163,节奏总纲!$O$4:$O$163,$D102)</f>
        <v>8.071211008105136</v>
      </c>
      <c r="F102" s="40">
        <v>10</v>
      </c>
      <c r="G102" s="85"/>
      <c r="H102" s="70" t="s">
        <v>689</v>
      </c>
      <c r="I102" s="69" t="s">
        <v>353</v>
      </c>
      <c r="J102" s="63"/>
      <c r="K102" s="63"/>
      <c r="M102" s="60">
        <f t="shared" si="71"/>
        <v>30</v>
      </c>
      <c r="N102" s="60">
        <f t="shared" si="72"/>
        <v>60</v>
      </c>
      <c r="O102" s="60">
        <f t="shared" si="73"/>
        <v>0</v>
      </c>
      <c r="P102" s="60">
        <f t="shared" si="74"/>
        <v>0</v>
      </c>
      <c r="Q102" s="60">
        <f t="shared" si="75"/>
        <v>8</v>
      </c>
      <c r="R102" s="60">
        <f t="shared" si="76"/>
        <v>16</v>
      </c>
      <c r="S102" s="60">
        <f t="shared" si="77"/>
        <v>40000</v>
      </c>
      <c r="T102" s="60">
        <f t="shared" si="78"/>
        <v>80000</v>
      </c>
      <c r="U102" s="60">
        <f t="shared" si="79"/>
        <v>0</v>
      </c>
      <c r="V102" s="60">
        <f t="shared" si="80"/>
        <v>0</v>
      </c>
      <c r="W102" s="60">
        <f t="shared" si="81"/>
        <v>0</v>
      </c>
      <c r="X102" s="60">
        <f t="shared" si="82"/>
        <v>0</v>
      </c>
      <c r="Y102" s="60">
        <f t="shared" si="83"/>
        <v>0</v>
      </c>
      <c r="Z102" s="60">
        <f t="shared" si="84"/>
        <v>0</v>
      </c>
      <c r="AA102" s="42"/>
      <c r="AB102" s="42"/>
      <c r="AC102" s="60">
        <f t="shared" si="85"/>
        <v>0</v>
      </c>
      <c r="AD102" s="60">
        <f t="shared" si="86"/>
        <v>0</v>
      </c>
      <c r="AE102" s="42"/>
      <c r="AF102" s="42"/>
      <c r="AG102" s="60">
        <f t="shared" si="88"/>
        <v>5</v>
      </c>
      <c r="AH102" s="60">
        <f t="shared" si="87"/>
        <v>10</v>
      </c>
    </row>
    <row r="103" spans="2:56" x14ac:dyDescent="0.15">
      <c r="B103" s="79" t="str">
        <f t="shared" si="62"/>
        <v/>
      </c>
      <c r="C103" s="85"/>
      <c r="D103" s="75">
        <f>INDEX(节奏总纲!$AM$4:$AM$83,$F103)</f>
        <v>0.75</v>
      </c>
      <c r="E103" s="75">
        <f>求节点(节奏总纲!$P$4:$P$163,节奏总纲!$O$4:$O$163,$D103)</f>
        <v>8.071211008105136</v>
      </c>
      <c r="F103" s="40">
        <v>10</v>
      </c>
      <c r="G103" s="86"/>
      <c r="H103" s="65" t="s">
        <v>352</v>
      </c>
      <c r="I103" s="69" t="s">
        <v>629</v>
      </c>
      <c r="J103" s="63"/>
      <c r="K103" s="63"/>
      <c r="M103" s="60">
        <f t="shared" si="71"/>
        <v>30</v>
      </c>
      <c r="N103" s="60">
        <f t="shared" si="72"/>
        <v>60</v>
      </c>
      <c r="O103" s="60">
        <f t="shared" si="73"/>
        <v>0</v>
      </c>
      <c r="P103" s="60">
        <f t="shared" si="74"/>
        <v>0</v>
      </c>
      <c r="Q103" s="60">
        <f t="shared" si="75"/>
        <v>8</v>
      </c>
      <c r="R103" s="60">
        <f t="shared" si="76"/>
        <v>16</v>
      </c>
      <c r="S103" s="60">
        <f t="shared" si="77"/>
        <v>40000</v>
      </c>
      <c r="T103" s="60">
        <f t="shared" si="78"/>
        <v>80000</v>
      </c>
      <c r="U103" s="60">
        <f t="shared" si="79"/>
        <v>0</v>
      </c>
      <c r="V103" s="60">
        <f t="shared" si="80"/>
        <v>0</v>
      </c>
      <c r="W103" s="60">
        <f t="shared" si="81"/>
        <v>0</v>
      </c>
      <c r="X103" s="60">
        <f t="shared" si="82"/>
        <v>0</v>
      </c>
      <c r="Y103" s="60">
        <f t="shared" si="83"/>
        <v>0</v>
      </c>
      <c r="Z103" s="60">
        <f t="shared" si="84"/>
        <v>0</v>
      </c>
      <c r="AA103" s="42"/>
      <c r="AB103" s="42"/>
      <c r="AC103" s="60">
        <f t="shared" si="85"/>
        <v>0</v>
      </c>
      <c r="AD103" s="60">
        <f t="shared" si="86"/>
        <v>0</v>
      </c>
      <c r="AE103" s="42"/>
      <c r="AF103" s="42"/>
      <c r="AG103" s="60">
        <f t="shared" si="88"/>
        <v>5</v>
      </c>
      <c r="AH103" s="60">
        <f t="shared" si="87"/>
        <v>10</v>
      </c>
    </row>
    <row r="104" spans="2:56" x14ac:dyDescent="0.15">
      <c r="B104" s="79">
        <f t="shared" si="62"/>
        <v>6</v>
      </c>
      <c r="C104" s="85"/>
      <c r="D104" s="75">
        <f>INDEX(节奏总纲!$AM$4:$AM$83,$F104)</f>
        <v>0.93464628919691628</v>
      </c>
      <c r="E104" s="75">
        <f>求节点(节奏总纲!$P$4:$P$163,节奏总纲!$O$4:$O$163,$D104)</f>
        <v>9.5120454660969038</v>
      </c>
      <c r="F104" s="40">
        <v>11</v>
      </c>
      <c r="G104" s="85">
        <v>6</v>
      </c>
      <c r="H104" s="65" t="s">
        <v>399</v>
      </c>
      <c r="I104" s="69"/>
      <c r="J104" s="63"/>
      <c r="K104" s="63"/>
      <c r="M104" s="60">
        <f t="shared" si="71"/>
        <v>40</v>
      </c>
      <c r="N104" s="60">
        <f t="shared" si="72"/>
        <v>40</v>
      </c>
      <c r="O104" s="60">
        <f t="shared" si="73"/>
        <v>0</v>
      </c>
      <c r="P104" s="60">
        <f t="shared" si="74"/>
        <v>0</v>
      </c>
      <c r="Q104" s="60">
        <f t="shared" si="75"/>
        <v>9</v>
      </c>
      <c r="R104" s="60">
        <f t="shared" si="76"/>
        <v>9</v>
      </c>
      <c r="S104" s="60">
        <f t="shared" si="77"/>
        <v>40000</v>
      </c>
      <c r="T104" s="60">
        <f t="shared" si="78"/>
        <v>40000</v>
      </c>
      <c r="U104" s="60">
        <f t="shared" si="79"/>
        <v>0</v>
      </c>
      <c r="V104" s="60">
        <f t="shared" si="80"/>
        <v>0</v>
      </c>
      <c r="W104" s="60">
        <f t="shared" si="81"/>
        <v>0</v>
      </c>
      <c r="X104" s="60">
        <f t="shared" si="82"/>
        <v>0</v>
      </c>
      <c r="Y104" s="60">
        <f t="shared" si="83"/>
        <v>0</v>
      </c>
      <c r="Z104" s="60">
        <f t="shared" si="84"/>
        <v>0</v>
      </c>
      <c r="AA104" s="42"/>
      <c r="AB104" s="42"/>
      <c r="AC104" s="60">
        <f t="shared" si="85"/>
        <v>0</v>
      </c>
      <c r="AD104" s="60">
        <f t="shared" si="86"/>
        <v>0</v>
      </c>
      <c r="AE104" s="42"/>
      <c r="AF104" s="42"/>
      <c r="AG104" s="60">
        <f t="shared" si="88"/>
        <v>5</v>
      </c>
      <c r="AH104" s="60">
        <f t="shared" si="87"/>
        <v>5</v>
      </c>
    </row>
    <row r="105" spans="2:56" x14ac:dyDescent="0.15">
      <c r="B105" s="79" t="str">
        <f t="shared" si="62"/>
        <v/>
      </c>
      <c r="C105" s="85"/>
      <c r="D105" s="75">
        <f>INDEX(节奏总纲!$AM$4:$AM$83,$F105)</f>
        <v>0.93464628919691628</v>
      </c>
      <c r="E105" s="75">
        <f>求节点(节奏总纲!$P$4:$P$163,节奏总纲!$O$4:$O$163,$D105)</f>
        <v>9.5120454660969038</v>
      </c>
      <c r="F105" s="40">
        <v>11</v>
      </c>
      <c r="G105" s="85"/>
      <c r="H105" s="65" t="s">
        <v>649</v>
      </c>
      <c r="I105" s="69"/>
      <c r="J105" s="63"/>
      <c r="K105" s="63"/>
      <c r="M105" s="60">
        <f t="shared" si="71"/>
        <v>40</v>
      </c>
      <c r="N105" s="60">
        <f t="shared" si="72"/>
        <v>40</v>
      </c>
      <c r="O105" s="60">
        <f t="shared" si="73"/>
        <v>0</v>
      </c>
      <c r="P105" s="60">
        <f t="shared" si="74"/>
        <v>0</v>
      </c>
      <c r="Q105" s="60">
        <f t="shared" si="75"/>
        <v>9</v>
      </c>
      <c r="R105" s="60">
        <f t="shared" si="76"/>
        <v>9</v>
      </c>
      <c r="S105" s="60">
        <f t="shared" si="77"/>
        <v>40000</v>
      </c>
      <c r="T105" s="60">
        <f t="shared" si="78"/>
        <v>40000</v>
      </c>
      <c r="U105" s="60">
        <f t="shared" si="79"/>
        <v>0</v>
      </c>
      <c r="V105" s="60">
        <f t="shared" si="80"/>
        <v>0</v>
      </c>
      <c r="W105" s="60">
        <f t="shared" si="81"/>
        <v>0</v>
      </c>
      <c r="X105" s="60">
        <f t="shared" si="82"/>
        <v>0</v>
      </c>
      <c r="Y105" s="60">
        <f t="shared" si="83"/>
        <v>0</v>
      </c>
      <c r="Z105" s="60">
        <f t="shared" si="84"/>
        <v>0</v>
      </c>
      <c r="AA105" s="42"/>
      <c r="AB105" s="42"/>
      <c r="AC105" s="60">
        <f t="shared" si="85"/>
        <v>0</v>
      </c>
      <c r="AD105" s="60">
        <f t="shared" si="86"/>
        <v>0</v>
      </c>
      <c r="AE105" s="42"/>
      <c r="AF105" s="42"/>
      <c r="AG105" s="60">
        <f t="shared" si="88"/>
        <v>5</v>
      </c>
      <c r="AH105" s="60">
        <f t="shared" si="87"/>
        <v>5</v>
      </c>
    </row>
    <row r="106" spans="2:56" x14ac:dyDescent="0.15">
      <c r="B106" s="79" t="str">
        <f t="shared" si="62"/>
        <v/>
      </c>
      <c r="C106" s="85"/>
      <c r="D106" s="75">
        <f>INDEX(节奏总纲!$AM$4:$AM$83,$F106)</f>
        <v>0.93464628919691628</v>
      </c>
      <c r="E106" s="75">
        <f>求节点(节奏总纲!$P$4:$P$163,节奏总纲!$O$4:$O$163,$D106)</f>
        <v>9.5120454660969038</v>
      </c>
      <c r="F106" s="40">
        <v>11</v>
      </c>
      <c r="G106" s="85"/>
      <c r="H106" s="65" t="s">
        <v>648</v>
      </c>
      <c r="I106" s="69"/>
      <c r="J106" s="63"/>
      <c r="K106" s="63"/>
      <c r="M106" s="60">
        <f t="shared" si="71"/>
        <v>40</v>
      </c>
      <c r="N106" s="60">
        <f t="shared" si="72"/>
        <v>40</v>
      </c>
      <c r="O106" s="60">
        <f t="shared" si="73"/>
        <v>0</v>
      </c>
      <c r="P106" s="60">
        <f t="shared" si="74"/>
        <v>0</v>
      </c>
      <c r="Q106" s="60">
        <f t="shared" si="75"/>
        <v>9</v>
      </c>
      <c r="R106" s="60">
        <f t="shared" si="76"/>
        <v>9</v>
      </c>
      <c r="S106" s="60">
        <f t="shared" si="77"/>
        <v>40000</v>
      </c>
      <c r="T106" s="60">
        <f t="shared" si="78"/>
        <v>40000</v>
      </c>
      <c r="U106" s="60">
        <f t="shared" si="79"/>
        <v>0</v>
      </c>
      <c r="V106" s="60">
        <f t="shared" si="80"/>
        <v>0</v>
      </c>
      <c r="W106" s="60">
        <f t="shared" si="81"/>
        <v>0</v>
      </c>
      <c r="X106" s="60">
        <f t="shared" si="82"/>
        <v>0</v>
      </c>
      <c r="Y106" s="60">
        <f t="shared" si="83"/>
        <v>0</v>
      </c>
      <c r="Z106" s="60">
        <f t="shared" si="84"/>
        <v>0</v>
      </c>
      <c r="AA106" s="42"/>
      <c r="AB106" s="42"/>
      <c r="AC106" s="60">
        <f t="shared" si="85"/>
        <v>0</v>
      </c>
      <c r="AD106" s="60">
        <f t="shared" si="86"/>
        <v>0</v>
      </c>
      <c r="AE106" s="42"/>
      <c r="AF106" s="42"/>
      <c r="AG106" s="60">
        <f t="shared" si="88"/>
        <v>5</v>
      </c>
      <c r="AH106" s="60">
        <f t="shared" si="87"/>
        <v>5</v>
      </c>
    </row>
    <row r="107" spans="2:56" x14ac:dyDescent="0.15">
      <c r="B107" s="79" t="str">
        <f t="shared" si="62"/>
        <v/>
      </c>
      <c r="C107" s="85"/>
      <c r="D107" s="75">
        <f>INDEX(节奏总纲!$AM$4:$AM$83,$F107)</f>
        <v>0.93464628919691628</v>
      </c>
      <c r="E107" s="75">
        <f>求节点(节奏总纲!$P$4:$P$163,节奏总纲!$O$4:$O$163,$D107)</f>
        <v>9.5120454660969038</v>
      </c>
      <c r="F107" s="40">
        <v>11</v>
      </c>
      <c r="G107" s="85"/>
      <c r="H107" s="70" t="s">
        <v>690</v>
      </c>
      <c r="I107" s="69" t="s">
        <v>354</v>
      </c>
      <c r="J107" s="63"/>
      <c r="K107" s="63"/>
      <c r="M107" s="60">
        <f t="shared" si="71"/>
        <v>40</v>
      </c>
      <c r="N107" s="60">
        <f t="shared" si="72"/>
        <v>80</v>
      </c>
      <c r="O107" s="60">
        <f t="shared" si="73"/>
        <v>0</v>
      </c>
      <c r="P107" s="60">
        <f t="shared" si="74"/>
        <v>0</v>
      </c>
      <c r="Q107" s="60">
        <f t="shared" si="75"/>
        <v>9</v>
      </c>
      <c r="R107" s="60">
        <f t="shared" si="76"/>
        <v>18</v>
      </c>
      <c r="S107" s="60">
        <f t="shared" si="77"/>
        <v>40000</v>
      </c>
      <c r="T107" s="60">
        <f t="shared" si="78"/>
        <v>80000</v>
      </c>
      <c r="U107" s="60">
        <f t="shared" si="79"/>
        <v>0</v>
      </c>
      <c r="V107" s="60">
        <f t="shared" si="80"/>
        <v>0</v>
      </c>
      <c r="W107" s="60">
        <f t="shared" si="81"/>
        <v>0</v>
      </c>
      <c r="X107" s="60">
        <f t="shared" si="82"/>
        <v>0</v>
      </c>
      <c r="Y107" s="60">
        <f t="shared" si="83"/>
        <v>0</v>
      </c>
      <c r="Z107" s="60">
        <f t="shared" si="84"/>
        <v>0</v>
      </c>
      <c r="AA107" s="42"/>
      <c r="AB107" s="42"/>
      <c r="AC107" s="60">
        <f t="shared" si="85"/>
        <v>0</v>
      </c>
      <c r="AD107" s="60">
        <f t="shared" si="86"/>
        <v>0</v>
      </c>
      <c r="AE107" s="42"/>
      <c r="AF107" s="42"/>
      <c r="AG107" s="60">
        <f t="shared" si="88"/>
        <v>5</v>
      </c>
      <c r="AH107" s="60">
        <f t="shared" si="87"/>
        <v>10</v>
      </c>
    </row>
    <row r="108" spans="2:56" x14ac:dyDescent="0.15">
      <c r="B108" s="79" t="str">
        <f t="shared" si="62"/>
        <v/>
      </c>
      <c r="C108" s="85"/>
      <c r="D108" s="75">
        <f>INDEX(节奏总纲!$AM$4:$AM$83,$F108)</f>
        <v>0.93464628919691628</v>
      </c>
      <c r="E108" s="75">
        <f>求节点(节奏总纲!$P$4:$P$163,节奏总纲!$O$4:$O$163,$D108)</f>
        <v>9.5120454660969038</v>
      </c>
      <c r="F108" s="40">
        <v>11</v>
      </c>
      <c r="G108" s="85"/>
      <c r="H108" s="70" t="s">
        <v>544</v>
      </c>
      <c r="I108" s="69"/>
      <c r="J108" s="63"/>
      <c r="K108" s="63"/>
      <c r="M108" s="60">
        <f t="shared" si="71"/>
        <v>40</v>
      </c>
      <c r="N108" s="60">
        <f t="shared" si="72"/>
        <v>40</v>
      </c>
      <c r="O108" s="60">
        <f t="shared" si="73"/>
        <v>0</v>
      </c>
      <c r="P108" s="60">
        <f t="shared" si="74"/>
        <v>0</v>
      </c>
      <c r="Q108" s="60">
        <f t="shared" si="75"/>
        <v>9</v>
      </c>
      <c r="R108" s="60">
        <f t="shared" si="76"/>
        <v>9</v>
      </c>
      <c r="S108" s="60">
        <f t="shared" si="77"/>
        <v>40000</v>
      </c>
      <c r="T108" s="60">
        <f t="shared" si="78"/>
        <v>40000</v>
      </c>
      <c r="U108" s="60">
        <f t="shared" si="79"/>
        <v>0</v>
      </c>
      <c r="V108" s="60">
        <f t="shared" si="80"/>
        <v>0</v>
      </c>
      <c r="W108" s="60">
        <f t="shared" si="81"/>
        <v>0</v>
      </c>
      <c r="X108" s="60">
        <f t="shared" si="82"/>
        <v>0</v>
      </c>
      <c r="Y108" s="60">
        <f t="shared" si="83"/>
        <v>0</v>
      </c>
      <c r="Z108" s="60">
        <f t="shared" si="84"/>
        <v>0</v>
      </c>
      <c r="AA108" s="42"/>
      <c r="AB108" s="42"/>
      <c r="AC108" s="60">
        <f t="shared" si="85"/>
        <v>0</v>
      </c>
      <c r="AD108" s="60">
        <f t="shared" si="86"/>
        <v>0</v>
      </c>
      <c r="AE108" s="42"/>
      <c r="AF108" s="42"/>
      <c r="AG108" s="60">
        <f t="shared" si="88"/>
        <v>5</v>
      </c>
      <c r="AH108" s="60">
        <f t="shared" si="87"/>
        <v>5</v>
      </c>
    </row>
    <row r="109" spans="2:56" x14ac:dyDescent="0.15">
      <c r="B109" s="79">
        <f t="shared" si="62"/>
        <v>9</v>
      </c>
      <c r="C109" s="85"/>
      <c r="D109" s="75">
        <f>INDEX(节奏总纲!$AM$4:$AM$83,$F109)</f>
        <v>1.1550685436347259</v>
      </c>
      <c r="E109" s="75">
        <f>求节点(节奏总纲!$P$4:$P$163,节奏总纲!$O$4:$O$163,$D109)</f>
        <v>11.074888753130331</v>
      </c>
      <c r="F109" s="40">
        <v>12</v>
      </c>
      <c r="G109" s="85">
        <v>7</v>
      </c>
      <c r="H109" s="63" t="s">
        <v>400</v>
      </c>
      <c r="I109" s="69"/>
      <c r="J109" s="63"/>
      <c r="K109" s="63"/>
      <c r="M109" s="60">
        <f t="shared" si="71"/>
        <v>40</v>
      </c>
      <c r="N109" s="60">
        <f t="shared" si="72"/>
        <v>40</v>
      </c>
      <c r="O109" s="60">
        <f t="shared" si="73"/>
        <v>0</v>
      </c>
      <c r="P109" s="60">
        <f t="shared" si="74"/>
        <v>0</v>
      </c>
      <c r="Q109" s="60">
        <f t="shared" si="75"/>
        <v>9</v>
      </c>
      <c r="R109" s="60">
        <f t="shared" si="76"/>
        <v>9</v>
      </c>
      <c r="S109" s="60">
        <f t="shared" si="77"/>
        <v>50000</v>
      </c>
      <c r="T109" s="60">
        <f t="shared" si="78"/>
        <v>50000</v>
      </c>
      <c r="U109" s="60">
        <f t="shared" si="79"/>
        <v>0</v>
      </c>
      <c r="V109" s="60">
        <f t="shared" si="80"/>
        <v>0</v>
      </c>
      <c r="W109" s="60">
        <f t="shared" si="81"/>
        <v>0</v>
      </c>
      <c r="X109" s="60">
        <f t="shared" si="82"/>
        <v>0</v>
      </c>
      <c r="Y109" s="60">
        <f t="shared" si="83"/>
        <v>0</v>
      </c>
      <c r="Z109" s="60">
        <f t="shared" si="84"/>
        <v>0</v>
      </c>
      <c r="AA109" s="42"/>
      <c r="AB109" s="42"/>
      <c r="AC109" s="60">
        <f t="shared" si="85"/>
        <v>0</v>
      </c>
      <c r="AD109" s="60">
        <f t="shared" si="86"/>
        <v>0</v>
      </c>
      <c r="AE109" s="42"/>
      <c r="AF109" s="42"/>
      <c r="AG109" s="60">
        <f t="shared" si="88"/>
        <v>5</v>
      </c>
      <c r="AH109" s="60">
        <f t="shared" si="87"/>
        <v>5</v>
      </c>
    </row>
    <row r="110" spans="2:56" x14ac:dyDescent="0.15">
      <c r="B110" s="79" t="str">
        <f t="shared" si="62"/>
        <v/>
      </c>
      <c r="C110" s="85"/>
      <c r="D110" s="75">
        <f>INDEX(节奏总纲!$AM$4:$AM$83,$F110)</f>
        <v>1.1550685436347259</v>
      </c>
      <c r="E110" s="75">
        <f>求节点(节奏总纲!$P$4:$P$163,节奏总纲!$O$4:$O$163,$D110)</f>
        <v>11.074888753130331</v>
      </c>
      <c r="F110" s="40">
        <v>12</v>
      </c>
      <c r="G110" s="85"/>
      <c r="H110" s="65" t="s">
        <v>407</v>
      </c>
      <c r="I110" s="69" t="s">
        <v>551</v>
      </c>
      <c r="J110" s="63"/>
      <c r="K110" s="63"/>
      <c r="M110" s="60">
        <f t="shared" si="71"/>
        <v>40</v>
      </c>
      <c r="N110" s="60">
        <f t="shared" si="72"/>
        <v>80</v>
      </c>
      <c r="O110" s="60">
        <f t="shared" si="73"/>
        <v>0</v>
      </c>
      <c r="P110" s="60">
        <f t="shared" si="74"/>
        <v>0</v>
      </c>
      <c r="Q110" s="60">
        <f t="shared" si="75"/>
        <v>9</v>
      </c>
      <c r="R110" s="60">
        <f t="shared" si="76"/>
        <v>18</v>
      </c>
      <c r="S110" s="60">
        <f t="shared" si="77"/>
        <v>50000</v>
      </c>
      <c r="T110" s="60">
        <f t="shared" si="78"/>
        <v>100000</v>
      </c>
      <c r="U110" s="60">
        <f t="shared" si="79"/>
        <v>0</v>
      </c>
      <c r="V110" s="60">
        <f t="shared" si="80"/>
        <v>0</v>
      </c>
      <c r="W110" s="60">
        <f t="shared" si="81"/>
        <v>0</v>
      </c>
      <c r="X110" s="60">
        <f t="shared" si="82"/>
        <v>0</v>
      </c>
      <c r="Y110" s="60">
        <f t="shared" si="83"/>
        <v>0</v>
      </c>
      <c r="Z110" s="60">
        <f t="shared" si="84"/>
        <v>0</v>
      </c>
      <c r="AA110" s="42"/>
      <c r="AB110" s="42"/>
      <c r="AC110" s="60">
        <f t="shared" si="85"/>
        <v>0</v>
      </c>
      <c r="AD110" s="60">
        <f t="shared" si="86"/>
        <v>0</v>
      </c>
      <c r="AE110" s="42"/>
      <c r="AF110" s="42"/>
      <c r="AG110" s="60">
        <f t="shared" si="88"/>
        <v>5</v>
      </c>
      <c r="AH110" s="60">
        <f t="shared" si="87"/>
        <v>10</v>
      </c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3"/>
      <c r="AX110" s="43"/>
      <c r="AY110" s="43"/>
      <c r="AZ110" s="43"/>
      <c r="BA110" s="43"/>
      <c r="BB110" s="43"/>
      <c r="BC110" s="43"/>
      <c r="BD110" s="43"/>
    </row>
    <row r="111" spans="2:56" x14ac:dyDescent="0.15">
      <c r="B111" s="79" t="str">
        <f t="shared" si="62"/>
        <v/>
      </c>
      <c r="C111" s="85"/>
      <c r="D111" s="75">
        <f>INDEX(节奏总纲!$AM$4:$AM$83,$F111)</f>
        <v>1.1550685436347259</v>
      </c>
      <c r="E111" s="75">
        <f>求节点(节奏总纲!$P$4:$P$163,节奏总纲!$O$4:$O$163,$D111)</f>
        <v>11.074888753130331</v>
      </c>
      <c r="F111" s="40">
        <v>12</v>
      </c>
      <c r="G111" s="85"/>
      <c r="H111" s="65" t="s">
        <v>653</v>
      </c>
      <c r="I111" s="69" t="s">
        <v>532</v>
      </c>
      <c r="J111" s="63"/>
      <c r="K111" s="63"/>
      <c r="M111" s="60">
        <f t="shared" si="71"/>
        <v>40</v>
      </c>
      <c r="N111" s="60">
        <f t="shared" si="72"/>
        <v>80</v>
      </c>
      <c r="O111" s="60">
        <f t="shared" si="73"/>
        <v>0</v>
      </c>
      <c r="P111" s="60">
        <f t="shared" si="74"/>
        <v>0</v>
      </c>
      <c r="Q111" s="60">
        <f t="shared" si="75"/>
        <v>9</v>
      </c>
      <c r="R111" s="60">
        <f t="shared" si="76"/>
        <v>18</v>
      </c>
      <c r="S111" s="60">
        <f t="shared" si="77"/>
        <v>50000</v>
      </c>
      <c r="T111" s="60">
        <f t="shared" si="78"/>
        <v>100000</v>
      </c>
      <c r="U111" s="60">
        <f t="shared" si="79"/>
        <v>0</v>
      </c>
      <c r="V111" s="60">
        <f t="shared" si="80"/>
        <v>0</v>
      </c>
      <c r="W111" s="60">
        <f t="shared" si="81"/>
        <v>0</v>
      </c>
      <c r="X111" s="60">
        <f t="shared" si="82"/>
        <v>0</v>
      </c>
      <c r="Y111" s="60">
        <f t="shared" si="83"/>
        <v>0</v>
      </c>
      <c r="Z111" s="60">
        <f t="shared" si="84"/>
        <v>0</v>
      </c>
      <c r="AA111" s="42"/>
      <c r="AB111" s="42"/>
      <c r="AC111" s="60">
        <f t="shared" si="85"/>
        <v>0</v>
      </c>
      <c r="AD111" s="60">
        <f t="shared" si="86"/>
        <v>0</v>
      </c>
      <c r="AE111" s="42"/>
      <c r="AF111" s="42"/>
      <c r="AG111" s="60">
        <f t="shared" si="88"/>
        <v>5</v>
      </c>
      <c r="AH111" s="60">
        <f t="shared" si="87"/>
        <v>10</v>
      </c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3"/>
      <c r="AX111" s="43"/>
      <c r="AY111" s="43"/>
      <c r="AZ111" s="43"/>
      <c r="BA111" s="43"/>
      <c r="BB111" s="43"/>
      <c r="BC111" s="43"/>
      <c r="BD111" s="43"/>
    </row>
    <row r="112" spans="2:56" x14ac:dyDescent="0.15">
      <c r="B112" s="79" t="str">
        <f t="shared" si="62"/>
        <v/>
      </c>
      <c r="C112" s="85"/>
      <c r="D112" s="75">
        <f>INDEX(节奏总纲!$AM$4:$AM$83,$F112)</f>
        <v>1.1550685436347259</v>
      </c>
      <c r="E112" s="75">
        <f>求节点(节奏总纲!$P$4:$P$163,节奏总纲!$O$4:$O$163,$D112)</f>
        <v>11.074888753130331</v>
      </c>
      <c r="F112" s="40">
        <v>12</v>
      </c>
      <c r="G112" s="85"/>
      <c r="H112" s="70" t="s">
        <v>691</v>
      </c>
      <c r="I112" s="69" t="s">
        <v>533</v>
      </c>
      <c r="J112" s="63"/>
      <c r="K112" s="63"/>
      <c r="M112" s="60">
        <f t="shared" si="71"/>
        <v>40</v>
      </c>
      <c r="N112" s="60">
        <f t="shared" si="72"/>
        <v>80</v>
      </c>
      <c r="O112" s="60">
        <f t="shared" si="73"/>
        <v>0</v>
      </c>
      <c r="P112" s="60">
        <f t="shared" si="74"/>
        <v>0</v>
      </c>
      <c r="Q112" s="60">
        <f t="shared" si="75"/>
        <v>9</v>
      </c>
      <c r="R112" s="60">
        <f t="shared" si="76"/>
        <v>18</v>
      </c>
      <c r="S112" s="60">
        <f t="shared" si="77"/>
        <v>50000</v>
      </c>
      <c r="T112" s="60">
        <f t="shared" si="78"/>
        <v>100000</v>
      </c>
      <c r="U112" s="60">
        <f t="shared" si="79"/>
        <v>0</v>
      </c>
      <c r="V112" s="60">
        <f t="shared" si="80"/>
        <v>0</v>
      </c>
      <c r="W112" s="60">
        <f t="shared" si="81"/>
        <v>0</v>
      </c>
      <c r="X112" s="60">
        <f t="shared" si="82"/>
        <v>0</v>
      </c>
      <c r="Y112" s="60">
        <f t="shared" si="83"/>
        <v>0</v>
      </c>
      <c r="Z112" s="60">
        <f t="shared" si="84"/>
        <v>0</v>
      </c>
      <c r="AA112" s="42"/>
      <c r="AB112" s="42"/>
      <c r="AC112" s="60">
        <f t="shared" si="85"/>
        <v>0</v>
      </c>
      <c r="AD112" s="60">
        <f t="shared" si="86"/>
        <v>0</v>
      </c>
      <c r="AE112" s="42"/>
      <c r="AF112" s="42"/>
      <c r="AG112" s="60">
        <f t="shared" si="88"/>
        <v>5</v>
      </c>
      <c r="AH112" s="60">
        <f t="shared" si="87"/>
        <v>10</v>
      </c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3"/>
      <c r="AX112" s="43"/>
      <c r="AY112" s="43"/>
      <c r="AZ112" s="43"/>
      <c r="BA112" s="43"/>
      <c r="BB112" s="43"/>
      <c r="BC112" s="43"/>
      <c r="BD112" s="43"/>
    </row>
    <row r="113" spans="2:58" x14ac:dyDescent="0.15">
      <c r="B113" s="79" t="str">
        <f t="shared" si="62"/>
        <v/>
      </c>
      <c r="C113" s="85"/>
      <c r="D113" s="75">
        <f>INDEX(节奏总纲!$AM$4:$AM$83,$F113)</f>
        <v>1.1550685436347259</v>
      </c>
      <c r="E113" s="75">
        <f>求节点(节奏总纲!$P$4:$P$163,节奏总纲!$O$4:$O$163,$D113)</f>
        <v>11.074888753130331</v>
      </c>
      <c r="F113" s="40">
        <v>12</v>
      </c>
      <c r="G113" s="85"/>
      <c r="H113" s="70" t="s">
        <v>588</v>
      </c>
      <c r="I113" s="69" t="s">
        <v>534</v>
      </c>
      <c r="J113" s="63"/>
      <c r="K113" s="63"/>
      <c r="M113" s="60">
        <f t="shared" si="71"/>
        <v>40</v>
      </c>
      <c r="N113" s="60">
        <f t="shared" si="72"/>
        <v>80</v>
      </c>
      <c r="O113" s="60">
        <f t="shared" si="73"/>
        <v>0</v>
      </c>
      <c r="P113" s="60">
        <f t="shared" si="74"/>
        <v>0</v>
      </c>
      <c r="Q113" s="60">
        <f t="shared" si="75"/>
        <v>9</v>
      </c>
      <c r="R113" s="60">
        <f t="shared" si="76"/>
        <v>18</v>
      </c>
      <c r="S113" s="60">
        <f t="shared" si="77"/>
        <v>50000</v>
      </c>
      <c r="T113" s="60">
        <f t="shared" si="78"/>
        <v>100000</v>
      </c>
      <c r="U113" s="60">
        <f t="shared" si="79"/>
        <v>0</v>
      </c>
      <c r="V113" s="60">
        <f t="shared" si="80"/>
        <v>0</v>
      </c>
      <c r="W113" s="60">
        <f t="shared" si="81"/>
        <v>0</v>
      </c>
      <c r="X113" s="60">
        <f t="shared" si="82"/>
        <v>0</v>
      </c>
      <c r="Y113" s="60">
        <f t="shared" si="83"/>
        <v>0</v>
      </c>
      <c r="Z113" s="60">
        <f t="shared" si="84"/>
        <v>0</v>
      </c>
      <c r="AA113" s="42"/>
      <c r="AB113" s="42"/>
      <c r="AC113" s="60">
        <f t="shared" si="85"/>
        <v>0</v>
      </c>
      <c r="AD113" s="60">
        <f t="shared" si="86"/>
        <v>0</v>
      </c>
      <c r="AE113" s="42"/>
      <c r="AF113" s="42"/>
      <c r="AG113" s="60">
        <f t="shared" si="88"/>
        <v>5</v>
      </c>
      <c r="AH113" s="60">
        <f t="shared" si="87"/>
        <v>10</v>
      </c>
    </row>
    <row r="114" spans="2:58" x14ac:dyDescent="0.15">
      <c r="B114" s="79">
        <f t="shared" si="62"/>
        <v>7</v>
      </c>
      <c r="C114" s="85"/>
      <c r="D114" s="75">
        <f>INDEX(节奏总纲!$AM$4:$AM$83,$F114)</f>
        <v>1.417602554491646</v>
      </c>
      <c r="E114" s="75">
        <f>求节点(节奏总纲!$P$4:$P$163,节奏总纲!$O$4:$O$163,$D114)</f>
        <v>12.728996915718925</v>
      </c>
      <c r="F114" s="40">
        <v>13</v>
      </c>
      <c r="G114" s="85">
        <v>8</v>
      </c>
      <c r="H114" s="63" t="s">
        <v>401</v>
      </c>
      <c r="I114" s="69"/>
      <c r="J114" s="63"/>
      <c r="K114" s="63"/>
      <c r="M114" s="60">
        <f t="shared" si="71"/>
        <v>40</v>
      </c>
      <c r="N114" s="60">
        <f t="shared" si="72"/>
        <v>40</v>
      </c>
      <c r="O114" s="60">
        <f t="shared" si="73"/>
        <v>0</v>
      </c>
      <c r="P114" s="60">
        <f t="shared" si="74"/>
        <v>0</v>
      </c>
      <c r="Q114" s="60">
        <f t="shared" si="75"/>
        <v>10</v>
      </c>
      <c r="R114" s="60">
        <f t="shared" si="76"/>
        <v>10</v>
      </c>
      <c r="S114" s="60">
        <f t="shared" si="77"/>
        <v>50000</v>
      </c>
      <c r="T114" s="60">
        <f t="shared" si="78"/>
        <v>50000</v>
      </c>
      <c r="U114" s="60">
        <f t="shared" si="79"/>
        <v>0</v>
      </c>
      <c r="V114" s="60">
        <f t="shared" si="80"/>
        <v>0</v>
      </c>
      <c r="W114" s="60">
        <f t="shared" si="81"/>
        <v>0</v>
      </c>
      <c r="X114" s="60">
        <f t="shared" si="82"/>
        <v>0</v>
      </c>
      <c r="Y114" s="60">
        <f t="shared" si="83"/>
        <v>0</v>
      </c>
      <c r="Z114" s="60">
        <f t="shared" si="84"/>
        <v>0</v>
      </c>
      <c r="AA114" s="42"/>
      <c r="AB114" s="42"/>
      <c r="AC114" s="60">
        <f t="shared" si="85"/>
        <v>0</v>
      </c>
      <c r="AD114" s="60">
        <f t="shared" si="86"/>
        <v>0</v>
      </c>
      <c r="AE114" s="42"/>
      <c r="AF114" s="42"/>
      <c r="AG114" s="60">
        <f t="shared" si="88"/>
        <v>5</v>
      </c>
      <c r="AH114" s="60">
        <f t="shared" si="87"/>
        <v>5</v>
      </c>
      <c r="BE114" s="43"/>
    </row>
    <row r="115" spans="2:58" x14ac:dyDescent="0.15">
      <c r="B115" s="79" t="str">
        <f t="shared" si="62"/>
        <v/>
      </c>
      <c r="C115" s="85"/>
      <c r="D115" s="75">
        <f>INDEX(节奏总纲!$AM$4:$AM$83,$F115)</f>
        <v>1.417602554491646</v>
      </c>
      <c r="E115" s="75">
        <f>求节点(节奏总纲!$P$4:$P$163,节奏总纲!$O$4:$O$163,$D115)</f>
        <v>12.728996915718925</v>
      </c>
      <c r="F115" s="40">
        <v>13</v>
      </c>
      <c r="G115" s="85"/>
      <c r="H115" s="63" t="s">
        <v>416</v>
      </c>
      <c r="I115" s="69" t="s">
        <v>674</v>
      </c>
      <c r="J115" s="63"/>
      <c r="K115" s="63"/>
      <c r="M115" s="60">
        <f t="shared" si="71"/>
        <v>40</v>
      </c>
      <c r="N115" s="60">
        <f t="shared" si="72"/>
        <v>80</v>
      </c>
      <c r="O115" s="60">
        <f t="shared" si="73"/>
        <v>0</v>
      </c>
      <c r="P115" s="60">
        <f t="shared" si="74"/>
        <v>0</v>
      </c>
      <c r="Q115" s="60">
        <f t="shared" si="75"/>
        <v>10</v>
      </c>
      <c r="R115" s="60">
        <f t="shared" si="76"/>
        <v>20</v>
      </c>
      <c r="S115" s="60">
        <f t="shared" si="77"/>
        <v>50000</v>
      </c>
      <c r="T115" s="60">
        <f t="shared" si="78"/>
        <v>100000</v>
      </c>
      <c r="U115" s="60">
        <f t="shared" si="79"/>
        <v>0</v>
      </c>
      <c r="V115" s="60">
        <f t="shared" si="80"/>
        <v>0</v>
      </c>
      <c r="W115" s="60">
        <f t="shared" si="81"/>
        <v>0</v>
      </c>
      <c r="X115" s="60">
        <f t="shared" si="82"/>
        <v>0</v>
      </c>
      <c r="Y115" s="60">
        <f t="shared" si="83"/>
        <v>0</v>
      </c>
      <c r="Z115" s="60">
        <f t="shared" si="84"/>
        <v>0</v>
      </c>
      <c r="AA115" s="42"/>
      <c r="AB115" s="42"/>
      <c r="AC115" s="60">
        <f t="shared" si="85"/>
        <v>0</v>
      </c>
      <c r="AD115" s="60">
        <f t="shared" si="86"/>
        <v>0</v>
      </c>
      <c r="AE115" s="42"/>
      <c r="AF115" s="42"/>
      <c r="AG115" s="60">
        <f t="shared" si="88"/>
        <v>5</v>
      </c>
      <c r="AH115" s="60">
        <f t="shared" si="87"/>
        <v>10</v>
      </c>
      <c r="BE115" s="43"/>
    </row>
    <row r="116" spans="2:58" x14ac:dyDescent="0.15">
      <c r="B116" s="79" t="str">
        <f t="shared" si="62"/>
        <v/>
      </c>
      <c r="C116" s="85"/>
      <c r="D116" s="75">
        <f>INDEX(节奏总纲!$AM$4:$AM$83,$F116)</f>
        <v>1.417602554491646</v>
      </c>
      <c r="E116" s="75">
        <f>求节点(节奏总纲!$P$4:$P$163,节奏总纲!$O$4:$O$163,$D116)</f>
        <v>12.728996915718925</v>
      </c>
      <c r="F116" s="40">
        <v>13</v>
      </c>
      <c r="G116" s="85"/>
      <c r="H116" s="70" t="s">
        <v>692</v>
      </c>
      <c r="I116" s="69" t="s">
        <v>656</v>
      </c>
      <c r="J116" s="63"/>
      <c r="K116" s="63"/>
      <c r="M116" s="60">
        <f t="shared" si="71"/>
        <v>40</v>
      </c>
      <c r="N116" s="60">
        <f t="shared" si="72"/>
        <v>80</v>
      </c>
      <c r="O116" s="60">
        <f t="shared" si="73"/>
        <v>0</v>
      </c>
      <c r="P116" s="60">
        <f t="shared" si="74"/>
        <v>0</v>
      </c>
      <c r="Q116" s="60">
        <f t="shared" si="75"/>
        <v>10</v>
      </c>
      <c r="R116" s="60">
        <f t="shared" si="76"/>
        <v>20</v>
      </c>
      <c r="S116" s="60">
        <f t="shared" si="77"/>
        <v>50000</v>
      </c>
      <c r="T116" s="60">
        <f t="shared" si="78"/>
        <v>100000</v>
      </c>
      <c r="U116" s="60">
        <f t="shared" si="79"/>
        <v>0</v>
      </c>
      <c r="V116" s="60">
        <f t="shared" si="80"/>
        <v>0</v>
      </c>
      <c r="W116" s="60">
        <f t="shared" si="81"/>
        <v>0</v>
      </c>
      <c r="X116" s="60">
        <f t="shared" si="82"/>
        <v>0</v>
      </c>
      <c r="Y116" s="60">
        <f t="shared" si="83"/>
        <v>0</v>
      </c>
      <c r="Z116" s="60">
        <f t="shared" si="84"/>
        <v>0</v>
      </c>
      <c r="AA116" s="42"/>
      <c r="AB116" s="42"/>
      <c r="AC116" s="60">
        <f t="shared" si="85"/>
        <v>0</v>
      </c>
      <c r="AD116" s="60">
        <f t="shared" si="86"/>
        <v>0</v>
      </c>
      <c r="AE116" s="42"/>
      <c r="AF116" s="42"/>
      <c r="AG116" s="60">
        <f t="shared" si="88"/>
        <v>5</v>
      </c>
      <c r="AH116" s="60">
        <f t="shared" si="87"/>
        <v>10</v>
      </c>
      <c r="BE116" s="43"/>
    </row>
    <row r="117" spans="2:58" x14ac:dyDescent="0.15">
      <c r="B117" s="79" t="str">
        <f t="shared" si="62"/>
        <v/>
      </c>
      <c r="C117" s="85"/>
      <c r="D117" s="75">
        <f>INDEX(节奏总纲!$AM$4:$AM$83,$F117)</f>
        <v>1.417602554491646</v>
      </c>
      <c r="E117" s="75">
        <f>求节点(节奏总纲!$P$4:$P$163,节奏总纲!$O$4:$O$163,$D117)</f>
        <v>12.728996915718925</v>
      </c>
      <c r="F117" s="40">
        <v>13</v>
      </c>
      <c r="G117" s="85"/>
      <c r="H117" s="70" t="s">
        <v>402</v>
      </c>
      <c r="I117" s="69"/>
      <c r="J117" s="63"/>
      <c r="K117" s="63"/>
      <c r="M117" s="60">
        <f t="shared" si="71"/>
        <v>40</v>
      </c>
      <c r="N117" s="60">
        <f t="shared" si="72"/>
        <v>40</v>
      </c>
      <c r="O117" s="60">
        <f t="shared" si="73"/>
        <v>0</v>
      </c>
      <c r="P117" s="60">
        <f t="shared" si="74"/>
        <v>0</v>
      </c>
      <c r="Q117" s="60">
        <f t="shared" si="75"/>
        <v>10</v>
      </c>
      <c r="R117" s="60">
        <f t="shared" si="76"/>
        <v>10</v>
      </c>
      <c r="S117" s="60">
        <f t="shared" si="77"/>
        <v>50000</v>
      </c>
      <c r="T117" s="60">
        <f t="shared" si="78"/>
        <v>50000</v>
      </c>
      <c r="U117" s="60">
        <f t="shared" si="79"/>
        <v>0</v>
      </c>
      <c r="V117" s="60">
        <f t="shared" si="80"/>
        <v>0</v>
      </c>
      <c r="W117" s="60">
        <f t="shared" si="81"/>
        <v>0</v>
      </c>
      <c r="X117" s="60">
        <f t="shared" si="82"/>
        <v>0</v>
      </c>
      <c r="Y117" s="60">
        <f t="shared" si="83"/>
        <v>0</v>
      </c>
      <c r="Z117" s="60">
        <f t="shared" si="84"/>
        <v>0</v>
      </c>
      <c r="AA117" s="42"/>
      <c r="AB117" s="42"/>
      <c r="AC117" s="60">
        <f t="shared" si="85"/>
        <v>0</v>
      </c>
      <c r="AD117" s="60">
        <f t="shared" si="86"/>
        <v>0</v>
      </c>
      <c r="AE117" s="42"/>
      <c r="AF117" s="42"/>
      <c r="AG117" s="60">
        <f t="shared" si="88"/>
        <v>5</v>
      </c>
      <c r="AH117" s="60">
        <f t="shared" si="87"/>
        <v>5</v>
      </c>
      <c r="BF117" s="42"/>
    </row>
    <row r="118" spans="2:58" s="42" customFormat="1" x14ac:dyDescent="0.15">
      <c r="B118" s="79" t="str">
        <f t="shared" si="62"/>
        <v/>
      </c>
      <c r="C118" s="85"/>
      <c r="D118" s="75">
        <f>INDEX(节奏总纲!$AM$4:$AM$83,$F118)</f>
        <v>1.417602554491646</v>
      </c>
      <c r="E118" s="75">
        <f>求节点(节奏总纲!$P$4:$P$163,节奏总纲!$O$4:$O$163,$D118)</f>
        <v>12.728996915718925</v>
      </c>
      <c r="F118" s="42">
        <v>13</v>
      </c>
      <c r="G118" s="85"/>
      <c r="H118" s="65"/>
      <c r="I118" s="69"/>
      <c r="J118" s="63"/>
      <c r="K118" s="63"/>
      <c r="M118" s="60">
        <f t="shared" si="71"/>
        <v>40</v>
      </c>
      <c r="N118" s="60">
        <f t="shared" si="72"/>
        <v>0</v>
      </c>
      <c r="O118" s="60">
        <f t="shared" si="73"/>
        <v>0</v>
      </c>
      <c r="P118" s="60">
        <f t="shared" si="74"/>
        <v>0</v>
      </c>
      <c r="Q118" s="60">
        <f t="shared" si="75"/>
        <v>10</v>
      </c>
      <c r="R118" s="60">
        <f t="shared" si="76"/>
        <v>0</v>
      </c>
      <c r="S118" s="60">
        <f t="shared" si="77"/>
        <v>50000</v>
      </c>
      <c r="T118" s="60">
        <f t="shared" si="78"/>
        <v>0</v>
      </c>
      <c r="U118" s="60">
        <f t="shared" si="79"/>
        <v>0</v>
      </c>
      <c r="V118" s="60">
        <f t="shared" si="80"/>
        <v>0</v>
      </c>
      <c r="W118" s="60">
        <f t="shared" si="81"/>
        <v>0</v>
      </c>
      <c r="X118" s="60">
        <f t="shared" si="82"/>
        <v>0</v>
      </c>
      <c r="Y118" s="60">
        <f t="shared" si="83"/>
        <v>0</v>
      </c>
      <c r="Z118" s="60">
        <f t="shared" si="84"/>
        <v>0</v>
      </c>
      <c r="AC118" s="60">
        <f t="shared" si="85"/>
        <v>0</v>
      </c>
      <c r="AD118" s="60">
        <f t="shared" si="86"/>
        <v>0</v>
      </c>
      <c r="AG118" s="60">
        <f t="shared" si="88"/>
        <v>5</v>
      </c>
      <c r="AH118" s="60">
        <f t="shared" si="87"/>
        <v>0</v>
      </c>
      <c r="AJ118" s="22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35"/>
      <c r="AX118" s="35"/>
      <c r="AY118" s="35"/>
      <c r="AZ118" s="35"/>
      <c r="BA118" s="35"/>
      <c r="BB118" s="35"/>
      <c r="BC118" s="35"/>
      <c r="BD118" s="35"/>
      <c r="BE118" s="35"/>
    </row>
    <row r="119" spans="2:58" s="42" customFormat="1" x14ac:dyDescent="0.15">
      <c r="B119" s="79" t="str">
        <f t="shared" si="62"/>
        <v/>
      </c>
      <c r="C119" s="85"/>
      <c r="D119" s="75">
        <f>INDEX(节奏总纲!$AM$4:$AM$83,$F119)</f>
        <v>1.417602554491646</v>
      </c>
      <c r="E119" s="75">
        <f>求节点(节奏总纲!$P$4:$P$163,节奏总纲!$O$4:$O$163,$D119)</f>
        <v>12.728996915718925</v>
      </c>
      <c r="F119" s="42">
        <v>13</v>
      </c>
      <c r="G119" s="85"/>
      <c r="H119" s="63" t="s">
        <v>355</v>
      </c>
      <c r="I119" s="69"/>
      <c r="J119" s="63"/>
      <c r="K119" s="63"/>
      <c r="M119" s="60">
        <f t="shared" si="71"/>
        <v>40</v>
      </c>
      <c r="N119" s="60">
        <f>M119*COUNTA($H119:$K119)</f>
        <v>40</v>
      </c>
      <c r="O119" s="60">
        <f t="shared" si="73"/>
        <v>0</v>
      </c>
      <c r="P119" s="60">
        <f>O119*COUNTA($H119:$K119)</f>
        <v>0</v>
      </c>
      <c r="Q119" s="60">
        <f t="shared" si="75"/>
        <v>10</v>
      </c>
      <c r="R119" s="60">
        <f>Q119*COUNTA($H119:$K119)</f>
        <v>10</v>
      </c>
      <c r="S119" s="60">
        <f t="shared" si="77"/>
        <v>50000</v>
      </c>
      <c r="T119" s="60">
        <f>S119*COUNTA($H119:$K119)</f>
        <v>50000</v>
      </c>
      <c r="U119" s="60">
        <f t="shared" si="79"/>
        <v>0</v>
      </c>
      <c r="V119" s="60">
        <f>U119*COUNTA($H119:$K119)</f>
        <v>0</v>
      </c>
      <c r="W119" s="60">
        <f t="shared" si="81"/>
        <v>0</v>
      </c>
      <c r="X119" s="60">
        <f>W119*COUNTA($H119:$K119)</f>
        <v>0</v>
      </c>
      <c r="Y119" s="60">
        <f t="shared" si="83"/>
        <v>0</v>
      </c>
      <c r="Z119" s="60">
        <f>Y119*COUNTA($H119:$K119)</f>
        <v>0</v>
      </c>
      <c r="AC119" s="60">
        <f t="shared" si="85"/>
        <v>0</v>
      </c>
      <c r="AD119" s="60">
        <f>AC119*COUNTA($H119:$K119)</f>
        <v>0</v>
      </c>
      <c r="AG119" s="60">
        <f t="shared" si="88"/>
        <v>5</v>
      </c>
      <c r="AH119" s="60">
        <f>AG119*COUNTA($H119:$K119)</f>
        <v>5</v>
      </c>
      <c r="AJ119" s="22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35"/>
      <c r="AX119" s="35"/>
      <c r="AY119" s="35"/>
      <c r="AZ119" s="35"/>
      <c r="BA119" s="35"/>
      <c r="BB119" s="35"/>
      <c r="BC119" s="35"/>
      <c r="BD119" s="35"/>
      <c r="BE119" s="35"/>
    </row>
    <row r="120" spans="2:58" s="42" customFormat="1" x14ac:dyDescent="0.15">
      <c r="B120" s="79" t="str">
        <f t="shared" si="62"/>
        <v/>
      </c>
      <c r="C120" s="85"/>
      <c r="D120" s="75">
        <f>INDEX(节奏总纲!$AM$4:$AM$83,$F120)</f>
        <v>1.417602554491646</v>
      </c>
      <c r="E120" s="75">
        <f>求节点(节奏总纲!$P$4:$P$163,节奏总纲!$O$4:$O$163,$D120)</f>
        <v>12.728996915718925</v>
      </c>
      <c r="F120" s="42">
        <v>13</v>
      </c>
      <c r="G120" s="85"/>
      <c r="H120" s="63"/>
      <c r="I120" s="69"/>
      <c r="J120" s="63"/>
      <c r="K120" s="63"/>
      <c r="M120" s="60">
        <f t="shared" si="71"/>
        <v>40</v>
      </c>
      <c r="N120" s="60">
        <f t="shared" si="72"/>
        <v>0</v>
      </c>
      <c r="O120" s="60">
        <f t="shared" si="73"/>
        <v>0</v>
      </c>
      <c r="P120" s="60">
        <f t="shared" si="74"/>
        <v>0</v>
      </c>
      <c r="Q120" s="60">
        <f t="shared" si="75"/>
        <v>10</v>
      </c>
      <c r="R120" s="60">
        <f t="shared" si="76"/>
        <v>0</v>
      </c>
      <c r="S120" s="60">
        <f t="shared" si="77"/>
        <v>50000</v>
      </c>
      <c r="T120" s="60">
        <f t="shared" si="78"/>
        <v>0</v>
      </c>
      <c r="U120" s="60">
        <f t="shared" si="79"/>
        <v>0</v>
      </c>
      <c r="V120" s="60">
        <f t="shared" si="80"/>
        <v>0</v>
      </c>
      <c r="W120" s="60">
        <f t="shared" si="81"/>
        <v>0</v>
      </c>
      <c r="X120" s="60">
        <f t="shared" si="82"/>
        <v>0</v>
      </c>
      <c r="Y120" s="60">
        <f t="shared" si="83"/>
        <v>0</v>
      </c>
      <c r="Z120" s="60">
        <f t="shared" si="84"/>
        <v>0</v>
      </c>
      <c r="AC120" s="60">
        <f t="shared" si="85"/>
        <v>0</v>
      </c>
      <c r="AD120" s="60">
        <f t="shared" si="86"/>
        <v>0</v>
      </c>
      <c r="AG120" s="60">
        <f t="shared" si="88"/>
        <v>5</v>
      </c>
      <c r="AH120" s="60">
        <f t="shared" si="87"/>
        <v>0</v>
      </c>
      <c r="AJ120" s="22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35"/>
      <c r="AX120" s="35"/>
      <c r="AY120" s="35"/>
      <c r="AZ120" s="35"/>
      <c r="BA120" s="35"/>
      <c r="BB120" s="35"/>
      <c r="BC120" s="35"/>
      <c r="BD120" s="35"/>
      <c r="BE120" s="35"/>
      <c r="BF120" s="19"/>
    </row>
    <row r="121" spans="2:58" x14ac:dyDescent="0.15">
      <c r="B121" s="79">
        <f t="shared" si="62"/>
        <v>3</v>
      </c>
      <c r="C121" s="85"/>
      <c r="D121" s="75">
        <f>INDEX(节奏总纲!$AM$4:$AM$83,$F121)</f>
        <v>1.7296773068470075</v>
      </c>
      <c r="E121" s="75">
        <f>求节点(节奏总纲!$P$4:$P$163,节奏总纲!$O$4:$O$163,$D121)</f>
        <v>14.478648759442287</v>
      </c>
      <c r="F121" s="40">
        <v>14</v>
      </c>
      <c r="G121" s="85">
        <v>9</v>
      </c>
      <c r="H121" s="63" t="s">
        <v>403</v>
      </c>
      <c r="I121" s="69"/>
      <c r="J121" s="63"/>
      <c r="K121" s="63"/>
      <c r="M121" s="60">
        <f t="shared" si="71"/>
        <v>40</v>
      </c>
      <c r="N121" s="60">
        <f t="shared" si="72"/>
        <v>40</v>
      </c>
      <c r="O121" s="60">
        <f t="shared" si="73"/>
        <v>0</v>
      </c>
      <c r="P121" s="60">
        <f t="shared" si="74"/>
        <v>0</v>
      </c>
      <c r="Q121" s="60">
        <f t="shared" si="75"/>
        <v>10</v>
      </c>
      <c r="R121" s="60">
        <f t="shared" si="76"/>
        <v>10</v>
      </c>
      <c r="S121" s="60">
        <f t="shared" si="77"/>
        <v>60000</v>
      </c>
      <c r="T121" s="60">
        <f t="shared" si="78"/>
        <v>60000</v>
      </c>
      <c r="U121" s="60">
        <f t="shared" si="79"/>
        <v>0</v>
      </c>
      <c r="V121" s="60">
        <f t="shared" si="80"/>
        <v>0</v>
      </c>
      <c r="W121" s="60">
        <f t="shared" si="81"/>
        <v>0</v>
      </c>
      <c r="X121" s="60">
        <f t="shared" si="82"/>
        <v>0</v>
      </c>
      <c r="Y121" s="60">
        <f t="shared" si="83"/>
        <v>0</v>
      </c>
      <c r="Z121" s="60">
        <f t="shared" si="84"/>
        <v>0</v>
      </c>
      <c r="AA121" s="42"/>
      <c r="AB121" s="42"/>
      <c r="AC121" s="60">
        <f t="shared" si="85"/>
        <v>0</v>
      </c>
      <c r="AD121" s="60">
        <f t="shared" si="86"/>
        <v>0</v>
      </c>
      <c r="AE121" s="42"/>
      <c r="AF121" s="42"/>
      <c r="AG121" s="60">
        <f t="shared" si="88"/>
        <v>5</v>
      </c>
      <c r="AH121" s="60">
        <f t="shared" si="87"/>
        <v>5</v>
      </c>
    </row>
    <row r="122" spans="2:58" x14ac:dyDescent="0.15">
      <c r="B122" s="79" t="str">
        <f t="shared" si="62"/>
        <v/>
      </c>
      <c r="C122" s="85"/>
      <c r="D122" s="75">
        <f>INDEX(节奏总纲!$AM$4:$AM$83,$F122)</f>
        <v>1.7296773068470075</v>
      </c>
      <c r="E122" s="75">
        <f>求节点(节奏总纲!$P$4:$P$163,节奏总纲!$O$4:$O$163,$D122)</f>
        <v>14.478648759442287</v>
      </c>
      <c r="F122" s="40">
        <v>14</v>
      </c>
      <c r="G122" s="85"/>
      <c r="H122" s="63" t="s">
        <v>427</v>
      </c>
      <c r="I122" s="69"/>
      <c r="J122" s="63"/>
      <c r="K122" s="63"/>
      <c r="M122" s="60">
        <f t="shared" si="71"/>
        <v>40</v>
      </c>
      <c r="N122" s="60">
        <f t="shared" si="72"/>
        <v>40</v>
      </c>
      <c r="O122" s="60">
        <f t="shared" si="73"/>
        <v>0</v>
      </c>
      <c r="P122" s="60">
        <f t="shared" si="74"/>
        <v>0</v>
      </c>
      <c r="Q122" s="60">
        <f t="shared" si="75"/>
        <v>10</v>
      </c>
      <c r="R122" s="60">
        <f t="shared" si="76"/>
        <v>10</v>
      </c>
      <c r="S122" s="60">
        <f t="shared" si="77"/>
        <v>60000</v>
      </c>
      <c r="T122" s="60">
        <f t="shared" si="78"/>
        <v>60000</v>
      </c>
      <c r="U122" s="60">
        <f t="shared" si="79"/>
        <v>0</v>
      </c>
      <c r="V122" s="60">
        <f t="shared" si="80"/>
        <v>0</v>
      </c>
      <c r="W122" s="60">
        <f t="shared" si="81"/>
        <v>0</v>
      </c>
      <c r="X122" s="60">
        <f t="shared" si="82"/>
        <v>0</v>
      </c>
      <c r="Y122" s="60">
        <f t="shared" si="83"/>
        <v>0</v>
      </c>
      <c r="Z122" s="60">
        <f t="shared" si="84"/>
        <v>0</v>
      </c>
      <c r="AA122" s="42"/>
      <c r="AB122" s="42"/>
      <c r="AC122" s="60">
        <f t="shared" si="85"/>
        <v>0</v>
      </c>
      <c r="AD122" s="60">
        <f t="shared" si="86"/>
        <v>0</v>
      </c>
      <c r="AE122" s="42"/>
      <c r="AF122" s="42"/>
      <c r="AG122" s="60">
        <f t="shared" si="88"/>
        <v>5</v>
      </c>
      <c r="AH122" s="60">
        <f t="shared" si="87"/>
        <v>5</v>
      </c>
    </row>
    <row r="123" spans="2:58" x14ac:dyDescent="0.15">
      <c r="B123" s="79" t="str">
        <f t="shared" si="62"/>
        <v/>
      </c>
      <c r="C123" s="85"/>
      <c r="D123" s="75">
        <f>INDEX(节奏总纲!$AM$4:$AM$83,$F123)</f>
        <v>1.7296773068470075</v>
      </c>
      <c r="E123" s="75">
        <f>求节点(节奏总纲!$P$4:$P$163,节奏总纲!$O$4:$O$163,$D123)</f>
        <v>14.478648759442287</v>
      </c>
      <c r="F123" s="40">
        <v>14</v>
      </c>
      <c r="G123" s="85"/>
      <c r="H123" s="66" t="s">
        <v>404</v>
      </c>
      <c r="I123" s="69"/>
      <c r="J123" s="63"/>
      <c r="K123" s="63"/>
      <c r="M123" s="60">
        <f t="shared" si="71"/>
        <v>40</v>
      </c>
      <c r="N123" s="60">
        <f t="shared" si="72"/>
        <v>40</v>
      </c>
      <c r="O123" s="60">
        <f t="shared" si="73"/>
        <v>0</v>
      </c>
      <c r="P123" s="60">
        <f t="shared" si="74"/>
        <v>0</v>
      </c>
      <c r="Q123" s="60">
        <f t="shared" si="75"/>
        <v>10</v>
      </c>
      <c r="R123" s="60">
        <f t="shared" si="76"/>
        <v>10</v>
      </c>
      <c r="S123" s="60">
        <f t="shared" si="77"/>
        <v>60000</v>
      </c>
      <c r="T123" s="60">
        <f t="shared" si="78"/>
        <v>60000</v>
      </c>
      <c r="U123" s="60">
        <f t="shared" si="79"/>
        <v>0</v>
      </c>
      <c r="V123" s="60">
        <f t="shared" si="80"/>
        <v>0</v>
      </c>
      <c r="W123" s="60">
        <f t="shared" si="81"/>
        <v>0</v>
      </c>
      <c r="X123" s="60">
        <f t="shared" si="82"/>
        <v>0</v>
      </c>
      <c r="Y123" s="60">
        <f t="shared" si="83"/>
        <v>0</v>
      </c>
      <c r="Z123" s="60">
        <f t="shared" si="84"/>
        <v>0</v>
      </c>
      <c r="AA123" s="42"/>
      <c r="AB123" s="42"/>
      <c r="AC123" s="60">
        <f t="shared" si="85"/>
        <v>0</v>
      </c>
      <c r="AD123" s="60">
        <f t="shared" si="86"/>
        <v>0</v>
      </c>
      <c r="AE123" s="42"/>
      <c r="AF123" s="42"/>
      <c r="AG123" s="60">
        <f t="shared" si="88"/>
        <v>5</v>
      </c>
      <c r="AH123" s="60">
        <f t="shared" si="87"/>
        <v>5</v>
      </c>
    </row>
    <row r="124" spans="2:58" x14ac:dyDescent="0.15">
      <c r="B124" s="79" t="str">
        <f t="shared" si="62"/>
        <v/>
      </c>
      <c r="C124" s="85"/>
      <c r="D124" s="75">
        <f>INDEX(节奏总纲!$AM$4:$AM$83,$F124)</f>
        <v>1.7296773068470075</v>
      </c>
      <c r="E124" s="75">
        <f>求节点(节奏总纲!$P$4:$P$163,节奏总纲!$O$4:$O$163,$D124)</f>
        <v>14.478648759442287</v>
      </c>
      <c r="F124" s="40">
        <v>14</v>
      </c>
      <c r="G124" s="85"/>
      <c r="H124" s="66"/>
      <c r="I124" s="69"/>
      <c r="J124" s="63"/>
      <c r="K124" s="63"/>
      <c r="M124" s="60">
        <f t="shared" si="71"/>
        <v>40</v>
      </c>
      <c r="N124" s="60">
        <f t="shared" si="72"/>
        <v>0</v>
      </c>
      <c r="O124" s="60">
        <f t="shared" si="73"/>
        <v>0</v>
      </c>
      <c r="P124" s="60">
        <f t="shared" si="74"/>
        <v>0</v>
      </c>
      <c r="Q124" s="60">
        <f t="shared" si="75"/>
        <v>10</v>
      </c>
      <c r="R124" s="60">
        <f t="shared" si="76"/>
        <v>0</v>
      </c>
      <c r="S124" s="60">
        <f t="shared" si="77"/>
        <v>60000</v>
      </c>
      <c r="T124" s="60">
        <f t="shared" si="78"/>
        <v>0</v>
      </c>
      <c r="U124" s="60">
        <f t="shared" si="79"/>
        <v>0</v>
      </c>
      <c r="V124" s="60">
        <f t="shared" si="80"/>
        <v>0</v>
      </c>
      <c r="W124" s="60">
        <f t="shared" si="81"/>
        <v>0</v>
      </c>
      <c r="X124" s="60">
        <f t="shared" si="82"/>
        <v>0</v>
      </c>
      <c r="Y124" s="60">
        <f t="shared" si="83"/>
        <v>0</v>
      </c>
      <c r="Z124" s="60">
        <f t="shared" si="84"/>
        <v>0</v>
      </c>
      <c r="AA124" s="51"/>
      <c r="AB124" s="51"/>
      <c r="AC124" s="60">
        <f t="shared" si="85"/>
        <v>0</v>
      </c>
      <c r="AD124" s="60">
        <f t="shared" si="86"/>
        <v>0</v>
      </c>
      <c r="AE124" s="51"/>
      <c r="AF124" s="51"/>
      <c r="AG124" s="60">
        <f t="shared" si="88"/>
        <v>5</v>
      </c>
      <c r="AH124" s="60">
        <f t="shared" si="87"/>
        <v>0</v>
      </c>
    </row>
    <row r="125" spans="2:58" x14ac:dyDescent="0.15">
      <c r="B125" s="79">
        <f t="shared" si="62"/>
        <v>10</v>
      </c>
      <c r="C125" s="85"/>
      <c r="D125" s="75">
        <f>INDEX(节奏总纲!$AM$4:$AM$83,$F125)</f>
        <v>2.1</v>
      </c>
      <c r="E125" s="75">
        <f>求节点(节奏总纲!$P$4:$P$163,节奏总纲!$O$4:$O$163,$D125)</f>
        <v>16.315139190025224</v>
      </c>
      <c r="F125" s="40">
        <v>15</v>
      </c>
      <c r="G125" s="85">
        <v>10</v>
      </c>
      <c r="H125" s="66" t="s">
        <v>405</v>
      </c>
      <c r="I125" s="69" t="s">
        <v>617</v>
      </c>
      <c r="J125" s="63"/>
      <c r="K125" s="63"/>
      <c r="M125" s="60">
        <f t="shared" si="71"/>
        <v>40</v>
      </c>
      <c r="N125" s="60">
        <f t="shared" si="72"/>
        <v>80</v>
      </c>
      <c r="O125" s="60">
        <f t="shared" si="73"/>
        <v>0</v>
      </c>
      <c r="P125" s="60">
        <f t="shared" si="74"/>
        <v>0</v>
      </c>
      <c r="Q125" s="60">
        <f t="shared" si="75"/>
        <v>10</v>
      </c>
      <c r="R125" s="60">
        <f t="shared" si="76"/>
        <v>20</v>
      </c>
      <c r="S125" s="60">
        <f t="shared" si="77"/>
        <v>70000</v>
      </c>
      <c r="T125" s="60">
        <f t="shared" si="78"/>
        <v>140000</v>
      </c>
      <c r="U125" s="60">
        <f t="shared" si="79"/>
        <v>0</v>
      </c>
      <c r="V125" s="60">
        <f t="shared" si="80"/>
        <v>0</v>
      </c>
      <c r="W125" s="60">
        <f t="shared" si="81"/>
        <v>0</v>
      </c>
      <c r="X125" s="60">
        <f t="shared" si="82"/>
        <v>0</v>
      </c>
      <c r="Y125" s="60">
        <f t="shared" si="83"/>
        <v>0</v>
      </c>
      <c r="Z125" s="60">
        <f t="shared" si="84"/>
        <v>0</v>
      </c>
      <c r="AA125" s="51"/>
      <c r="AB125" s="51"/>
      <c r="AC125" s="60">
        <f t="shared" si="85"/>
        <v>0</v>
      </c>
      <c r="AD125" s="60">
        <f t="shared" si="86"/>
        <v>0</v>
      </c>
      <c r="AE125" s="51"/>
      <c r="AF125" s="51"/>
      <c r="AG125" s="60">
        <f t="shared" si="88"/>
        <v>5</v>
      </c>
      <c r="AH125" s="60">
        <f t="shared" si="87"/>
        <v>10</v>
      </c>
    </row>
    <row r="126" spans="2:58" x14ac:dyDescent="0.15">
      <c r="B126" s="79" t="str">
        <f t="shared" si="62"/>
        <v/>
      </c>
      <c r="C126" s="85"/>
      <c r="D126" s="75">
        <f>INDEX(节奏总纲!$AM$4:$AM$83,$F126)</f>
        <v>2.1</v>
      </c>
      <c r="E126" s="75">
        <f>求节点(节奏总纲!$P$4:$P$163,节奏总纲!$O$4:$O$163,$D126)</f>
        <v>16.315139190025224</v>
      </c>
      <c r="F126" s="40">
        <v>15</v>
      </c>
      <c r="G126" s="85"/>
      <c r="H126" s="66" t="s">
        <v>615</v>
      </c>
      <c r="I126" s="69" t="s">
        <v>663</v>
      </c>
      <c r="J126" s="63"/>
      <c r="K126" s="63"/>
      <c r="M126" s="60">
        <f t="shared" si="71"/>
        <v>40</v>
      </c>
      <c r="N126" s="60">
        <f t="shared" si="72"/>
        <v>80</v>
      </c>
      <c r="O126" s="60">
        <f t="shared" si="73"/>
        <v>0</v>
      </c>
      <c r="P126" s="60">
        <f t="shared" si="74"/>
        <v>0</v>
      </c>
      <c r="Q126" s="60">
        <f t="shared" si="75"/>
        <v>10</v>
      </c>
      <c r="R126" s="60">
        <f t="shared" si="76"/>
        <v>20</v>
      </c>
      <c r="S126" s="60">
        <f t="shared" si="77"/>
        <v>70000</v>
      </c>
      <c r="T126" s="60">
        <f t="shared" si="78"/>
        <v>140000</v>
      </c>
      <c r="U126" s="60">
        <f t="shared" si="79"/>
        <v>0</v>
      </c>
      <c r="V126" s="60">
        <f t="shared" si="80"/>
        <v>0</v>
      </c>
      <c r="W126" s="60">
        <f t="shared" si="81"/>
        <v>0</v>
      </c>
      <c r="X126" s="60">
        <f t="shared" si="82"/>
        <v>0</v>
      </c>
      <c r="Y126" s="60">
        <f t="shared" si="83"/>
        <v>0</v>
      </c>
      <c r="Z126" s="60">
        <f t="shared" si="84"/>
        <v>0</v>
      </c>
      <c r="AA126" s="51"/>
      <c r="AB126" s="51"/>
      <c r="AC126" s="60">
        <f t="shared" si="85"/>
        <v>0</v>
      </c>
      <c r="AD126" s="60">
        <f t="shared" si="86"/>
        <v>0</v>
      </c>
      <c r="AE126" s="51"/>
      <c r="AF126" s="51"/>
      <c r="AG126" s="60">
        <f t="shared" si="88"/>
        <v>5</v>
      </c>
      <c r="AH126" s="60">
        <f t="shared" si="87"/>
        <v>10</v>
      </c>
    </row>
    <row r="127" spans="2:58" x14ac:dyDescent="0.15">
      <c r="B127" s="79" t="str">
        <f t="shared" si="62"/>
        <v/>
      </c>
      <c r="C127" s="85"/>
      <c r="D127" s="75">
        <f>INDEX(节奏总纲!$AM$4:$AM$83,$F127)</f>
        <v>2.1</v>
      </c>
      <c r="E127" s="75">
        <f>求节点(节奏总纲!$P$4:$P$163,节奏总纲!$O$4:$O$163,$D127)</f>
        <v>16.315139190025224</v>
      </c>
      <c r="F127" s="40">
        <v>15</v>
      </c>
      <c r="G127" s="85"/>
      <c r="H127" s="66" t="s">
        <v>376</v>
      </c>
      <c r="I127" s="69"/>
      <c r="J127" s="63"/>
      <c r="K127" s="63"/>
      <c r="M127" s="60">
        <f t="shared" si="71"/>
        <v>40</v>
      </c>
      <c r="N127" s="60">
        <f t="shared" si="72"/>
        <v>40</v>
      </c>
      <c r="O127" s="60">
        <f t="shared" si="73"/>
        <v>0</v>
      </c>
      <c r="P127" s="60">
        <f t="shared" si="74"/>
        <v>0</v>
      </c>
      <c r="Q127" s="60">
        <f t="shared" si="75"/>
        <v>10</v>
      </c>
      <c r="R127" s="60">
        <f t="shared" si="76"/>
        <v>10</v>
      </c>
      <c r="S127" s="60">
        <f t="shared" si="77"/>
        <v>70000</v>
      </c>
      <c r="T127" s="60">
        <f t="shared" si="78"/>
        <v>70000</v>
      </c>
      <c r="U127" s="60">
        <f t="shared" si="79"/>
        <v>0</v>
      </c>
      <c r="V127" s="60">
        <f t="shared" si="80"/>
        <v>0</v>
      </c>
      <c r="W127" s="60">
        <f t="shared" si="81"/>
        <v>0</v>
      </c>
      <c r="X127" s="60">
        <f t="shared" si="82"/>
        <v>0</v>
      </c>
      <c r="Y127" s="60">
        <f t="shared" si="83"/>
        <v>0</v>
      </c>
      <c r="Z127" s="60">
        <f t="shared" si="84"/>
        <v>0</v>
      </c>
      <c r="AA127" s="42"/>
      <c r="AB127" s="42"/>
      <c r="AC127" s="60">
        <f t="shared" si="85"/>
        <v>0</v>
      </c>
      <c r="AD127" s="60">
        <f t="shared" si="86"/>
        <v>0</v>
      </c>
      <c r="AE127" s="42"/>
      <c r="AF127" s="42"/>
      <c r="AG127" s="60">
        <f t="shared" si="88"/>
        <v>5</v>
      </c>
      <c r="AH127" s="60">
        <f t="shared" si="87"/>
        <v>5</v>
      </c>
    </row>
    <row r="128" spans="2:58" x14ac:dyDescent="0.15">
      <c r="B128" s="79" t="str">
        <f t="shared" si="62"/>
        <v/>
      </c>
      <c r="C128" s="85"/>
      <c r="D128" s="75">
        <f>INDEX(节奏总纲!$AM$4:$AM$83,$F128)</f>
        <v>2.1</v>
      </c>
      <c r="E128" s="75">
        <f>求节点(节奏总纲!$P$4:$P$163,节奏总纲!$O$4:$O$163,$D128)</f>
        <v>16.315139190025224</v>
      </c>
      <c r="F128" s="40">
        <v>15</v>
      </c>
      <c r="G128" s="85"/>
      <c r="H128" s="66"/>
      <c r="I128" s="69" t="s">
        <v>675</v>
      </c>
      <c r="J128" s="63"/>
      <c r="K128" s="63"/>
      <c r="M128" s="60">
        <f t="shared" si="71"/>
        <v>40</v>
      </c>
      <c r="N128" s="60">
        <f t="shared" si="72"/>
        <v>40</v>
      </c>
      <c r="O128" s="60">
        <f t="shared" si="73"/>
        <v>0</v>
      </c>
      <c r="P128" s="60">
        <f t="shared" si="74"/>
        <v>0</v>
      </c>
      <c r="Q128" s="60">
        <f t="shared" si="75"/>
        <v>10</v>
      </c>
      <c r="R128" s="60">
        <f t="shared" si="76"/>
        <v>10</v>
      </c>
      <c r="S128" s="60">
        <f t="shared" si="77"/>
        <v>70000</v>
      </c>
      <c r="T128" s="60">
        <f t="shared" si="78"/>
        <v>70000</v>
      </c>
      <c r="U128" s="60">
        <f t="shared" si="79"/>
        <v>0</v>
      </c>
      <c r="V128" s="60">
        <f t="shared" si="80"/>
        <v>0</v>
      </c>
      <c r="W128" s="60">
        <f t="shared" si="81"/>
        <v>0</v>
      </c>
      <c r="X128" s="60">
        <f t="shared" si="82"/>
        <v>0</v>
      </c>
      <c r="Y128" s="60">
        <f t="shared" si="83"/>
        <v>0</v>
      </c>
      <c r="Z128" s="60">
        <f t="shared" si="84"/>
        <v>0</v>
      </c>
      <c r="AA128" s="42"/>
      <c r="AB128" s="42"/>
      <c r="AC128" s="60">
        <f t="shared" si="85"/>
        <v>0</v>
      </c>
      <c r="AD128" s="60">
        <f t="shared" si="86"/>
        <v>0</v>
      </c>
      <c r="AE128" s="42"/>
      <c r="AF128" s="42"/>
      <c r="AG128" s="60">
        <f t="shared" si="88"/>
        <v>5</v>
      </c>
      <c r="AH128" s="60">
        <f t="shared" si="87"/>
        <v>5</v>
      </c>
    </row>
    <row r="129" spans="2:58" x14ac:dyDescent="0.15">
      <c r="B129" s="79" t="str">
        <f t="shared" si="62"/>
        <v/>
      </c>
      <c r="C129" s="85"/>
      <c r="D129" s="75">
        <f>INDEX(节奏总纲!$AM$4:$AM$83,$F129)</f>
        <v>2.1</v>
      </c>
      <c r="E129" s="75">
        <f>求节点(节奏总纲!$P$4:$P$163,节奏总纲!$O$4:$O$163,$D129)</f>
        <v>16.315139190025224</v>
      </c>
      <c r="F129" s="40">
        <v>15</v>
      </c>
      <c r="G129" s="85"/>
      <c r="H129" s="70" t="s">
        <v>694</v>
      </c>
      <c r="I129" s="69" t="s">
        <v>676</v>
      </c>
      <c r="J129" s="63"/>
      <c r="K129" s="63"/>
      <c r="M129" s="60">
        <f t="shared" si="71"/>
        <v>40</v>
      </c>
      <c r="N129" s="60">
        <f t="shared" si="72"/>
        <v>80</v>
      </c>
      <c r="O129" s="60">
        <f t="shared" si="73"/>
        <v>0</v>
      </c>
      <c r="P129" s="60">
        <f t="shared" si="74"/>
        <v>0</v>
      </c>
      <c r="Q129" s="60">
        <f t="shared" si="75"/>
        <v>10</v>
      </c>
      <c r="R129" s="60">
        <f t="shared" si="76"/>
        <v>20</v>
      </c>
      <c r="S129" s="60">
        <f t="shared" si="77"/>
        <v>70000</v>
      </c>
      <c r="T129" s="60">
        <f t="shared" si="78"/>
        <v>140000</v>
      </c>
      <c r="U129" s="60">
        <f t="shared" si="79"/>
        <v>0</v>
      </c>
      <c r="V129" s="60">
        <f t="shared" si="80"/>
        <v>0</v>
      </c>
      <c r="W129" s="60">
        <f t="shared" si="81"/>
        <v>0</v>
      </c>
      <c r="X129" s="60">
        <f t="shared" si="82"/>
        <v>0</v>
      </c>
      <c r="Y129" s="60">
        <f t="shared" si="83"/>
        <v>0</v>
      </c>
      <c r="Z129" s="60">
        <f t="shared" si="84"/>
        <v>0</v>
      </c>
      <c r="AA129" s="42"/>
      <c r="AB129" s="42"/>
      <c r="AC129" s="60">
        <f t="shared" si="85"/>
        <v>0</v>
      </c>
      <c r="AD129" s="60">
        <f t="shared" si="86"/>
        <v>0</v>
      </c>
      <c r="AE129" s="42"/>
      <c r="AF129" s="42"/>
      <c r="AG129" s="60">
        <f t="shared" si="88"/>
        <v>5</v>
      </c>
      <c r="AH129" s="60">
        <f t="shared" si="87"/>
        <v>10</v>
      </c>
    </row>
    <row r="130" spans="2:58" x14ac:dyDescent="0.15">
      <c r="B130" s="79" t="str">
        <f t="shared" si="62"/>
        <v/>
      </c>
      <c r="C130" s="85"/>
      <c r="D130" s="75">
        <f>INDEX(节奏总纲!$AM$4:$AM$83,$F130)</f>
        <v>2.1</v>
      </c>
      <c r="E130" s="75">
        <f>求节点(节奏总纲!$P$4:$P$163,节奏总纲!$O$4:$O$163,$D130)</f>
        <v>16.315139190025224</v>
      </c>
      <c r="F130" s="40">
        <v>15</v>
      </c>
      <c r="G130" s="85"/>
      <c r="H130" s="70" t="s">
        <v>693</v>
      </c>
      <c r="I130" s="69" t="s">
        <v>677</v>
      </c>
      <c r="J130" s="63"/>
      <c r="K130" s="63"/>
      <c r="M130" s="60">
        <f t="shared" si="71"/>
        <v>40</v>
      </c>
      <c r="N130" s="60">
        <f t="shared" si="72"/>
        <v>80</v>
      </c>
      <c r="O130" s="60">
        <f t="shared" si="73"/>
        <v>0</v>
      </c>
      <c r="P130" s="60">
        <f t="shared" si="74"/>
        <v>0</v>
      </c>
      <c r="Q130" s="60">
        <f t="shared" si="75"/>
        <v>10</v>
      </c>
      <c r="R130" s="60">
        <f t="shared" si="76"/>
        <v>20</v>
      </c>
      <c r="S130" s="60">
        <f t="shared" si="77"/>
        <v>70000</v>
      </c>
      <c r="T130" s="60">
        <f t="shared" si="78"/>
        <v>140000</v>
      </c>
      <c r="U130" s="60">
        <f t="shared" si="79"/>
        <v>0</v>
      </c>
      <c r="V130" s="60">
        <f t="shared" si="80"/>
        <v>0</v>
      </c>
      <c r="W130" s="60">
        <f t="shared" si="81"/>
        <v>0</v>
      </c>
      <c r="X130" s="60">
        <f t="shared" si="82"/>
        <v>0</v>
      </c>
      <c r="Y130" s="60">
        <f t="shared" si="83"/>
        <v>0</v>
      </c>
      <c r="Z130" s="60">
        <f t="shared" si="84"/>
        <v>0</v>
      </c>
      <c r="AA130" s="42"/>
      <c r="AB130" s="42"/>
      <c r="AC130" s="60">
        <f t="shared" si="85"/>
        <v>0</v>
      </c>
      <c r="AD130" s="60">
        <f t="shared" si="86"/>
        <v>0</v>
      </c>
      <c r="AE130" s="42"/>
      <c r="AF130" s="42"/>
      <c r="AG130" s="60">
        <f t="shared" si="88"/>
        <v>5</v>
      </c>
      <c r="AH130" s="60">
        <f t="shared" si="87"/>
        <v>10</v>
      </c>
    </row>
    <row r="131" spans="2:58" x14ac:dyDescent="0.15">
      <c r="B131" s="79">
        <f t="shared" si="62"/>
        <v>8</v>
      </c>
      <c r="C131" s="85"/>
      <c r="D131" s="75">
        <f>INDEX(节奏总纲!$AM$4:$AM$83,$F131)</f>
        <v>2.5387719203926467</v>
      </c>
      <c r="E131" s="75">
        <f>求节点(节奏总纲!$P$4:$P$163,节奏总纲!$O$4:$O$163,$D131)</f>
        <v>18.226342304552581</v>
      </c>
      <c r="F131" s="40">
        <v>16</v>
      </c>
      <c r="G131" s="85">
        <v>11</v>
      </c>
      <c r="H131" s="70" t="s">
        <v>406</v>
      </c>
      <c r="I131" s="69" t="s">
        <v>657</v>
      </c>
      <c r="J131" s="63"/>
      <c r="K131" s="63"/>
      <c r="M131" s="60">
        <f t="shared" si="71"/>
        <v>40</v>
      </c>
      <c r="N131" s="60">
        <f t="shared" si="72"/>
        <v>80</v>
      </c>
      <c r="O131" s="60">
        <f t="shared" si="73"/>
        <v>0</v>
      </c>
      <c r="P131" s="60">
        <f t="shared" si="74"/>
        <v>0</v>
      </c>
      <c r="Q131" s="60">
        <f t="shared" si="75"/>
        <v>10</v>
      </c>
      <c r="R131" s="60">
        <f t="shared" si="76"/>
        <v>20</v>
      </c>
      <c r="S131" s="60">
        <f t="shared" si="77"/>
        <v>70000</v>
      </c>
      <c r="T131" s="60">
        <f t="shared" si="78"/>
        <v>140000</v>
      </c>
      <c r="U131" s="60">
        <f t="shared" si="79"/>
        <v>0</v>
      </c>
      <c r="V131" s="60">
        <f t="shared" si="80"/>
        <v>0</v>
      </c>
      <c r="W131" s="60">
        <f t="shared" si="81"/>
        <v>0</v>
      </c>
      <c r="X131" s="60">
        <f t="shared" si="82"/>
        <v>0</v>
      </c>
      <c r="Y131" s="60">
        <f t="shared" si="83"/>
        <v>0</v>
      </c>
      <c r="Z131" s="60">
        <f t="shared" si="84"/>
        <v>0</v>
      </c>
      <c r="AA131" s="42"/>
      <c r="AB131" s="42"/>
      <c r="AC131" s="60">
        <f t="shared" si="85"/>
        <v>0</v>
      </c>
      <c r="AD131" s="60">
        <f t="shared" si="86"/>
        <v>0</v>
      </c>
      <c r="AE131" s="42"/>
      <c r="AF131" s="42"/>
      <c r="AG131" s="60">
        <f t="shared" si="88"/>
        <v>5</v>
      </c>
      <c r="AH131" s="60">
        <f t="shared" si="87"/>
        <v>10</v>
      </c>
    </row>
    <row r="132" spans="2:58" x14ac:dyDescent="0.15">
      <c r="B132" s="79" t="str">
        <f t="shared" si="62"/>
        <v/>
      </c>
      <c r="C132" s="85"/>
      <c r="D132" s="75">
        <f>INDEX(节奏总纲!$AM$4:$AM$83,$F132)</f>
        <v>2.5387719203926467</v>
      </c>
      <c r="E132" s="75">
        <f>求节点(节奏总纲!$P$4:$P$163,节奏总纲!$O$4:$O$163,$D132)</f>
        <v>18.226342304552581</v>
      </c>
      <c r="F132" s="40">
        <v>16</v>
      </c>
      <c r="G132" s="85"/>
      <c r="H132" s="63" t="s">
        <v>502</v>
      </c>
      <c r="I132" s="69" t="s">
        <v>630</v>
      </c>
      <c r="J132" s="63"/>
      <c r="K132" s="63"/>
      <c r="M132" s="60">
        <f t="shared" si="71"/>
        <v>40</v>
      </c>
      <c r="N132" s="60">
        <f t="shared" si="72"/>
        <v>80</v>
      </c>
      <c r="O132" s="60">
        <f t="shared" si="73"/>
        <v>0</v>
      </c>
      <c r="P132" s="60">
        <f t="shared" si="74"/>
        <v>0</v>
      </c>
      <c r="Q132" s="60">
        <f t="shared" si="75"/>
        <v>10</v>
      </c>
      <c r="R132" s="60">
        <f t="shared" si="76"/>
        <v>20</v>
      </c>
      <c r="S132" s="60">
        <f t="shared" si="77"/>
        <v>70000</v>
      </c>
      <c r="T132" s="60">
        <f t="shared" si="78"/>
        <v>140000</v>
      </c>
      <c r="U132" s="60">
        <f t="shared" si="79"/>
        <v>0</v>
      </c>
      <c r="V132" s="60">
        <f t="shared" si="80"/>
        <v>0</v>
      </c>
      <c r="W132" s="60">
        <f t="shared" si="81"/>
        <v>0</v>
      </c>
      <c r="X132" s="60">
        <f t="shared" si="82"/>
        <v>0</v>
      </c>
      <c r="Y132" s="60">
        <f t="shared" si="83"/>
        <v>0</v>
      </c>
      <c r="Z132" s="60">
        <f t="shared" si="84"/>
        <v>0</v>
      </c>
      <c r="AA132" s="42"/>
      <c r="AB132" s="42"/>
      <c r="AC132" s="60">
        <f t="shared" si="85"/>
        <v>0</v>
      </c>
      <c r="AD132" s="60">
        <f t="shared" si="86"/>
        <v>0</v>
      </c>
      <c r="AE132" s="42"/>
      <c r="AF132" s="42"/>
      <c r="AG132" s="60">
        <f t="shared" si="88"/>
        <v>5</v>
      </c>
      <c r="AH132" s="60">
        <f t="shared" si="87"/>
        <v>10</v>
      </c>
    </row>
    <row r="133" spans="2:58" x14ac:dyDescent="0.15">
      <c r="B133" s="79" t="str">
        <f t="shared" si="62"/>
        <v/>
      </c>
      <c r="C133" s="85"/>
      <c r="D133" s="75">
        <f>INDEX(节奏总纲!$AM$4:$AM$83,$F133)</f>
        <v>2.5387719203926467</v>
      </c>
      <c r="E133" s="75">
        <f>求节点(节奏总纲!$P$4:$P$163,节奏总纲!$O$4:$O$163,$D133)</f>
        <v>18.226342304552581</v>
      </c>
      <c r="F133" s="40">
        <v>16</v>
      </c>
      <c r="G133" s="85"/>
      <c r="H133" s="63" t="s">
        <v>503</v>
      </c>
      <c r="I133" s="69"/>
      <c r="J133" s="63"/>
      <c r="K133" s="63"/>
      <c r="M133" s="60">
        <f t="shared" si="71"/>
        <v>40</v>
      </c>
      <c r="N133" s="60">
        <f t="shared" si="72"/>
        <v>40</v>
      </c>
      <c r="O133" s="60">
        <f t="shared" si="73"/>
        <v>0</v>
      </c>
      <c r="P133" s="60">
        <f t="shared" si="74"/>
        <v>0</v>
      </c>
      <c r="Q133" s="60">
        <f t="shared" si="75"/>
        <v>10</v>
      </c>
      <c r="R133" s="60">
        <f t="shared" si="76"/>
        <v>10</v>
      </c>
      <c r="S133" s="60">
        <f t="shared" si="77"/>
        <v>70000</v>
      </c>
      <c r="T133" s="60">
        <f t="shared" si="78"/>
        <v>70000</v>
      </c>
      <c r="U133" s="60">
        <f t="shared" si="79"/>
        <v>0</v>
      </c>
      <c r="V133" s="60">
        <f t="shared" si="80"/>
        <v>0</v>
      </c>
      <c r="W133" s="60">
        <f t="shared" si="81"/>
        <v>0</v>
      </c>
      <c r="X133" s="60">
        <f t="shared" si="82"/>
        <v>0</v>
      </c>
      <c r="Y133" s="60">
        <f t="shared" si="83"/>
        <v>0</v>
      </c>
      <c r="Z133" s="60">
        <f t="shared" si="84"/>
        <v>0</v>
      </c>
      <c r="AA133" s="42"/>
      <c r="AB133" s="42"/>
      <c r="AC133" s="60">
        <f t="shared" si="85"/>
        <v>0</v>
      </c>
      <c r="AD133" s="60">
        <f t="shared" si="86"/>
        <v>0</v>
      </c>
      <c r="AE133" s="42"/>
      <c r="AF133" s="42"/>
      <c r="AG133" s="60">
        <f t="shared" si="88"/>
        <v>5</v>
      </c>
      <c r="AH133" s="60">
        <f t="shared" si="87"/>
        <v>5</v>
      </c>
    </row>
    <row r="134" spans="2:58" x14ac:dyDescent="0.15">
      <c r="B134" s="79" t="str">
        <f t="shared" si="62"/>
        <v/>
      </c>
      <c r="C134" s="85"/>
      <c r="D134" s="75">
        <f>INDEX(节奏总纲!$AM$4:$AM$83,$F134)</f>
        <v>2.5387719203926467</v>
      </c>
      <c r="E134" s="75">
        <f>求节点(节奏总纲!$P$4:$P$163,节奏总纲!$O$4:$O$163,$D134)</f>
        <v>18.226342304552581</v>
      </c>
      <c r="F134" s="40">
        <v>16</v>
      </c>
      <c r="G134" s="85"/>
      <c r="H134" s="70" t="s">
        <v>695</v>
      </c>
      <c r="I134" s="63"/>
      <c r="J134" s="63"/>
      <c r="K134" s="63"/>
      <c r="M134" s="60">
        <f t="shared" si="71"/>
        <v>40</v>
      </c>
      <c r="N134" s="60">
        <f t="shared" si="72"/>
        <v>40</v>
      </c>
      <c r="O134" s="60">
        <f t="shared" si="73"/>
        <v>0</v>
      </c>
      <c r="P134" s="60">
        <f t="shared" si="74"/>
        <v>0</v>
      </c>
      <c r="Q134" s="60">
        <f t="shared" si="75"/>
        <v>10</v>
      </c>
      <c r="R134" s="60">
        <f t="shared" si="76"/>
        <v>10</v>
      </c>
      <c r="S134" s="60">
        <f t="shared" si="77"/>
        <v>70000</v>
      </c>
      <c r="T134" s="60">
        <f t="shared" si="78"/>
        <v>70000</v>
      </c>
      <c r="U134" s="60">
        <f t="shared" si="79"/>
        <v>0</v>
      </c>
      <c r="V134" s="60">
        <f t="shared" si="80"/>
        <v>0</v>
      </c>
      <c r="W134" s="60">
        <f t="shared" si="81"/>
        <v>0</v>
      </c>
      <c r="X134" s="60">
        <f t="shared" si="82"/>
        <v>0</v>
      </c>
      <c r="Y134" s="60">
        <f t="shared" si="83"/>
        <v>0</v>
      </c>
      <c r="Z134" s="60">
        <f t="shared" si="84"/>
        <v>0</v>
      </c>
      <c r="AA134" s="42"/>
      <c r="AB134" s="42"/>
      <c r="AC134" s="60">
        <f t="shared" si="85"/>
        <v>0</v>
      </c>
      <c r="AD134" s="60">
        <f t="shared" si="86"/>
        <v>0</v>
      </c>
      <c r="AE134" s="42"/>
      <c r="AF134" s="42"/>
      <c r="AG134" s="60">
        <f t="shared" si="88"/>
        <v>5</v>
      </c>
      <c r="AH134" s="60">
        <f t="shared" si="87"/>
        <v>5</v>
      </c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1"/>
      <c r="AX134" s="41"/>
      <c r="AY134" s="41"/>
      <c r="AZ134" s="41"/>
      <c r="BA134" s="41"/>
      <c r="BB134" s="41"/>
      <c r="BC134" s="41"/>
      <c r="BD134" s="41"/>
    </row>
    <row r="135" spans="2:58" x14ac:dyDescent="0.15">
      <c r="B135" s="79" t="str">
        <f t="shared" si="62"/>
        <v/>
      </c>
      <c r="C135" s="85"/>
      <c r="D135" s="75">
        <f>INDEX(节奏总纲!$AM$4:$AM$83,$F135)</f>
        <v>2.5387719203926467</v>
      </c>
      <c r="E135" s="75">
        <f>求节点(节奏总纲!$P$4:$P$163,节奏总纲!$O$4:$O$163,$D135)</f>
        <v>18.226342304552581</v>
      </c>
      <c r="F135" s="40">
        <v>16</v>
      </c>
      <c r="G135" s="85"/>
      <c r="H135" s="70"/>
      <c r="I135" s="63"/>
      <c r="J135" s="63"/>
      <c r="K135" s="63"/>
      <c r="M135" s="60">
        <f t="shared" si="71"/>
        <v>40</v>
      </c>
      <c r="N135" s="60">
        <f t="shared" si="72"/>
        <v>0</v>
      </c>
      <c r="O135" s="60">
        <f t="shared" si="73"/>
        <v>0</v>
      </c>
      <c r="P135" s="60">
        <f t="shared" si="74"/>
        <v>0</v>
      </c>
      <c r="Q135" s="60">
        <f t="shared" si="75"/>
        <v>10</v>
      </c>
      <c r="R135" s="60">
        <f t="shared" si="76"/>
        <v>0</v>
      </c>
      <c r="S135" s="60">
        <f t="shared" si="77"/>
        <v>70000</v>
      </c>
      <c r="T135" s="60">
        <f t="shared" si="78"/>
        <v>0</v>
      </c>
      <c r="U135" s="60">
        <f t="shared" si="79"/>
        <v>0</v>
      </c>
      <c r="V135" s="60">
        <f t="shared" si="80"/>
        <v>0</v>
      </c>
      <c r="W135" s="60">
        <f t="shared" si="81"/>
        <v>0</v>
      </c>
      <c r="X135" s="60">
        <f t="shared" si="82"/>
        <v>0</v>
      </c>
      <c r="Y135" s="60">
        <f t="shared" si="83"/>
        <v>0</v>
      </c>
      <c r="Z135" s="60">
        <f t="shared" si="84"/>
        <v>0</v>
      </c>
      <c r="AA135" s="42"/>
      <c r="AB135" s="42"/>
      <c r="AC135" s="60">
        <f t="shared" si="85"/>
        <v>0</v>
      </c>
      <c r="AD135" s="60">
        <f t="shared" si="86"/>
        <v>0</v>
      </c>
      <c r="AE135" s="42"/>
      <c r="AF135" s="42"/>
      <c r="AG135" s="60">
        <f t="shared" si="88"/>
        <v>5</v>
      </c>
      <c r="AH135" s="60">
        <f t="shared" si="87"/>
        <v>0</v>
      </c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1"/>
      <c r="AX135" s="41"/>
      <c r="AY135" s="41"/>
      <c r="AZ135" s="41"/>
      <c r="BA135" s="41"/>
      <c r="BB135" s="41"/>
      <c r="BC135" s="41"/>
      <c r="BD135" s="41"/>
    </row>
    <row r="136" spans="2:58" x14ac:dyDescent="0.15">
      <c r="B136" s="79" t="str">
        <f t="shared" si="62"/>
        <v/>
      </c>
      <c r="C136" s="85"/>
      <c r="D136" s="75">
        <f>INDEX(节奏总纲!$AM$4:$AM$83,$F136)</f>
        <v>2.5387719203926467</v>
      </c>
      <c r="E136" s="75">
        <f>求节点(节奏总纲!$P$4:$P$163,节奏总纲!$O$4:$O$163,$D136)</f>
        <v>18.226342304552581</v>
      </c>
      <c r="F136" s="40">
        <v>16</v>
      </c>
      <c r="G136" s="85"/>
      <c r="H136" s="65"/>
      <c r="I136" s="63"/>
      <c r="J136" s="63"/>
      <c r="K136" s="63"/>
      <c r="M136" s="60">
        <f t="shared" si="71"/>
        <v>40</v>
      </c>
      <c r="N136" s="60">
        <f t="shared" si="72"/>
        <v>0</v>
      </c>
      <c r="O136" s="60">
        <f t="shared" si="73"/>
        <v>0</v>
      </c>
      <c r="P136" s="60">
        <f t="shared" si="74"/>
        <v>0</v>
      </c>
      <c r="Q136" s="60">
        <f t="shared" si="75"/>
        <v>10</v>
      </c>
      <c r="R136" s="60">
        <f t="shared" si="76"/>
        <v>0</v>
      </c>
      <c r="S136" s="60">
        <f t="shared" si="77"/>
        <v>70000</v>
      </c>
      <c r="T136" s="60">
        <f t="shared" si="78"/>
        <v>0</v>
      </c>
      <c r="U136" s="60">
        <f t="shared" si="79"/>
        <v>0</v>
      </c>
      <c r="V136" s="60">
        <f t="shared" si="80"/>
        <v>0</v>
      </c>
      <c r="W136" s="60">
        <f t="shared" si="81"/>
        <v>0</v>
      </c>
      <c r="X136" s="60">
        <f t="shared" si="82"/>
        <v>0</v>
      </c>
      <c r="Y136" s="60">
        <f t="shared" si="83"/>
        <v>0</v>
      </c>
      <c r="Z136" s="60">
        <f t="shared" si="84"/>
        <v>0</v>
      </c>
      <c r="AA136" s="42"/>
      <c r="AB136" s="42"/>
      <c r="AC136" s="60">
        <f t="shared" si="85"/>
        <v>0</v>
      </c>
      <c r="AD136" s="60">
        <f t="shared" si="86"/>
        <v>0</v>
      </c>
      <c r="AE136" s="42"/>
      <c r="AF136" s="42"/>
      <c r="AG136" s="60">
        <f t="shared" si="88"/>
        <v>5</v>
      </c>
      <c r="AH136" s="60">
        <f t="shared" si="87"/>
        <v>0</v>
      </c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1"/>
      <c r="AX136" s="41"/>
      <c r="AY136" s="41"/>
      <c r="AZ136" s="41"/>
      <c r="BA136" s="41"/>
      <c r="BB136" s="41"/>
      <c r="BC136" s="41"/>
      <c r="BD136" s="41"/>
    </row>
    <row r="137" spans="2:58" x14ac:dyDescent="0.15">
      <c r="B137" s="79" t="str">
        <f t="shared" ref="B137:B200" si="89">IF(F137&lt;&gt;F136,COUNTIFS($F$8:$F$999,$F137,$H$8:$H$999,"&lt;&gt;")+COUNTIFS($F$8:$F$999,$F137,$I$8:$I$999,"&lt;&gt;")+COUNTIFS($F$8:$F$999,$F137,$J$8:$J$999,"&lt;&gt;"),"")</f>
        <v/>
      </c>
      <c r="C137" s="85"/>
      <c r="D137" s="75">
        <f>INDEX(节奏总纲!$AM$4:$AM$83,$F137)</f>
        <v>2.5387719203926467</v>
      </c>
      <c r="E137" s="75">
        <f>求节点(节奏总纲!$P$4:$P$163,节奏总纲!$O$4:$O$163,$D137)</f>
        <v>18.226342304552581</v>
      </c>
      <c r="F137" s="40">
        <v>16</v>
      </c>
      <c r="G137" s="85"/>
      <c r="H137" s="65" t="s">
        <v>409</v>
      </c>
      <c r="I137" s="63"/>
      <c r="J137" s="63"/>
      <c r="K137" s="63"/>
      <c r="M137" s="60">
        <f t="shared" si="71"/>
        <v>40</v>
      </c>
      <c r="N137" s="60">
        <f t="shared" si="72"/>
        <v>40</v>
      </c>
      <c r="O137" s="60">
        <f t="shared" si="73"/>
        <v>0</v>
      </c>
      <c r="P137" s="60">
        <f t="shared" si="74"/>
        <v>0</v>
      </c>
      <c r="Q137" s="60">
        <f t="shared" si="75"/>
        <v>10</v>
      </c>
      <c r="R137" s="60">
        <f t="shared" si="76"/>
        <v>10</v>
      </c>
      <c r="S137" s="60">
        <f t="shared" si="77"/>
        <v>70000</v>
      </c>
      <c r="T137" s="60">
        <f t="shared" si="78"/>
        <v>70000</v>
      </c>
      <c r="U137" s="60">
        <f t="shared" si="79"/>
        <v>0</v>
      </c>
      <c r="V137" s="60">
        <f t="shared" si="80"/>
        <v>0</v>
      </c>
      <c r="W137" s="60">
        <f t="shared" si="81"/>
        <v>0</v>
      </c>
      <c r="X137" s="60">
        <f t="shared" si="82"/>
        <v>0</v>
      </c>
      <c r="Y137" s="60">
        <f t="shared" si="83"/>
        <v>0</v>
      </c>
      <c r="Z137" s="60">
        <f t="shared" si="84"/>
        <v>0</v>
      </c>
      <c r="AA137" s="42"/>
      <c r="AB137" s="42"/>
      <c r="AC137" s="60">
        <f t="shared" si="85"/>
        <v>0</v>
      </c>
      <c r="AD137" s="60">
        <f t="shared" si="86"/>
        <v>0</v>
      </c>
      <c r="AE137" s="42"/>
      <c r="AF137" s="42"/>
      <c r="AG137" s="60">
        <f t="shared" si="88"/>
        <v>5</v>
      </c>
      <c r="AH137" s="60">
        <f t="shared" si="87"/>
        <v>5</v>
      </c>
    </row>
    <row r="138" spans="2:58" x14ac:dyDescent="0.15">
      <c r="B138" s="79" t="str">
        <f t="shared" si="89"/>
        <v/>
      </c>
      <c r="C138" s="85"/>
      <c r="D138" s="75">
        <f>INDEX(节奏总纲!$AM$4:$AM$83,$F138)</f>
        <v>2.5387719203926467</v>
      </c>
      <c r="E138" s="75">
        <f>求节点(节奏总纲!$P$4:$P$163,节奏总纲!$O$4:$O$163,$D138)</f>
        <v>18.226342304552581</v>
      </c>
      <c r="F138" s="40">
        <v>16</v>
      </c>
      <c r="G138" s="85"/>
      <c r="H138" s="70" t="s">
        <v>696</v>
      </c>
      <c r="I138" s="68"/>
      <c r="J138" s="63"/>
      <c r="K138" s="63"/>
      <c r="M138" s="60">
        <f t="shared" si="71"/>
        <v>40</v>
      </c>
      <c r="N138" s="60">
        <f t="shared" si="72"/>
        <v>40</v>
      </c>
      <c r="O138" s="60">
        <f t="shared" si="73"/>
        <v>0</v>
      </c>
      <c r="P138" s="60">
        <f t="shared" si="74"/>
        <v>0</v>
      </c>
      <c r="Q138" s="60">
        <f t="shared" si="75"/>
        <v>10</v>
      </c>
      <c r="R138" s="60">
        <f t="shared" si="76"/>
        <v>10</v>
      </c>
      <c r="S138" s="60">
        <f t="shared" si="77"/>
        <v>70000</v>
      </c>
      <c r="T138" s="60">
        <f t="shared" si="78"/>
        <v>70000</v>
      </c>
      <c r="U138" s="60">
        <f t="shared" si="79"/>
        <v>0</v>
      </c>
      <c r="V138" s="60">
        <f t="shared" si="80"/>
        <v>0</v>
      </c>
      <c r="W138" s="60">
        <f t="shared" si="81"/>
        <v>0</v>
      </c>
      <c r="X138" s="60">
        <f t="shared" si="82"/>
        <v>0</v>
      </c>
      <c r="Y138" s="60">
        <f t="shared" si="83"/>
        <v>0</v>
      </c>
      <c r="Z138" s="60">
        <f t="shared" si="84"/>
        <v>0</v>
      </c>
      <c r="AA138" s="42"/>
      <c r="AB138" s="42"/>
      <c r="AC138" s="60">
        <f t="shared" si="85"/>
        <v>0</v>
      </c>
      <c r="AD138" s="60">
        <f t="shared" si="86"/>
        <v>0</v>
      </c>
      <c r="AE138" s="42"/>
      <c r="AF138" s="42"/>
      <c r="AG138" s="60">
        <f t="shared" si="88"/>
        <v>5</v>
      </c>
      <c r="AH138" s="60">
        <f t="shared" si="87"/>
        <v>5</v>
      </c>
      <c r="BE138" s="41"/>
    </row>
    <row r="139" spans="2:58" x14ac:dyDescent="0.15">
      <c r="B139" s="79">
        <f t="shared" si="89"/>
        <v>8</v>
      </c>
      <c r="C139" s="85"/>
      <c r="D139" s="75">
        <f>INDEX(节奏总纲!$AM$4:$AM$83,$F139)</f>
        <v>3.0579402515786085</v>
      </c>
      <c r="E139" s="75">
        <f>求节点(节奏总纲!$P$4:$P$163,节奏总纲!$O$4:$O$163,$D139)</f>
        <v>20.20181641490861</v>
      </c>
      <c r="F139" s="40">
        <v>17</v>
      </c>
      <c r="G139" s="85">
        <v>12</v>
      </c>
      <c r="H139" s="63" t="s">
        <v>408</v>
      </c>
      <c r="I139" s="68"/>
      <c r="J139" s="63"/>
      <c r="K139" s="63"/>
      <c r="M139" s="60">
        <f t="shared" si="71"/>
        <v>40</v>
      </c>
      <c r="N139" s="60">
        <f t="shared" si="72"/>
        <v>40</v>
      </c>
      <c r="O139" s="60">
        <f t="shared" si="73"/>
        <v>0</v>
      </c>
      <c r="P139" s="60">
        <f t="shared" si="74"/>
        <v>0</v>
      </c>
      <c r="Q139" s="60">
        <f t="shared" si="75"/>
        <v>11</v>
      </c>
      <c r="R139" s="60">
        <f t="shared" si="76"/>
        <v>11</v>
      </c>
      <c r="S139" s="60">
        <f t="shared" si="77"/>
        <v>80000</v>
      </c>
      <c r="T139" s="60">
        <f t="shared" si="78"/>
        <v>80000</v>
      </c>
      <c r="U139" s="60">
        <f t="shared" si="79"/>
        <v>0</v>
      </c>
      <c r="V139" s="60">
        <f t="shared" si="80"/>
        <v>0</v>
      </c>
      <c r="W139" s="60">
        <f t="shared" si="81"/>
        <v>0</v>
      </c>
      <c r="X139" s="60">
        <f t="shared" si="82"/>
        <v>0</v>
      </c>
      <c r="Y139" s="60">
        <f t="shared" si="83"/>
        <v>0</v>
      </c>
      <c r="Z139" s="60">
        <f t="shared" si="84"/>
        <v>0</v>
      </c>
      <c r="AA139" s="42"/>
      <c r="AB139" s="42"/>
      <c r="AC139" s="60">
        <f t="shared" si="85"/>
        <v>0</v>
      </c>
      <c r="AD139" s="60">
        <f t="shared" si="86"/>
        <v>0</v>
      </c>
      <c r="AE139" s="42"/>
      <c r="AF139" s="42"/>
      <c r="AG139" s="60">
        <f t="shared" si="88"/>
        <v>5</v>
      </c>
      <c r="AH139" s="60">
        <f t="shared" si="87"/>
        <v>5</v>
      </c>
      <c r="BE139" s="41"/>
    </row>
    <row r="140" spans="2:58" x14ac:dyDescent="0.15">
      <c r="B140" s="79" t="str">
        <f t="shared" si="89"/>
        <v/>
      </c>
      <c r="C140" s="85"/>
      <c r="D140" s="75">
        <f>INDEX(节奏总纲!$AM$4:$AM$83,$F140)</f>
        <v>3.0579402515786085</v>
      </c>
      <c r="E140" s="75">
        <f>求节点(节奏总纲!$P$4:$P$163,节奏总纲!$O$4:$O$163,$D140)</f>
        <v>20.20181641490861</v>
      </c>
      <c r="F140" s="40">
        <v>17</v>
      </c>
      <c r="G140" s="85"/>
      <c r="H140" s="65" t="s">
        <v>639</v>
      </c>
      <c r="I140" s="68"/>
      <c r="J140" s="63"/>
      <c r="K140" s="63"/>
      <c r="M140" s="60">
        <f t="shared" si="71"/>
        <v>40</v>
      </c>
      <c r="N140" s="60">
        <f t="shared" si="72"/>
        <v>40</v>
      </c>
      <c r="O140" s="60">
        <f t="shared" si="73"/>
        <v>0</v>
      </c>
      <c r="P140" s="60">
        <f t="shared" si="74"/>
        <v>0</v>
      </c>
      <c r="Q140" s="60">
        <f t="shared" si="75"/>
        <v>11</v>
      </c>
      <c r="R140" s="60">
        <f t="shared" si="76"/>
        <v>11</v>
      </c>
      <c r="S140" s="60">
        <f t="shared" si="77"/>
        <v>80000</v>
      </c>
      <c r="T140" s="60">
        <f t="shared" si="78"/>
        <v>80000</v>
      </c>
      <c r="U140" s="60">
        <f t="shared" si="79"/>
        <v>0</v>
      </c>
      <c r="V140" s="60">
        <f t="shared" si="80"/>
        <v>0</v>
      </c>
      <c r="W140" s="60">
        <f t="shared" si="81"/>
        <v>0</v>
      </c>
      <c r="X140" s="60">
        <f t="shared" si="82"/>
        <v>0</v>
      </c>
      <c r="Y140" s="60">
        <f t="shared" si="83"/>
        <v>0</v>
      </c>
      <c r="Z140" s="60">
        <f t="shared" si="84"/>
        <v>0</v>
      </c>
      <c r="AA140" s="42"/>
      <c r="AB140" s="42"/>
      <c r="AC140" s="60">
        <f t="shared" si="85"/>
        <v>0</v>
      </c>
      <c r="AD140" s="60">
        <f t="shared" si="86"/>
        <v>0</v>
      </c>
      <c r="AE140" s="42"/>
      <c r="AF140" s="42"/>
      <c r="AG140" s="60">
        <f t="shared" si="88"/>
        <v>5</v>
      </c>
      <c r="AH140" s="60">
        <f t="shared" si="87"/>
        <v>5</v>
      </c>
      <c r="BE140" s="41"/>
    </row>
    <row r="141" spans="2:58" x14ac:dyDescent="0.15">
      <c r="B141" s="79" t="str">
        <f t="shared" si="89"/>
        <v/>
      </c>
      <c r="C141" s="85"/>
      <c r="D141" s="75">
        <f>INDEX(节奏总纲!$AM$4:$AM$83,$F141)</f>
        <v>3.0579402515786085</v>
      </c>
      <c r="E141" s="75">
        <f>求节点(节奏总纲!$P$4:$P$163,节奏总纲!$O$4:$O$163,$D141)</f>
        <v>20.20181641490861</v>
      </c>
      <c r="F141" s="40">
        <v>17</v>
      </c>
      <c r="G141" s="85"/>
      <c r="H141" s="70" t="s">
        <v>697</v>
      </c>
      <c r="I141" s="68" t="s">
        <v>568</v>
      </c>
      <c r="J141" s="63"/>
      <c r="K141" s="63"/>
      <c r="M141" s="60">
        <f t="shared" ref="M141:M204" si="90">ROUNDUP((M$2*$F141^M$1+M$3)/M$4,0)*M$4</f>
        <v>40</v>
      </c>
      <c r="N141" s="60">
        <f t="shared" ref="N141:N204" si="91">M141*COUNTA($H141:$K141)</f>
        <v>80</v>
      </c>
      <c r="O141" s="60">
        <f t="shared" ref="O141:O204" si="92">ROUNDUP((O$2*$F141^O$1+O$3)/O$4,0)*O$4</f>
        <v>0</v>
      </c>
      <c r="P141" s="60">
        <f t="shared" ref="P141:P204" si="93">O141*COUNTA($H141:$K141)</f>
        <v>0</v>
      </c>
      <c r="Q141" s="60">
        <f t="shared" ref="Q141:Q204" si="94">ROUNDUP((Q$2*$F141^Q$1+Q$3)/Q$4,0)*Q$4</f>
        <v>11</v>
      </c>
      <c r="R141" s="60">
        <f t="shared" ref="R141:R204" si="95">Q141*COUNTA($H141:$K141)</f>
        <v>22</v>
      </c>
      <c r="S141" s="60">
        <f t="shared" ref="S141:S204" si="96">ROUNDUP((S$2*$F141^S$1+S$3)/S$4,0)*S$4</f>
        <v>80000</v>
      </c>
      <c r="T141" s="60">
        <f t="shared" ref="T141:T204" si="97">S141*COUNTA($H141:$K141)</f>
        <v>160000</v>
      </c>
      <c r="U141" s="60">
        <f t="shared" ref="U141:U204" si="98">ROUNDUP((U$2*$F141^U$1+U$3)/U$4,0)*U$4</f>
        <v>0</v>
      </c>
      <c r="V141" s="60">
        <f t="shared" ref="V141:V204" si="99">U141*COUNTA($H141:$K141)</f>
        <v>0</v>
      </c>
      <c r="W141" s="60">
        <f t="shared" ref="W141:W204" si="100">IF(F141&lt;28,0,ROUNDUP((W$2*$F141^W$1+W$3)/W$4,0)*W$4)</f>
        <v>0</v>
      </c>
      <c r="X141" s="60">
        <f t="shared" ref="X141:X204" si="101">W141*COUNTA($H141:$K141)</f>
        <v>0</v>
      </c>
      <c r="Y141" s="60">
        <f t="shared" ref="Y141:Y204" si="102">IF(F141&lt;28,0,ROUNDUP((Y$2*$F141^Y$1+Y$3)/Y$4,0)*Y$4)</f>
        <v>0</v>
      </c>
      <c r="Z141" s="60">
        <f t="shared" ref="Z141:Z204" si="103">Y141*COUNTA($H141:$K141)</f>
        <v>0</v>
      </c>
      <c r="AA141" s="42"/>
      <c r="AB141" s="42"/>
      <c r="AC141" s="60">
        <f t="shared" ref="AC141:AC204" si="104">ROUNDUP((AC$2*$F141^AC$1+AC$3)/AC$4,0)*AC$4</f>
        <v>0</v>
      </c>
      <c r="AD141" s="60">
        <f t="shared" ref="AD141:AD204" si="105">AC141*COUNTA($H141:$K141)</f>
        <v>0</v>
      </c>
      <c r="AE141" s="42"/>
      <c r="AF141" s="42"/>
      <c r="AG141" s="60">
        <f t="shared" si="88"/>
        <v>5</v>
      </c>
      <c r="AH141" s="60">
        <f t="shared" ref="AH141:AH204" si="106">AG141*COUNTA($H141:$K141)</f>
        <v>10</v>
      </c>
      <c r="BF141" s="40"/>
    </row>
    <row r="142" spans="2:58" s="40" customFormat="1" x14ac:dyDescent="0.15">
      <c r="B142" s="79" t="str">
        <f t="shared" si="89"/>
        <v/>
      </c>
      <c r="C142" s="85"/>
      <c r="D142" s="75">
        <f>INDEX(节奏总纲!$AM$4:$AM$83,$F142)</f>
        <v>3.0579402515786085</v>
      </c>
      <c r="E142" s="75">
        <f>求节点(节奏总纲!$P$4:$P$163,节奏总纲!$O$4:$O$163,$D142)</f>
        <v>20.20181641490861</v>
      </c>
      <c r="F142" s="40">
        <v>17</v>
      </c>
      <c r="G142" s="85"/>
      <c r="H142" s="70"/>
      <c r="I142" s="68" t="s">
        <v>569</v>
      </c>
      <c r="J142" s="63"/>
      <c r="K142" s="63"/>
      <c r="M142" s="60">
        <f t="shared" si="90"/>
        <v>40</v>
      </c>
      <c r="N142" s="60">
        <f t="shared" si="91"/>
        <v>40</v>
      </c>
      <c r="O142" s="60">
        <f t="shared" si="92"/>
        <v>0</v>
      </c>
      <c r="P142" s="60">
        <f t="shared" si="93"/>
        <v>0</v>
      </c>
      <c r="Q142" s="60">
        <f t="shared" si="94"/>
        <v>11</v>
      </c>
      <c r="R142" s="60">
        <f t="shared" si="95"/>
        <v>11</v>
      </c>
      <c r="S142" s="60">
        <f t="shared" si="96"/>
        <v>80000</v>
      </c>
      <c r="T142" s="60">
        <f t="shared" si="97"/>
        <v>80000</v>
      </c>
      <c r="U142" s="60">
        <f t="shared" si="98"/>
        <v>0</v>
      </c>
      <c r="V142" s="60">
        <f t="shared" si="99"/>
        <v>0</v>
      </c>
      <c r="W142" s="60">
        <f t="shared" si="100"/>
        <v>0</v>
      </c>
      <c r="X142" s="60">
        <f t="shared" si="101"/>
        <v>0</v>
      </c>
      <c r="Y142" s="60">
        <f t="shared" si="102"/>
        <v>0</v>
      </c>
      <c r="Z142" s="60">
        <f t="shared" si="103"/>
        <v>0</v>
      </c>
      <c r="AA142" s="42"/>
      <c r="AB142" s="42"/>
      <c r="AC142" s="60">
        <f t="shared" si="104"/>
        <v>0</v>
      </c>
      <c r="AD142" s="60">
        <f t="shared" si="105"/>
        <v>0</v>
      </c>
      <c r="AE142" s="42"/>
      <c r="AF142" s="42"/>
      <c r="AG142" s="60">
        <f t="shared" si="88"/>
        <v>5</v>
      </c>
      <c r="AH142" s="60">
        <f t="shared" si="106"/>
        <v>5</v>
      </c>
      <c r="AJ142" s="22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35"/>
      <c r="AX142" s="35"/>
      <c r="AY142" s="35"/>
      <c r="AZ142" s="35"/>
      <c r="BA142" s="35"/>
      <c r="BB142" s="35"/>
      <c r="BC142" s="35"/>
      <c r="BD142" s="35"/>
      <c r="BE142" s="35"/>
    </row>
    <row r="143" spans="2:58" s="40" customFormat="1" x14ac:dyDescent="0.15">
      <c r="B143" s="79" t="str">
        <f t="shared" si="89"/>
        <v/>
      </c>
      <c r="C143" s="85"/>
      <c r="D143" s="75">
        <f>INDEX(节奏总纲!$AM$4:$AM$83,$F143)</f>
        <v>3.0579402515786085</v>
      </c>
      <c r="E143" s="75">
        <f>求节点(节奏总纲!$P$4:$P$163,节奏总纲!$O$4:$O$163,$D143)</f>
        <v>20.20181641490861</v>
      </c>
      <c r="F143" s="40">
        <v>17</v>
      </c>
      <c r="G143" s="85"/>
      <c r="H143" s="63"/>
      <c r="I143" s="68" t="s">
        <v>570</v>
      </c>
      <c r="J143" s="63"/>
      <c r="K143" s="63"/>
      <c r="M143" s="60">
        <f t="shared" si="90"/>
        <v>40</v>
      </c>
      <c r="N143" s="60">
        <f t="shared" si="91"/>
        <v>40</v>
      </c>
      <c r="O143" s="60">
        <f t="shared" si="92"/>
        <v>0</v>
      </c>
      <c r="P143" s="60">
        <f t="shared" si="93"/>
        <v>0</v>
      </c>
      <c r="Q143" s="60">
        <f t="shared" si="94"/>
        <v>11</v>
      </c>
      <c r="R143" s="60">
        <f t="shared" si="95"/>
        <v>11</v>
      </c>
      <c r="S143" s="60">
        <f t="shared" si="96"/>
        <v>80000</v>
      </c>
      <c r="T143" s="60">
        <f t="shared" si="97"/>
        <v>80000</v>
      </c>
      <c r="U143" s="60">
        <f t="shared" si="98"/>
        <v>0</v>
      </c>
      <c r="V143" s="60">
        <f t="shared" si="99"/>
        <v>0</v>
      </c>
      <c r="W143" s="60">
        <f t="shared" si="100"/>
        <v>0</v>
      </c>
      <c r="X143" s="60">
        <f t="shared" si="101"/>
        <v>0</v>
      </c>
      <c r="Y143" s="60">
        <f t="shared" si="102"/>
        <v>0</v>
      </c>
      <c r="Z143" s="60">
        <f t="shared" si="103"/>
        <v>0</v>
      </c>
      <c r="AA143" s="42"/>
      <c r="AB143" s="42"/>
      <c r="AC143" s="60">
        <f t="shared" si="104"/>
        <v>0</v>
      </c>
      <c r="AD143" s="60">
        <f t="shared" si="105"/>
        <v>0</v>
      </c>
      <c r="AE143" s="42"/>
      <c r="AF143" s="42"/>
      <c r="AG143" s="60">
        <f t="shared" si="88"/>
        <v>5</v>
      </c>
      <c r="AH143" s="60">
        <f t="shared" si="106"/>
        <v>5</v>
      </c>
      <c r="AJ143" s="22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35"/>
      <c r="AX143" s="35"/>
      <c r="AY143" s="35"/>
      <c r="AZ143" s="35"/>
      <c r="BA143" s="35"/>
      <c r="BB143" s="35"/>
      <c r="BC143" s="35"/>
      <c r="BD143" s="35"/>
      <c r="BE143" s="35"/>
    </row>
    <row r="144" spans="2:58" s="40" customFormat="1" x14ac:dyDescent="0.15">
      <c r="B144" s="79" t="str">
        <f t="shared" si="89"/>
        <v/>
      </c>
      <c r="C144" s="85"/>
      <c r="D144" s="75">
        <f>INDEX(节奏总纲!$AM$4:$AM$83,$F144)</f>
        <v>3.0579402515786085</v>
      </c>
      <c r="E144" s="75">
        <f>求节点(节奏总纲!$P$4:$P$163,节奏总纲!$O$4:$O$163,$D144)</f>
        <v>20.20181641490861</v>
      </c>
      <c r="F144" s="40">
        <v>17</v>
      </c>
      <c r="G144" s="85"/>
      <c r="H144" s="63"/>
      <c r="I144" s="68" t="s">
        <v>552</v>
      </c>
      <c r="J144" s="63"/>
      <c r="K144" s="63"/>
      <c r="M144" s="60">
        <f t="shared" si="90"/>
        <v>40</v>
      </c>
      <c r="N144" s="60">
        <f t="shared" si="91"/>
        <v>40</v>
      </c>
      <c r="O144" s="60">
        <f t="shared" si="92"/>
        <v>0</v>
      </c>
      <c r="P144" s="60">
        <f t="shared" si="93"/>
        <v>0</v>
      </c>
      <c r="Q144" s="60">
        <f t="shared" si="94"/>
        <v>11</v>
      </c>
      <c r="R144" s="60">
        <f t="shared" si="95"/>
        <v>11</v>
      </c>
      <c r="S144" s="60">
        <f t="shared" si="96"/>
        <v>80000</v>
      </c>
      <c r="T144" s="60">
        <f t="shared" si="97"/>
        <v>80000</v>
      </c>
      <c r="U144" s="60">
        <f t="shared" si="98"/>
        <v>0</v>
      </c>
      <c r="V144" s="60">
        <f t="shared" si="99"/>
        <v>0</v>
      </c>
      <c r="W144" s="60">
        <f t="shared" si="100"/>
        <v>0</v>
      </c>
      <c r="X144" s="60">
        <f t="shared" si="101"/>
        <v>0</v>
      </c>
      <c r="Y144" s="60">
        <f t="shared" si="102"/>
        <v>0</v>
      </c>
      <c r="Z144" s="60">
        <f t="shared" si="103"/>
        <v>0</v>
      </c>
      <c r="AA144" s="42"/>
      <c r="AB144" s="42"/>
      <c r="AC144" s="60">
        <f t="shared" si="104"/>
        <v>0</v>
      </c>
      <c r="AD144" s="60">
        <f t="shared" si="105"/>
        <v>0</v>
      </c>
      <c r="AE144" s="42"/>
      <c r="AF144" s="42"/>
      <c r="AG144" s="60">
        <f t="shared" si="88"/>
        <v>5</v>
      </c>
      <c r="AH144" s="60">
        <f t="shared" si="106"/>
        <v>5</v>
      </c>
      <c r="AJ144" s="22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35"/>
      <c r="AX144" s="35"/>
      <c r="AY144" s="35"/>
      <c r="AZ144" s="35"/>
      <c r="BA144" s="35"/>
      <c r="BB144" s="35"/>
      <c r="BC144" s="35"/>
      <c r="BD144" s="35"/>
      <c r="BE144" s="35"/>
      <c r="BF144" s="19"/>
    </row>
    <row r="145" spans="2:57" x14ac:dyDescent="0.15">
      <c r="B145" s="79" t="str">
        <f t="shared" si="89"/>
        <v/>
      </c>
      <c r="C145" s="85"/>
      <c r="D145" s="75">
        <f>INDEX(节奏总纲!$AM$4:$AM$83,$F145)</f>
        <v>3.0579402515786085</v>
      </c>
      <c r="E145" s="75">
        <f>求节点(节奏总纲!$P$4:$P$163,节奏总纲!$O$4:$O$163,$D145)</f>
        <v>20.20181641490861</v>
      </c>
      <c r="F145" s="40">
        <v>17</v>
      </c>
      <c r="G145" s="85"/>
      <c r="H145" s="63"/>
      <c r="I145" s="68" t="s">
        <v>512</v>
      </c>
      <c r="J145" s="63"/>
      <c r="K145" s="63"/>
      <c r="M145" s="60">
        <f t="shared" si="90"/>
        <v>40</v>
      </c>
      <c r="N145" s="60">
        <f t="shared" si="91"/>
        <v>40</v>
      </c>
      <c r="O145" s="60">
        <f t="shared" si="92"/>
        <v>0</v>
      </c>
      <c r="P145" s="60">
        <f t="shared" si="93"/>
        <v>0</v>
      </c>
      <c r="Q145" s="60">
        <f t="shared" si="94"/>
        <v>11</v>
      </c>
      <c r="R145" s="60">
        <f t="shared" si="95"/>
        <v>11</v>
      </c>
      <c r="S145" s="60">
        <f t="shared" si="96"/>
        <v>80000</v>
      </c>
      <c r="T145" s="60">
        <f t="shared" si="97"/>
        <v>80000</v>
      </c>
      <c r="U145" s="60">
        <f t="shared" si="98"/>
        <v>0</v>
      </c>
      <c r="V145" s="60">
        <f t="shared" si="99"/>
        <v>0</v>
      </c>
      <c r="W145" s="60">
        <f t="shared" si="100"/>
        <v>0</v>
      </c>
      <c r="X145" s="60">
        <f t="shared" si="101"/>
        <v>0</v>
      </c>
      <c r="Y145" s="60">
        <f t="shared" si="102"/>
        <v>0</v>
      </c>
      <c r="Z145" s="60">
        <f t="shared" si="103"/>
        <v>0</v>
      </c>
      <c r="AA145" s="42"/>
      <c r="AB145" s="42"/>
      <c r="AC145" s="60">
        <f t="shared" si="104"/>
        <v>0</v>
      </c>
      <c r="AD145" s="60">
        <f t="shared" si="105"/>
        <v>0</v>
      </c>
      <c r="AE145" s="42"/>
      <c r="AF145" s="42"/>
      <c r="AG145" s="60">
        <f t="shared" si="88"/>
        <v>5</v>
      </c>
      <c r="AH145" s="60">
        <f t="shared" si="106"/>
        <v>5</v>
      </c>
    </row>
    <row r="146" spans="2:57" x14ac:dyDescent="0.15">
      <c r="B146" s="79">
        <f t="shared" si="89"/>
        <v>8</v>
      </c>
      <c r="C146" s="85"/>
      <c r="D146" s="75">
        <f>INDEX(节奏总纲!$AM$4:$AM$83,$F146)</f>
        <v>3.671491735587451</v>
      </c>
      <c r="E146" s="75">
        <f>求节点(节奏总纲!$P$4:$P$163,节奏总纲!$O$4:$O$163,$D146)</f>
        <v>22.23257120211764</v>
      </c>
      <c r="F146" s="40">
        <v>18</v>
      </c>
      <c r="G146" s="85">
        <v>13</v>
      </c>
      <c r="H146" s="63" t="s">
        <v>357</v>
      </c>
      <c r="I146" s="69" t="s">
        <v>618</v>
      </c>
      <c r="J146" s="63"/>
      <c r="K146" s="63"/>
      <c r="M146" s="60">
        <f t="shared" si="90"/>
        <v>40</v>
      </c>
      <c r="N146" s="60">
        <f t="shared" si="91"/>
        <v>80</v>
      </c>
      <c r="O146" s="60">
        <f t="shared" si="92"/>
        <v>0</v>
      </c>
      <c r="P146" s="60">
        <f t="shared" si="93"/>
        <v>0</v>
      </c>
      <c r="Q146" s="60">
        <f t="shared" si="94"/>
        <v>11</v>
      </c>
      <c r="R146" s="60">
        <f t="shared" si="95"/>
        <v>22</v>
      </c>
      <c r="S146" s="60">
        <f t="shared" si="96"/>
        <v>90000</v>
      </c>
      <c r="T146" s="60">
        <f t="shared" si="97"/>
        <v>180000</v>
      </c>
      <c r="U146" s="60">
        <f t="shared" si="98"/>
        <v>0</v>
      </c>
      <c r="V146" s="60">
        <f t="shared" si="99"/>
        <v>0</v>
      </c>
      <c r="W146" s="60">
        <f t="shared" si="100"/>
        <v>0</v>
      </c>
      <c r="X146" s="60">
        <f t="shared" si="101"/>
        <v>0</v>
      </c>
      <c r="Y146" s="60">
        <f t="shared" si="102"/>
        <v>0</v>
      </c>
      <c r="Z146" s="60">
        <f t="shared" si="103"/>
        <v>0</v>
      </c>
      <c r="AA146" s="42"/>
      <c r="AB146" s="42"/>
      <c r="AC146" s="60">
        <f t="shared" si="104"/>
        <v>0</v>
      </c>
      <c r="AD146" s="60">
        <f t="shared" si="105"/>
        <v>0</v>
      </c>
      <c r="AE146" s="42"/>
      <c r="AF146" s="42"/>
      <c r="AG146" s="60">
        <f t="shared" si="88"/>
        <v>5</v>
      </c>
      <c r="AH146" s="60">
        <f t="shared" si="106"/>
        <v>10</v>
      </c>
    </row>
    <row r="147" spans="2:57" x14ac:dyDescent="0.15">
      <c r="B147" s="79" t="str">
        <f t="shared" si="89"/>
        <v/>
      </c>
      <c r="C147" s="85"/>
      <c r="D147" s="75">
        <f>INDEX(节奏总纲!$AM$4:$AM$83,$F147)</f>
        <v>3.671491735587451</v>
      </c>
      <c r="E147" s="75">
        <f>求节点(节奏总纲!$P$4:$P$163,节奏总纲!$O$4:$O$163,$D147)</f>
        <v>22.23257120211764</v>
      </c>
      <c r="F147" s="40">
        <v>18</v>
      </c>
      <c r="G147" s="85"/>
      <c r="H147" s="63" t="s">
        <v>461</v>
      </c>
      <c r="I147" s="69" t="s">
        <v>633</v>
      </c>
      <c r="J147" s="63"/>
      <c r="K147" s="63"/>
      <c r="M147" s="60">
        <f t="shared" si="90"/>
        <v>40</v>
      </c>
      <c r="N147" s="60">
        <f t="shared" si="91"/>
        <v>80</v>
      </c>
      <c r="O147" s="60">
        <f t="shared" si="92"/>
        <v>0</v>
      </c>
      <c r="P147" s="60">
        <f t="shared" si="93"/>
        <v>0</v>
      </c>
      <c r="Q147" s="60">
        <f t="shared" si="94"/>
        <v>11</v>
      </c>
      <c r="R147" s="60">
        <f t="shared" si="95"/>
        <v>22</v>
      </c>
      <c r="S147" s="60">
        <f t="shared" si="96"/>
        <v>90000</v>
      </c>
      <c r="T147" s="60">
        <f t="shared" si="97"/>
        <v>180000</v>
      </c>
      <c r="U147" s="60">
        <f t="shared" si="98"/>
        <v>0</v>
      </c>
      <c r="V147" s="60">
        <f t="shared" si="99"/>
        <v>0</v>
      </c>
      <c r="W147" s="60">
        <f t="shared" si="100"/>
        <v>0</v>
      </c>
      <c r="X147" s="60">
        <f t="shared" si="101"/>
        <v>0</v>
      </c>
      <c r="Y147" s="60">
        <f t="shared" si="102"/>
        <v>0</v>
      </c>
      <c r="Z147" s="60">
        <f t="shared" si="103"/>
        <v>0</v>
      </c>
      <c r="AA147" s="42"/>
      <c r="AB147" s="42"/>
      <c r="AC147" s="60">
        <f t="shared" si="104"/>
        <v>0</v>
      </c>
      <c r="AD147" s="60">
        <f t="shared" si="105"/>
        <v>0</v>
      </c>
      <c r="AE147" s="42"/>
      <c r="AF147" s="42"/>
      <c r="AG147" s="60">
        <f t="shared" si="88"/>
        <v>5</v>
      </c>
      <c r="AH147" s="60">
        <f t="shared" si="106"/>
        <v>10</v>
      </c>
    </row>
    <row r="148" spans="2:57" x14ac:dyDescent="0.15">
      <c r="B148" s="79" t="str">
        <f t="shared" si="89"/>
        <v/>
      </c>
      <c r="C148" s="85"/>
      <c r="D148" s="75">
        <f>INDEX(节奏总纲!$AM$4:$AM$83,$F148)</f>
        <v>3.671491735587451</v>
      </c>
      <c r="E148" s="75">
        <f>求节点(节奏总纲!$P$4:$P$163,节奏总纲!$O$4:$O$163,$D148)</f>
        <v>22.23257120211764</v>
      </c>
      <c r="F148" s="40">
        <v>18</v>
      </c>
      <c r="G148" s="85"/>
      <c r="H148" s="63" t="s">
        <v>501</v>
      </c>
      <c r="I148" s="69" t="s">
        <v>562</v>
      </c>
      <c r="J148" s="63"/>
      <c r="K148" s="63"/>
      <c r="M148" s="60">
        <f t="shared" si="90"/>
        <v>40</v>
      </c>
      <c r="N148" s="60">
        <f t="shared" si="91"/>
        <v>80</v>
      </c>
      <c r="O148" s="60">
        <f t="shared" si="92"/>
        <v>0</v>
      </c>
      <c r="P148" s="60">
        <f t="shared" si="93"/>
        <v>0</v>
      </c>
      <c r="Q148" s="60">
        <f t="shared" si="94"/>
        <v>11</v>
      </c>
      <c r="R148" s="60">
        <f t="shared" si="95"/>
        <v>22</v>
      </c>
      <c r="S148" s="60">
        <f t="shared" si="96"/>
        <v>90000</v>
      </c>
      <c r="T148" s="60">
        <f t="shared" si="97"/>
        <v>180000</v>
      </c>
      <c r="U148" s="60">
        <f t="shared" si="98"/>
        <v>0</v>
      </c>
      <c r="V148" s="60">
        <f t="shared" si="99"/>
        <v>0</v>
      </c>
      <c r="W148" s="60">
        <f t="shared" si="100"/>
        <v>0</v>
      </c>
      <c r="X148" s="60">
        <f t="shared" si="101"/>
        <v>0</v>
      </c>
      <c r="Y148" s="60">
        <f t="shared" si="102"/>
        <v>0</v>
      </c>
      <c r="Z148" s="60">
        <f t="shared" si="103"/>
        <v>0</v>
      </c>
      <c r="AA148" s="42"/>
      <c r="AB148" s="42"/>
      <c r="AC148" s="60">
        <f t="shared" si="104"/>
        <v>0</v>
      </c>
      <c r="AD148" s="60">
        <f t="shared" si="105"/>
        <v>0</v>
      </c>
      <c r="AE148" s="42"/>
      <c r="AF148" s="42"/>
      <c r="AG148" s="60">
        <f t="shared" si="88"/>
        <v>5</v>
      </c>
      <c r="AH148" s="60">
        <f t="shared" si="106"/>
        <v>10</v>
      </c>
    </row>
    <row r="149" spans="2:57" x14ac:dyDescent="0.15">
      <c r="B149" s="79" t="str">
        <f t="shared" si="89"/>
        <v/>
      </c>
      <c r="C149" s="85"/>
      <c r="D149" s="75">
        <f>INDEX(节奏总纲!$AM$4:$AM$83,$F149)</f>
        <v>3.671491735587451</v>
      </c>
      <c r="E149" s="75">
        <f>求节点(节奏总纲!$P$4:$P$163,节奏总纲!$O$4:$O$163,$D149)</f>
        <v>22.23257120211764</v>
      </c>
      <c r="F149" s="40">
        <v>18</v>
      </c>
      <c r="G149" s="85"/>
      <c r="H149" s="65"/>
      <c r="I149" s="69" t="s">
        <v>356</v>
      </c>
      <c r="J149" s="63"/>
      <c r="K149" s="63"/>
      <c r="M149" s="60">
        <f t="shared" si="90"/>
        <v>40</v>
      </c>
      <c r="N149" s="60">
        <f t="shared" si="91"/>
        <v>40</v>
      </c>
      <c r="O149" s="60">
        <f t="shared" si="92"/>
        <v>0</v>
      </c>
      <c r="P149" s="60">
        <f t="shared" si="93"/>
        <v>0</v>
      </c>
      <c r="Q149" s="60">
        <f t="shared" si="94"/>
        <v>11</v>
      </c>
      <c r="R149" s="60">
        <f t="shared" si="95"/>
        <v>11</v>
      </c>
      <c r="S149" s="60">
        <f t="shared" si="96"/>
        <v>90000</v>
      </c>
      <c r="T149" s="60">
        <f t="shared" si="97"/>
        <v>90000</v>
      </c>
      <c r="U149" s="60">
        <f t="shared" si="98"/>
        <v>0</v>
      </c>
      <c r="V149" s="60">
        <f t="shared" si="99"/>
        <v>0</v>
      </c>
      <c r="W149" s="60">
        <f t="shared" si="100"/>
        <v>0</v>
      </c>
      <c r="X149" s="60">
        <f t="shared" si="101"/>
        <v>0</v>
      </c>
      <c r="Y149" s="60">
        <f t="shared" si="102"/>
        <v>0</v>
      </c>
      <c r="Z149" s="60">
        <f t="shared" si="103"/>
        <v>0</v>
      </c>
      <c r="AA149" s="42"/>
      <c r="AB149" s="42"/>
      <c r="AC149" s="60">
        <f t="shared" si="104"/>
        <v>0</v>
      </c>
      <c r="AD149" s="60">
        <f t="shared" si="105"/>
        <v>0</v>
      </c>
      <c r="AE149" s="42"/>
      <c r="AF149" s="42"/>
      <c r="AG149" s="60">
        <f t="shared" si="88"/>
        <v>5</v>
      </c>
      <c r="AH149" s="60">
        <f t="shared" si="106"/>
        <v>5</v>
      </c>
    </row>
    <row r="150" spans="2:57" x14ac:dyDescent="0.15">
      <c r="B150" s="79" t="str">
        <f t="shared" si="89"/>
        <v/>
      </c>
      <c r="C150" s="85"/>
      <c r="D150" s="75">
        <f>INDEX(节奏总纲!$AM$4:$AM$83,$F150)</f>
        <v>3.671491735587451</v>
      </c>
      <c r="E150" s="75">
        <f>求节点(节奏总纲!$P$4:$P$163,节奏总纲!$O$4:$O$163,$D150)</f>
        <v>22.23257120211764</v>
      </c>
      <c r="F150" s="40">
        <v>18</v>
      </c>
      <c r="G150" s="85"/>
      <c r="H150" s="65" t="s">
        <v>398</v>
      </c>
      <c r="I150" s="69"/>
      <c r="J150" s="63"/>
      <c r="K150" s="63"/>
      <c r="M150" s="60">
        <f t="shared" si="90"/>
        <v>40</v>
      </c>
      <c r="N150" s="60">
        <f t="shared" si="91"/>
        <v>40</v>
      </c>
      <c r="O150" s="60">
        <f t="shared" si="92"/>
        <v>0</v>
      </c>
      <c r="P150" s="60">
        <f t="shared" si="93"/>
        <v>0</v>
      </c>
      <c r="Q150" s="60">
        <f t="shared" si="94"/>
        <v>11</v>
      </c>
      <c r="R150" s="60">
        <f t="shared" si="95"/>
        <v>11</v>
      </c>
      <c r="S150" s="60">
        <f t="shared" si="96"/>
        <v>90000</v>
      </c>
      <c r="T150" s="60">
        <f t="shared" si="97"/>
        <v>90000</v>
      </c>
      <c r="U150" s="60">
        <f t="shared" si="98"/>
        <v>0</v>
      </c>
      <c r="V150" s="60">
        <f t="shared" si="99"/>
        <v>0</v>
      </c>
      <c r="W150" s="60">
        <f t="shared" si="100"/>
        <v>0</v>
      </c>
      <c r="X150" s="60">
        <f t="shared" si="101"/>
        <v>0</v>
      </c>
      <c r="Y150" s="60">
        <f t="shared" si="102"/>
        <v>0</v>
      </c>
      <c r="Z150" s="60">
        <f t="shared" si="103"/>
        <v>0</v>
      </c>
      <c r="AA150" s="42"/>
      <c r="AB150" s="42"/>
      <c r="AC150" s="60">
        <f t="shared" si="104"/>
        <v>0</v>
      </c>
      <c r="AD150" s="60">
        <f t="shared" si="105"/>
        <v>0</v>
      </c>
      <c r="AE150" s="42"/>
      <c r="AF150" s="42"/>
      <c r="AG150" s="60">
        <f t="shared" si="88"/>
        <v>5</v>
      </c>
      <c r="AH150" s="60">
        <f t="shared" si="106"/>
        <v>5</v>
      </c>
    </row>
    <row r="151" spans="2:57" x14ac:dyDescent="0.15">
      <c r="B151" s="79">
        <f t="shared" si="89"/>
        <v>8</v>
      </c>
      <c r="C151" s="85"/>
      <c r="D151" s="75">
        <f>INDEX(节奏总纲!$AM$4:$AM$83,$F151)</f>
        <v>4.3957950643309154</v>
      </c>
      <c r="E151" s="75">
        <f>求节点(节奏总纲!$P$4:$P$163,节奏总纲!$O$4:$O$163,$D151)</f>
        <v>24.310866931512376</v>
      </c>
      <c r="F151" s="40">
        <v>19</v>
      </c>
      <c r="G151" s="85">
        <v>14</v>
      </c>
      <c r="H151" s="63" t="s">
        <v>410</v>
      </c>
      <c r="I151" s="69" t="s">
        <v>658</v>
      </c>
      <c r="J151" s="63"/>
      <c r="K151" s="63"/>
      <c r="M151" s="60">
        <f t="shared" si="90"/>
        <v>40</v>
      </c>
      <c r="N151" s="60">
        <f t="shared" si="91"/>
        <v>80</v>
      </c>
      <c r="O151" s="60">
        <f t="shared" si="92"/>
        <v>0</v>
      </c>
      <c r="P151" s="60">
        <f t="shared" si="93"/>
        <v>0</v>
      </c>
      <c r="Q151" s="60">
        <f t="shared" si="94"/>
        <v>11</v>
      </c>
      <c r="R151" s="60">
        <f t="shared" si="95"/>
        <v>22</v>
      </c>
      <c r="S151" s="60">
        <f t="shared" si="96"/>
        <v>100000</v>
      </c>
      <c r="T151" s="60">
        <f t="shared" si="97"/>
        <v>200000</v>
      </c>
      <c r="U151" s="60">
        <f t="shared" si="98"/>
        <v>0</v>
      </c>
      <c r="V151" s="60">
        <f t="shared" si="99"/>
        <v>0</v>
      </c>
      <c r="W151" s="60">
        <f t="shared" si="100"/>
        <v>0</v>
      </c>
      <c r="X151" s="60">
        <f t="shared" si="101"/>
        <v>0</v>
      </c>
      <c r="Y151" s="60">
        <f t="shared" si="102"/>
        <v>0</v>
      </c>
      <c r="Z151" s="60">
        <f t="shared" si="103"/>
        <v>0</v>
      </c>
      <c r="AA151" s="58"/>
      <c r="AB151" s="58"/>
      <c r="AC151" s="60">
        <f t="shared" si="104"/>
        <v>0</v>
      </c>
      <c r="AD151" s="60">
        <f t="shared" si="105"/>
        <v>0</v>
      </c>
      <c r="AE151" s="58"/>
      <c r="AF151" s="58"/>
      <c r="AG151" s="60">
        <f t="shared" si="88"/>
        <v>5</v>
      </c>
      <c r="AH151" s="60">
        <f t="shared" si="106"/>
        <v>10</v>
      </c>
    </row>
    <row r="152" spans="2:57" x14ac:dyDescent="0.15">
      <c r="B152" s="79" t="str">
        <f t="shared" si="89"/>
        <v/>
      </c>
      <c r="C152" s="85"/>
      <c r="D152" s="75">
        <f>INDEX(节奏总纲!$AM$4:$AM$83,$F152)</f>
        <v>4.3957950643309154</v>
      </c>
      <c r="E152" s="75">
        <f>求节点(节奏总纲!$P$4:$P$163,节奏总纲!$O$4:$O$163,$D152)</f>
        <v>24.310866931512376</v>
      </c>
      <c r="F152" s="40">
        <v>19</v>
      </c>
      <c r="G152" s="85"/>
      <c r="H152" s="63"/>
      <c r="I152" s="69" t="s">
        <v>664</v>
      </c>
      <c r="J152" s="63"/>
      <c r="K152" s="63"/>
      <c r="M152" s="60">
        <f t="shared" si="90"/>
        <v>40</v>
      </c>
      <c r="N152" s="60">
        <f t="shared" si="91"/>
        <v>40</v>
      </c>
      <c r="O152" s="60">
        <f t="shared" si="92"/>
        <v>0</v>
      </c>
      <c r="P152" s="60">
        <f t="shared" si="93"/>
        <v>0</v>
      </c>
      <c r="Q152" s="60">
        <f t="shared" si="94"/>
        <v>11</v>
      </c>
      <c r="R152" s="60">
        <f t="shared" si="95"/>
        <v>11</v>
      </c>
      <c r="S152" s="60">
        <f t="shared" si="96"/>
        <v>100000</v>
      </c>
      <c r="T152" s="60">
        <f t="shared" si="97"/>
        <v>100000</v>
      </c>
      <c r="U152" s="60">
        <f t="shared" si="98"/>
        <v>0</v>
      </c>
      <c r="V152" s="60">
        <f t="shared" si="99"/>
        <v>0</v>
      </c>
      <c r="W152" s="60">
        <f t="shared" si="100"/>
        <v>0</v>
      </c>
      <c r="X152" s="60">
        <f t="shared" si="101"/>
        <v>0</v>
      </c>
      <c r="Y152" s="60">
        <f t="shared" si="102"/>
        <v>0</v>
      </c>
      <c r="Z152" s="60">
        <f t="shared" si="103"/>
        <v>0</v>
      </c>
      <c r="AA152" s="58"/>
      <c r="AB152" s="58"/>
      <c r="AC152" s="60">
        <f t="shared" si="104"/>
        <v>0</v>
      </c>
      <c r="AD152" s="60">
        <f t="shared" si="105"/>
        <v>0</v>
      </c>
      <c r="AE152" s="58"/>
      <c r="AF152" s="58"/>
      <c r="AG152" s="60">
        <f t="shared" si="88"/>
        <v>5</v>
      </c>
      <c r="AH152" s="60">
        <f t="shared" si="106"/>
        <v>5</v>
      </c>
    </row>
    <row r="153" spans="2:57" x14ac:dyDescent="0.15">
      <c r="B153" s="79" t="str">
        <f t="shared" si="89"/>
        <v/>
      </c>
      <c r="C153" s="85"/>
      <c r="D153" s="75">
        <f>INDEX(节奏总纲!$AM$4:$AM$83,$F153)</f>
        <v>4.3957950643309154</v>
      </c>
      <c r="E153" s="75">
        <f>求节点(节奏总纲!$P$4:$P$163,节奏总纲!$O$4:$O$163,$D153)</f>
        <v>24.310866931512376</v>
      </c>
      <c r="F153" s="40">
        <v>19</v>
      </c>
      <c r="G153" s="85"/>
      <c r="H153" s="63" t="s">
        <v>596</v>
      </c>
      <c r="I153" s="69" t="s">
        <v>678</v>
      </c>
      <c r="J153" s="63"/>
      <c r="K153" s="63"/>
      <c r="M153" s="60">
        <f t="shared" si="90"/>
        <v>40</v>
      </c>
      <c r="N153" s="60">
        <f t="shared" si="91"/>
        <v>80</v>
      </c>
      <c r="O153" s="60">
        <f t="shared" si="92"/>
        <v>0</v>
      </c>
      <c r="P153" s="60">
        <f t="shared" si="93"/>
        <v>0</v>
      </c>
      <c r="Q153" s="60">
        <f t="shared" si="94"/>
        <v>11</v>
      </c>
      <c r="R153" s="60">
        <f t="shared" si="95"/>
        <v>22</v>
      </c>
      <c r="S153" s="60">
        <f t="shared" si="96"/>
        <v>100000</v>
      </c>
      <c r="T153" s="60">
        <f t="shared" si="97"/>
        <v>200000</v>
      </c>
      <c r="U153" s="60">
        <f t="shared" si="98"/>
        <v>0</v>
      </c>
      <c r="V153" s="60">
        <f t="shared" si="99"/>
        <v>0</v>
      </c>
      <c r="W153" s="60">
        <f t="shared" si="100"/>
        <v>0</v>
      </c>
      <c r="X153" s="60">
        <f t="shared" si="101"/>
        <v>0</v>
      </c>
      <c r="Y153" s="60">
        <f t="shared" si="102"/>
        <v>0</v>
      </c>
      <c r="Z153" s="60">
        <f t="shared" si="103"/>
        <v>0</v>
      </c>
      <c r="AA153" s="58"/>
      <c r="AB153" s="58"/>
      <c r="AC153" s="60">
        <f t="shared" si="104"/>
        <v>0</v>
      </c>
      <c r="AD153" s="60">
        <f t="shared" si="105"/>
        <v>0</v>
      </c>
      <c r="AE153" s="58"/>
      <c r="AF153" s="58"/>
      <c r="AG153" s="60">
        <f t="shared" ref="AG153:AG216" si="107">ROUNDUP((AG$2*$F153^AG$1+AG$3)/AG$4,0)*AG$4</f>
        <v>5</v>
      </c>
      <c r="AH153" s="60">
        <f t="shared" si="106"/>
        <v>10</v>
      </c>
    </row>
    <row r="154" spans="2:57" x14ac:dyDescent="0.15">
      <c r="B154" s="79" t="str">
        <f t="shared" si="89"/>
        <v/>
      </c>
      <c r="C154" s="85"/>
      <c r="D154" s="75">
        <f>INDEX(节奏总纲!$AM$4:$AM$83,$F154)</f>
        <v>4.3957950643309154</v>
      </c>
      <c r="E154" s="75">
        <f>求节点(节奏总纲!$P$4:$P$163,节奏总纲!$O$4:$O$163,$D154)</f>
        <v>24.310866931512376</v>
      </c>
      <c r="F154" s="40">
        <v>19</v>
      </c>
      <c r="G154" s="85"/>
      <c r="H154" s="70"/>
      <c r="I154" s="69" t="s">
        <v>679</v>
      </c>
      <c r="J154" s="63"/>
      <c r="K154" s="63"/>
      <c r="M154" s="60">
        <f t="shared" si="90"/>
        <v>40</v>
      </c>
      <c r="N154" s="60">
        <f t="shared" si="91"/>
        <v>40</v>
      </c>
      <c r="O154" s="60">
        <f t="shared" si="92"/>
        <v>0</v>
      </c>
      <c r="P154" s="60">
        <f t="shared" si="93"/>
        <v>0</v>
      </c>
      <c r="Q154" s="60">
        <f t="shared" si="94"/>
        <v>11</v>
      </c>
      <c r="R154" s="60">
        <f t="shared" si="95"/>
        <v>11</v>
      </c>
      <c r="S154" s="60">
        <f t="shared" si="96"/>
        <v>100000</v>
      </c>
      <c r="T154" s="60">
        <f t="shared" si="97"/>
        <v>100000</v>
      </c>
      <c r="U154" s="60">
        <f t="shared" si="98"/>
        <v>0</v>
      </c>
      <c r="V154" s="60">
        <f t="shared" si="99"/>
        <v>0</v>
      </c>
      <c r="W154" s="60">
        <f t="shared" si="100"/>
        <v>0</v>
      </c>
      <c r="X154" s="60">
        <f t="shared" si="101"/>
        <v>0</v>
      </c>
      <c r="Y154" s="60">
        <f t="shared" si="102"/>
        <v>0</v>
      </c>
      <c r="Z154" s="60">
        <f t="shared" si="103"/>
        <v>0</v>
      </c>
      <c r="AA154" s="58"/>
      <c r="AB154" s="58"/>
      <c r="AC154" s="60">
        <f t="shared" si="104"/>
        <v>0</v>
      </c>
      <c r="AD154" s="60">
        <f t="shared" si="105"/>
        <v>0</v>
      </c>
      <c r="AE154" s="58"/>
      <c r="AF154" s="58"/>
      <c r="AG154" s="60">
        <f t="shared" si="107"/>
        <v>5</v>
      </c>
      <c r="AH154" s="60">
        <f t="shared" si="106"/>
        <v>5</v>
      </c>
    </row>
    <row r="155" spans="2:57" x14ac:dyDescent="0.15">
      <c r="B155" s="79" t="str">
        <f t="shared" si="89"/>
        <v/>
      </c>
      <c r="C155" s="85"/>
      <c r="D155" s="75">
        <f>INDEX(节奏总纲!$AM$4:$AM$83,$F155)</f>
        <v>4.3957950643309154</v>
      </c>
      <c r="E155" s="75">
        <f>求节点(节奏总纲!$P$4:$P$163,节奏总纲!$O$4:$O$163,$D155)</f>
        <v>24.310866931512376</v>
      </c>
      <c r="F155" s="40">
        <v>19</v>
      </c>
      <c r="G155" s="85"/>
      <c r="H155" s="70" t="s">
        <v>698</v>
      </c>
      <c r="I155" s="69" t="s">
        <v>680</v>
      </c>
      <c r="J155" s="63"/>
      <c r="K155" s="63"/>
      <c r="M155" s="60">
        <f t="shared" si="90"/>
        <v>40</v>
      </c>
      <c r="N155" s="60">
        <f t="shared" si="91"/>
        <v>80</v>
      </c>
      <c r="O155" s="60">
        <f t="shared" si="92"/>
        <v>0</v>
      </c>
      <c r="P155" s="60">
        <f t="shared" si="93"/>
        <v>0</v>
      </c>
      <c r="Q155" s="60">
        <f t="shared" si="94"/>
        <v>11</v>
      </c>
      <c r="R155" s="60">
        <f t="shared" si="95"/>
        <v>22</v>
      </c>
      <c r="S155" s="60">
        <f t="shared" si="96"/>
        <v>100000</v>
      </c>
      <c r="T155" s="60">
        <f t="shared" si="97"/>
        <v>200000</v>
      </c>
      <c r="U155" s="60">
        <f t="shared" si="98"/>
        <v>0</v>
      </c>
      <c r="V155" s="60">
        <f t="shared" si="99"/>
        <v>0</v>
      </c>
      <c r="W155" s="60">
        <f t="shared" si="100"/>
        <v>0</v>
      </c>
      <c r="X155" s="60">
        <f t="shared" si="101"/>
        <v>0</v>
      </c>
      <c r="Y155" s="60">
        <f t="shared" si="102"/>
        <v>0</v>
      </c>
      <c r="Z155" s="60">
        <f t="shared" si="103"/>
        <v>0</v>
      </c>
      <c r="AA155" s="58"/>
      <c r="AB155" s="58"/>
      <c r="AC155" s="60">
        <f t="shared" si="104"/>
        <v>0</v>
      </c>
      <c r="AD155" s="60">
        <f t="shared" si="105"/>
        <v>0</v>
      </c>
      <c r="AE155" s="58"/>
      <c r="AF155" s="58"/>
      <c r="AG155" s="60">
        <f t="shared" si="107"/>
        <v>5</v>
      </c>
      <c r="AH155" s="60">
        <f t="shared" si="106"/>
        <v>10</v>
      </c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6"/>
      <c r="AX155" s="36"/>
      <c r="AY155" s="36"/>
      <c r="AZ155" s="36"/>
      <c r="BA155" s="36"/>
      <c r="BB155" s="36"/>
      <c r="BC155" s="36"/>
      <c r="BD155" s="36"/>
    </row>
    <row r="156" spans="2:57" x14ac:dyDescent="0.15">
      <c r="B156" s="79">
        <f t="shared" si="89"/>
        <v>8</v>
      </c>
      <c r="C156" s="85"/>
      <c r="D156" s="75">
        <f>INDEX(节奏总纲!$AM$4:$AM$83,$F156)</f>
        <v>5.25</v>
      </c>
      <c r="E156" s="75">
        <f>求节点(节奏总纲!$P$4:$P$163,节奏总纲!$O$4:$O$163,$D156)</f>
        <v>26.430041330048915</v>
      </c>
      <c r="F156" s="40">
        <v>20</v>
      </c>
      <c r="G156" s="85">
        <v>15</v>
      </c>
      <c r="H156" s="65" t="s">
        <v>411</v>
      </c>
      <c r="I156" s="69" t="s">
        <v>571</v>
      </c>
      <c r="J156" s="63"/>
      <c r="K156" s="63"/>
      <c r="M156" s="60">
        <f t="shared" si="90"/>
        <v>40</v>
      </c>
      <c r="N156" s="60">
        <f t="shared" si="91"/>
        <v>80</v>
      </c>
      <c r="O156" s="60">
        <f t="shared" si="92"/>
        <v>0</v>
      </c>
      <c r="P156" s="60">
        <f t="shared" si="93"/>
        <v>0</v>
      </c>
      <c r="Q156" s="60">
        <f t="shared" si="94"/>
        <v>12</v>
      </c>
      <c r="R156" s="60">
        <f t="shared" si="95"/>
        <v>24</v>
      </c>
      <c r="S156" s="60">
        <f t="shared" si="96"/>
        <v>100000</v>
      </c>
      <c r="T156" s="60">
        <f t="shared" si="97"/>
        <v>200000</v>
      </c>
      <c r="U156" s="60">
        <f t="shared" si="98"/>
        <v>0</v>
      </c>
      <c r="V156" s="60">
        <f t="shared" si="99"/>
        <v>0</v>
      </c>
      <c r="W156" s="60">
        <f t="shared" si="100"/>
        <v>0</v>
      </c>
      <c r="X156" s="60">
        <f t="shared" si="101"/>
        <v>0</v>
      </c>
      <c r="Y156" s="60">
        <f t="shared" si="102"/>
        <v>0</v>
      </c>
      <c r="Z156" s="60">
        <f t="shared" si="103"/>
        <v>0</v>
      </c>
      <c r="AA156" s="58"/>
      <c r="AB156" s="58"/>
      <c r="AC156" s="60">
        <f t="shared" si="104"/>
        <v>0</v>
      </c>
      <c r="AD156" s="60">
        <f t="shared" si="105"/>
        <v>0</v>
      </c>
      <c r="AE156" s="58"/>
      <c r="AF156" s="58"/>
      <c r="AG156" s="60">
        <f t="shared" si="107"/>
        <v>5</v>
      </c>
      <c r="AH156" s="60">
        <f t="shared" si="106"/>
        <v>10</v>
      </c>
    </row>
    <row r="157" spans="2:57" x14ac:dyDescent="0.15">
      <c r="B157" s="79" t="str">
        <f t="shared" si="89"/>
        <v/>
      </c>
      <c r="C157" s="85"/>
      <c r="D157" s="75">
        <f>INDEX(节奏总纲!$AM$4:$AM$83,$F157)</f>
        <v>5.25</v>
      </c>
      <c r="E157" s="75">
        <f>求节点(节奏总纲!$P$4:$P$163,节奏总纲!$O$4:$O$163,$D157)</f>
        <v>26.430041330048915</v>
      </c>
      <c r="F157" s="40">
        <v>20</v>
      </c>
      <c r="G157" s="85"/>
      <c r="H157" s="65" t="s">
        <v>654</v>
      </c>
      <c r="I157" s="69" t="s">
        <v>572</v>
      </c>
      <c r="J157" s="63"/>
      <c r="K157" s="63"/>
      <c r="M157" s="60">
        <f t="shared" si="90"/>
        <v>40</v>
      </c>
      <c r="N157" s="60">
        <f t="shared" si="91"/>
        <v>80</v>
      </c>
      <c r="O157" s="60">
        <f t="shared" si="92"/>
        <v>0</v>
      </c>
      <c r="P157" s="60">
        <f t="shared" si="93"/>
        <v>0</v>
      </c>
      <c r="Q157" s="60">
        <f t="shared" si="94"/>
        <v>12</v>
      </c>
      <c r="R157" s="60">
        <f t="shared" si="95"/>
        <v>24</v>
      </c>
      <c r="S157" s="60">
        <f t="shared" si="96"/>
        <v>100000</v>
      </c>
      <c r="T157" s="60">
        <f t="shared" si="97"/>
        <v>200000</v>
      </c>
      <c r="U157" s="60">
        <f t="shared" si="98"/>
        <v>0</v>
      </c>
      <c r="V157" s="60">
        <f t="shared" si="99"/>
        <v>0</v>
      </c>
      <c r="W157" s="60">
        <f t="shared" si="100"/>
        <v>0</v>
      </c>
      <c r="X157" s="60">
        <f t="shared" si="101"/>
        <v>0</v>
      </c>
      <c r="Y157" s="60">
        <f t="shared" si="102"/>
        <v>0</v>
      </c>
      <c r="Z157" s="60">
        <f t="shared" si="103"/>
        <v>0</v>
      </c>
      <c r="AA157" s="58"/>
      <c r="AB157" s="58"/>
      <c r="AC157" s="60">
        <f t="shared" si="104"/>
        <v>0</v>
      </c>
      <c r="AD157" s="60">
        <f t="shared" si="105"/>
        <v>0</v>
      </c>
      <c r="AE157" s="58"/>
      <c r="AF157" s="58"/>
      <c r="AG157" s="60">
        <f t="shared" si="107"/>
        <v>5</v>
      </c>
      <c r="AH157" s="60">
        <f t="shared" si="106"/>
        <v>10</v>
      </c>
    </row>
    <row r="158" spans="2:57" x14ac:dyDescent="0.15">
      <c r="B158" s="79" t="str">
        <f t="shared" si="89"/>
        <v/>
      </c>
      <c r="C158" s="85"/>
      <c r="D158" s="75">
        <f>INDEX(节奏总纲!$AM$4:$AM$83,$F158)</f>
        <v>5.25</v>
      </c>
      <c r="E158" s="75">
        <f>求节点(节奏总纲!$P$4:$P$163,节奏总纲!$O$4:$O$163,$D158)</f>
        <v>26.430041330048915</v>
      </c>
      <c r="F158" s="40">
        <v>20</v>
      </c>
      <c r="G158" s="85"/>
      <c r="H158" s="65" t="s">
        <v>453</v>
      </c>
      <c r="I158" s="69" t="s">
        <v>573</v>
      </c>
      <c r="J158" s="63"/>
      <c r="K158" s="63"/>
      <c r="M158" s="60">
        <f t="shared" si="90"/>
        <v>40</v>
      </c>
      <c r="N158" s="60">
        <f t="shared" si="91"/>
        <v>80</v>
      </c>
      <c r="O158" s="60">
        <f t="shared" si="92"/>
        <v>0</v>
      </c>
      <c r="P158" s="60">
        <f t="shared" si="93"/>
        <v>0</v>
      </c>
      <c r="Q158" s="60">
        <f t="shared" si="94"/>
        <v>12</v>
      </c>
      <c r="R158" s="60">
        <f t="shared" si="95"/>
        <v>24</v>
      </c>
      <c r="S158" s="60">
        <f t="shared" si="96"/>
        <v>100000</v>
      </c>
      <c r="T158" s="60">
        <f t="shared" si="97"/>
        <v>200000</v>
      </c>
      <c r="U158" s="60">
        <f t="shared" si="98"/>
        <v>0</v>
      </c>
      <c r="V158" s="60">
        <f t="shared" si="99"/>
        <v>0</v>
      </c>
      <c r="W158" s="60">
        <f t="shared" si="100"/>
        <v>0</v>
      </c>
      <c r="X158" s="60">
        <f t="shared" si="101"/>
        <v>0</v>
      </c>
      <c r="Y158" s="60">
        <f t="shared" si="102"/>
        <v>0</v>
      </c>
      <c r="Z158" s="60">
        <f t="shared" si="103"/>
        <v>0</v>
      </c>
      <c r="AA158" s="58"/>
      <c r="AB158" s="58"/>
      <c r="AC158" s="60">
        <f t="shared" si="104"/>
        <v>0</v>
      </c>
      <c r="AD158" s="60">
        <f t="shared" si="105"/>
        <v>0</v>
      </c>
      <c r="AE158" s="58"/>
      <c r="AF158" s="58"/>
      <c r="AG158" s="60">
        <f t="shared" si="107"/>
        <v>5</v>
      </c>
      <c r="AH158" s="60">
        <f t="shared" si="106"/>
        <v>10</v>
      </c>
    </row>
    <row r="159" spans="2:57" x14ac:dyDescent="0.15">
      <c r="B159" s="79" t="str">
        <f t="shared" si="89"/>
        <v/>
      </c>
      <c r="C159" s="85"/>
      <c r="D159" s="75">
        <f>INDEX(节奏总纲!$AM$4:$AM$83,$F159)</f>
        <v>5.25</v>
      </c>
      <c r="E159" s="75">
        <f>求节点(节奏总纲!$P$4:$P$163,节奏总纲!$O$4:$O$163,$D159)</f>
        <v>26.430041330048915</v>
      </c>
      <c r="F159" s="40">
        <v>20</v>
      </c>
      <c r="G159" s="85"/>
      <c r="H159" s="63" t="s">
        <v>602</v>
      </c>
      <c r="I159" s="69"/>
      <c r="J159" s="63"/>
      <c r="K159" s="63"/>
      <c r="M159" s="60">
        <f t="shared" si="90"/>
        <v>40</v>
      </c>
      <c r="N159" s="60">
        <f t="shared" si="91"/>
        <v>40</v>
      </c>
      <c r="O159" s="60">
        <f t="shared" si="92"/>
        <v>0</v>
      </c>
      <c r="P159" s="60">
        <f t="shared" si="93"/>
        <v>0</v>
      </c>
      <c r="Q159" s="60">
        <f t="shared" si="94"/>
        <v>12</v>
      </c>
      <c r="R159" s="60">
        <f t="shared" si="95"/>
        <v>12</v>
      </c>
      <c r="S159" s="60">
        <f t="shared" si="96"/>
        <v>100000</v>
      </c>
      <c r="T159" s="60">
        <f t="shared" si="97"/>
        <v>100000</v>
      </c>
      <c r="U159" s="60">
        <f t="shared" si="98"/>
        <v>0</v>
      </c>
      <c r="V159" s="60">
        <f t="shared" si="99"/>
        <v>0</v>
      </c>
      <c r="W159" s="60">
        <f t="shared" si="100"/>
        <v>0</v>
      </c>
      <c r="X159" s="60">
        <f t="shared" si="101"/>
        <v>0</v>
      </c>
      <c r="Y159" s="60">
        <f t="shared" si="102"/>
        <v>0</v>
      </c>
      <c r="Z159" s="60">
        <f t="shared" si="103"/>
        <v>0</v>
      </c>
      <c r="AA159" s="58"/>
      <c r="AB159" s="58"/>
      <c r="AC159" s="60">
        <f t="shared" si="104"/>
        <v>0</v>
      </c>
      <c r="AD159" s="60">
        <f t="shared" si="105"/>
        <v>0</v>
      </c>
      <c r="AE159" s="58"/>
      <c r="AF159" s="58"/>
      <c r="AG159" s="60">
        <f t="shared" si="107"/>
        <v>5</v>
      </c>
      <c r="AH159" s="60">
        <f t="shared" si="106"/>
        <v>5</v>
      </c>
      <c r="BE159" s="36"/>
    </row>
    <row r="160" spans="2:57" x14ac:dyDescent="0.15">
      <c r="B160" s="79" t="str">
        <f t="shared" si="89"/>
        <v/>
      </c>
      <c r="C160" s="85"/>
      <c r="D160" s="75">
        <f>INDEX(节奏总纲!$AM$4:$AM$83,$F160)</f>
        <v>5.25</v>
      </c>
      <c r="E160" s="75">
        <f>求节点(节奏总纲!$P$4:$P$163,节奏总纲!$O$4:$O$163,$D160)</f>
        <v>26.430041330048915</v>
      </c>
      <c r="F160" s="40">
        <v>20</v>
      </c>
      <c r="G160" s="85"/>
      <c r="H160" s="70" t="s">
        <v>699</v>
      </c>
      <c r="I160" s="69"/>
      <c r="J160" s="63"/>
      <c r="K160" s="63"/>
      <c r="M160" s="60">
        <f t="shared" si="90"/>
        <v>40</v>
      </c>
      <c r="N160" s="60">
        <f t="shared" si="91"/>
        <v>40</v>
      </c>
      <c r="O160" s="60">
        <f t="shared" si="92"/>
        <v>0</v>
      </c>
      <c r="P160" s="60">
        <f t="shared" si="93"/>
        <v>0</v>
      </c>
      <c r="Q160" s="60">
        <f t="shared" si="94"/>
        <v>12</v>
      </c>
      <c r="R160" s="60">
        <f t="shared" si="95"/>
        <v>12</v>
      </c>
      <c r="S160" s="60">
        <f t="shared" si="96"/>
        <v>100000</v>
      </c>
      <c r="T160" s="60">
        <f t="shared" si="97"/>
        <v>100000</v>
      </c>
      <c r="U160" s="60">
        <f t="shared" si="98"/>
        <v>0</v>
      </c>
      <c r="V160" s="60">
        <f t="shared" si="99"/>
        <v>0</v>
      </c>
      <c r="W160" s="60">
        <f t="shared" si="100"/>
        <v>0</v>
      </c>
      <c r="X160" s="60">
        <f t="shared" si="101"/>
        <v>0</v>
      </c>
      <c r="Y160" s="60">
        <f t="shared" si="102"/>
        <v>0</v>
      </c>
      <c r="Z160" s="60">
        <f t="shared" si="103"/>
        <v>0</v>
      </c>
      <c r="AA160" s="58"/>
      <c r="AB160" s="58"/>
      <c r="AC160" s="60">
        <f t="shared" si="104"/>
        <v>0</v>
      </c>
      <c r="AD160" s="60">
        <f t="shared" si="105"/>
        <v>0</v>
      </c>
      <c r="AE160" s="58"/>
      <c r="AF160" s="58"/>
      <c r="AG160" s="60">
        <f t="shared" si="107"/>
        <v>5</v>
      </c>
      <c r="AH160" s="60">
        <f t="shared" si="106"/>
        <v>5</v>
      </c>
    </row>
    <row r="161" spans="1:58" x14ac:dyDescent="0.15">
      <c r="B161" s="79">
        <f t="shared" si="89"/>
        <v>9</v>
      </c>
      <c r="C161" s="85"/>
      <c r="D161" s="75">
        <f>INDEX(节奏总纲!$AM$4:$AM$83,$F161)</f>
        <v>6.2565025247829205</v>
      </c>
      <c r="E161" s="75">
        <f>求节点(节奏总纲!$P$4:$P$163,节奏总纲!$O$4:$O$163,$D161)</f>
        <v>28.584360328652647</v>
      </c>
      <c r="F161" s="40">
        <v>21</v>
      </c>
      <c r="G161" s="85">
        <v>16</v>
      </c>
      <c r="H161" s="63" t="s">
        <v>413</v>
      </c>
      <c r="I161" s="69" t="s">
        <v>619</v>
      </c>
      <c r="J161" s="63"/>
      <c r="K161" s="63"/>
      <c r="M161" s="60">
        <f t="shared" si="90"/>
        <v>40</v>
      </c>
      <c r="N161" s="60">
        <f t="shared" si="91"/>
        <v>80</v>
      </c>
      <c r="O161" s="60">
        <f t="shared" si="92"/>
        <v>0</v>
      </c>
      <c r="P161" s="60">
        <f t="shared" si="93"/>
        <v>0</v>
      </c>
      <c r="Q161" s="60">
        <f t="shared" si="94"/>
        <v>12</v>
      </c>
      <c r="R161" s="60">
        <f t="shared" si="95"/>
        <v>24</v>
      </c>
      <c r="S161" s="60">
        <f t="shared" si="96"/>
        <v>110000</v>
      </c>
      <c r="T161" s="60">
        <f t="shared" si="97"/>
        <v>220000</v>
      </c>
      <c r="U161" s="60">
        <f t="shared" si="98"/>
        <v>0</v>
      </c>
      <c r="V161" s="60">
        <f t="shared" si="99"/>
        <v>0</v>
      </c>
      <c r="W161" s="60">
        <f t="shared" si="100"/>
        <v>0</v>
      </c>
      <c r="X161" s="60">
        <f t="shared" si="101"/>
        <v>0</v>
      </c>
      <c r="Y161" s="60">
        <f t="shared" si="102"/>
        <v>0</v>
      </c>
      <c r="Z161" s="60">
        <f t="shared" si="103"/>
        <v>0</v>
      </c>
      <c r="AA161" s="58"/>
      <c r="AB161" s="58"/>
      <c r="AC161" s="60">
        <f t="shared" si="104"/>
        <v>0</v>
      </c>
      <c r="AD161" s="60">
        <f t="shared" si="105"/>
        <v>0</v>
      </c>
      <c r="AE161" s="58"/>
      <c r="AF161" s="58"/>
      <c r="AG161" s="60">
        <f t="shared" si="107"/>
        <v>5</v>
      </c>
      <c r="AH161" s="60">
        <f t="shared" si="106"/>
        <v>10</v>
      </c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9"/>
      <c r="AX161" s="59"/>
      <c r="AY161" s="59"/>
      <c r="AZ161" s="59"/>
      <c r="BA161" s="59"/>
      <c r="BB161" s="59"/>
      <c r="BC161" s="59"/>
      <c r="BD161" s="59"/>
      <c r="BE161" s="59"/>
    </row>
    <row r="162" spans="1:58" x14ac:dyDescent="0.15">
      <c r="B162" s="79" t="str">
        <f t="shared" si="89"/>
        <v/>
      </c>
      <c r="C162" s="85"/>
      <c r="D162" s="75">
        <f>INDEX(节奏总纲!$AM$4:$AM$83,$F162)</f>
        <v>6.2565025247829205</v>
      </c>
      <c r="E162" s="75">
        <f>求节点(节奏总纲!$P$4:$P$163,节奏总纲!$O$4:$O$163,$D162)</f>
        <v>28.584360328652647</v>
      </c>
      <c r="F162" s="40">
        <v>21</v>
      </c>
      <c r="G162" s="85"/>
      <c r="H162" s="70" t="s">
        <v>700</v>
      </c>
      <c r="I162" s="69" t="s">
        <v>665</v>
      </c>
      <c r="J162" s="63"/>
      <c r="K162" s="63"/>
      <c r="M162" s="60">
        <f t="shared" si="90"/>
        <v>40</v>
      </c>
      <c r="N162" s="60">
        <f t="shared" si="91"/>
        <v>80</v>
      </c>
      <c r="O162" s="60">
        <f t="shared" si="92"/>
        <v>0</v>
      </c>
      <c r="P162" s="60">
        <f t="shared" si="93"/>
        <v>0</v>
      </c>
      <c r="Q162" s="60">
        <f t="shared" si="94"/>
        <v>12</v>
      </c>
      <c r="R162" s="60">
        <f t="shared" si="95"/>
        <v>24</v>
      </c>
      <c r="S162" s="60">
        <f t="shared" si="96"/>
        <v>110000</v>
      </c>
      <c r="T162" s="60">
        <f t="shared" si="97"/>
        <v>220000</v>
      </c>
      <c r="U162" s="60">
        <f t="shared" si="98"/>
        <v>0</v>
      </c>
      <c r="V162" s="60">
        <f t="shared" si="99"/>
        <v>0</v>
      </c>
      <c r="W162" s="60">
        <f t="shared" si="100"/>
        <v>0</v>
      </c>
      <c r="X162" s="60">
        <f t="shared" si="101"/>
        <v>0</v>
      </c>
      <c r="Y162" s="60">
        <f t="shared" si="102"/>
        <v>0</v>
      </c>
      <c r="Z162" s="60">
        <f t="shared" si="103"/>
        <v>0</v>
      </c>
      <c r="AA162" s="58"/>
      <c r="AB162" s="58"/>
      <c r="AC162" s="60">
        <f t="shared" si="104"/>
        <v>0</v>
      </c>
      <c r="AD162" s="60">
        <f t="shared" si="105"/>
        <v>0</v>
      </c>
      <c r="AE162" s="58"/>
      <c r="AF162" s="58"/>
      <c r="AG162" s="60">
        <f t="shared" si="107"/>
        <v>5</v>
      </c>
      <c r="AH162" s="60">
        <f t="shared" si="106"/>
        <v>10</v>
      </c>
      <c r="BF162" s="34"/>
    </row>
    <row r="163" spans="1:58" s="34" customFormat="1" x14ac:dyDescent="0.15">
      <c r="A163" s="40"/>
      <c r="B163" s="79" t="str">
        <f t="shared" si="89"/>
        <v/>
      </c>
      <c r="C163" s="85"/>
      <c r="D163" s="75">
        <f>INDEX(节奏总纲!$AM$4:$AM$83,$F163)</f>
        <v>6.2565025247829205</v>
      </c>
      <c r="E163" s="75">
        <f>求节点(节奏总纲!$P$4:$P$163,节奏总纲!$O$4:$O$163,$D163)</f>
        <v>28.584360328652647</v>
      </c>
      <c r="F163" s="40">
        <v>21</v>
      </c>
      <c r="G163" s="85"/>
      <c r="H163" s="70" t="s">
        <v>414</v>
      </c>
      <c r="I163" s="69" t="s">
        <v>518</v>
      </c>
      <c r="J163" s="63"/>
      <c r="K163" s="63"/>
      <c r="L163" s="40"/>
      <c r="M163" s="60">
        <f t="shared" si="90"/>
        <v>40</v>
      </c>
      <c r="N163" s="60">
        <f t="shared" si="91"/>
        <v>80</v>
      </c>
      <c r="O163" s="60">
        <f t="shared" si="92"/>
        <v>0</v>
      </c>
      <c r="P163" s="60">
        <f t="shared" si="93"/>
        <v>0</v>
      </c>
      <c r="Q163" s="60">
        <f t="shared" si="94"/>
        <v>12</v>
      </c>
      <c r="R163" s="60">
        <f t="shared" si="95"/>
        <v>24</v>
      </c>
      <c r="S163" s="60">
        <f t="shared" si="96"/>
        <v>110000</v>
      </c>
      <c r="T163" s="60">
        <f t="shared" si="97"/>
        <v>220000</v>
      </c>
      <c r="U163" s="60">
        <f t="shared" si="98"/>
        <v>0</v>
      </c>
      <c r="V163" s="60">
        <f t="shared" si="99"/>
        <v>0</v>
      </c>
      <c r="W163" s="60">
        <f t="shared" si="100"/>
        <v>0</v>
      </c>
      <c r="X163" s="60">
        <f t="shared" si="101"/>
        <v>0</v>
      </c>
      <c r="Y163" s="60">
        <f t="shared" si="102"/>
        <v>0</v>
      </c>
      <c r="Z163" s="60">
        <f t="shared" si="103"/>
        <v>0</v>
      </c>
      <c r="AA163" s="42"/>
      <c r="AB163" s="42"/>
      <c r="AC163" s="60">
        <f t="shared" si="104"/>
        <v>0</v>
      </c>
      <c r="AD163" s="60">
        <f t="shared" si="105"/>
        <v>0</v>
      </c>
      <c r="AE163" s="42"/>
      <c r="AF163" s="42"/>
      <c r="AG163" s="60">
        <f t="shared" si="107"/>
        <v>5</v>
      </c>
      <c r="AH163" s="60">
        <f t="shared" si="106"/>
        <v>10</v>
      </c>
      <c r="AI163" s="38"/>
      <c r="AJ163" s="22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35"/>
      <c r="AX163" s="35"/>
      <c r="AY163" s="35"/>
      <c r="AZ163" s="35"/>
      <c r="BA163" s="35"/>
      <c r="BB163" s="35"/>
      <c r="BC163" s="35"/>
      <c r="BD163" s="35"/>
      <c r="BE163" s="35"/>
      <c r="BF163" s="19"/>
    </row>
    <row r="164" spans="1:58" x14ac:dyDescent="0.15">
      <c r="B164" s="79" t="str">
        <f t="shared" si="89"/>
        <v/>
      </c>
      <c r="C164" s="85"/>
      <c r="D164" s="75">
        <f>INDEX(节奏总纲!$AM$4:$AM$83,$F164)</f>
        <v>6.2565025247829205</v>
      </c>
      <c r="E164" s="75">
        <f>求节点(节奏总纲!$P$4:$P$163,节奏总纲!$O$4:$O$163,$D164)</f>
        <v>28.584360328652647</v>
      </c>
      <c r="F164" s="40">
        <v>21</v>
      </c>
      <c r="G164" s="85"/>
      <c r="H164" s="63" t="s">
        <v>545</v>
      </c>
      <c r="I164" s="63" t="s">
        <v>519</v>
      </c>
      <c r="J164" s="63"/>
      <c r="K164" s="63"/>
      <c r="M164" s="60">
        <f t="shared" si="90"/>
        <v>40</v>
      </c>
      <c r="N164" s="60">
        <f t="shared" si="91"/>
        <v>80</v>
      </c>
      <c r="O164" s="60">
        <f t="shared" si="92"/>
        <v>0</v>
      </c>
      <c r="P164" s="60">
        <f t="shared" si="93"/>
        <v>0</v>
      </c>
      <c r="Q164" s="60">
        <f t="shared" si="94"/>
        <v>12</v>
      </c>
      <c r="R164" s="60">
        <f t="shared" si="95"/>
        <v>24</v>
      </c>
      <c r="S164" s="60">
        <f t="shared" si="96"/>
        <v>110000</v>
      </c>
      <c r="T164" s="60">
        <f t="shared" si="97"/>
        <v>220000</v>
      </c>
      <c r="U164" s="60">
        <f t="shared" si="98"/>
        <v>0</v>
      </c>
      <c r="V164" s="60">
        <f t="shared" si="99"/>
        <v>0</v>
      </c>
      <c r="W164" s="60">
        <f t="shared" si="100"/>
        <v>0</v>
      </c>
      <c r="X164" s="60">
        <f t="shared" si="101"/>
        <v>0</v>
      </c>
      <c r="Y164" s="60">
        <f t="shared" si="102"/>
        <v>0</v>
      </c>
      <c r="Z164" s="60">
        <f t="shared" si="103"/>
        <v>0</v>
      </c>
      <c r="AA164" s="42"/>
      <c r="AB164" s="42"/>
      <c r="AC164" s="60">
        <f t="shared" si="104"/>
        <v>0</v>
      </c>
      <c r="AD164" s="60">
        <f t="shared" si="105"/>
        <v>0</v>
      </c>
      <c r="AE164" s="42"/>
      <c r="AF164" s="42"/>
      <c r="AG164" s="60">
        <f t="shared" si="107"/>
        <v>5</v>
      </c>
      <c r="AH164" s="60">
        <f t="shared" si="106"/>
        <v>10</v>
      </c>
      <c r="BF164" s="58"/>
    </row>
    <row r="165" spans="1:58" s="58" customFormat="1" x14ac:dyDescent="0.15">
      <c r="B165" s="79" t="str">
        <f t="shared" si="89"/>
        <v/>
      </c>
      <c r="C165" s="85"/>
      <c r="D165" s="75">
        <f>INDEX(节奏总纲!$AM$4:$AM$83,$F165)</f>
        <v>6.2565025247829205</v>
      </c>
      <c r="E165" s="75">
        <f>求节点(节奏总纲!$P$4:$P$163,节奏总纲!$O$4:$O$163,$D165)</f>
        <v>28.584360328652647</v>
      </c>
      <c r="F165" s="62">
        <v>21</v>
      </c>
      <c r="G165" s="85"/>
      <c r="H165" s="63"/>
      <c r="I165" s="63" t="s">
        <v>520</v>
      </c>
      <c r="J165" s="63"/>
      <c r="K165" s="63"/>
      <c r="M165" s="60">
        <f t="shared" si="90"/>
        <v>40</v>
      </c>
      <c r="N165" s="60">
        <f t="shared" si="91"/>
        <v>40</v>
      </c>
      <c r="O165" s="60">
        <f t="shared" si="92"/>
        <v>0</v>
      </c>
      <c r="P165" s="60">
        <f t="shared" si="93"/>
        <v>0</v>
      </c>
      <c r="Q165" s="60">
        <f t="shared" si="94"/>
        <v>12</v>
      </c>
      <c r="R165" s="60">
        <f t="shared" si="95"/>
        <v>12</v>
      </c>
      <c r="S165" s="60">
        <f t="shared" si="96"/>
        <v>110000</v>
      </c>
      <c r="T165" s="60">
        <f t="shared" si="97"/>
        <v>110000</v>
      </c>
      <c r="U165" s="60">
        <f t="shared" si="98"/>
        <v>0</v>
      </c>
      <c r="V165" s="60">
        <f t="shared" si="99"/>
        <v>0</v>
      </c>
      <c r="W165" s="60">
        <f t="shared" si="100"/>
        <v>0</v>
      </c>
      <c r="X165" s="60">
        <f t="shared" si="101"/>
        <v>0</v>
      </c>
      <c r="Y165" s="60">
        <f t="shared" si="102"/>
        <v>0</v>
      </c>
      <c r="Z165" s="60">
        <f t="shared" si="103"/>
        <v>0</v>
      </c>
      <c r="AC165" s="60">
        <f t="shared" si="104"/>
        <v>0</v>
      </c>
      <c r="AD165" s="60">
        <f t="shared" si="105"/>
        <v>0</v>
      </c>
      <c r="AG165" s="60">
        <f t="shared" si="107"/>
        <v>5</v>
      </c>
      <c r="AH165" s="60">
        <f t="shared" si="106"/>
        <v>5</v>
      </c>
      <c r="AJ165" s="22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35"/>
      <c r="AX165" s="35"/>
      <c r="AY165" s="35"/>
      <c r="AZ165" s="35"/>
      <c r="BA165" s="35"/>
      <c r="BB165" s="35"/>
      <c r="BC165" s="35"/>
      <c r="BD165" s="35"/>
      <c r="BE165" s="35"/>
      <c r="BF165" s="19"/>
    </row>
    <row r="166" spans="1:58" x14ac:dyDescent="0.15">
      <c r="B166" s="79">
        <f t="shared" si="89"/>
        <v>9</v>
      </c>
      <c r="C166" s="85" t="s">
        <v>96</v>
      </c>
      <c r="D166" s="75">
        <f>INDEX(节奏总纲!$AM$4:$AM$83,$F166)</f>
        <v>7.4414868317755332</v>
      </c>
      <c r="E166" s="75">
        <f>求节点(节奏总纲!$P$4:$P$163,节奏总纲!$O$4:$O$163,$D166)</f>
        <v>30.768889392009427</v>
      </c>
      <c r="F166" s="62">
        <v>22</v>
      </c>
      <c r="G166" s="85">
        <v>1</v>
      </c>
      <c r="H166" s="63" t="s">
        <v>415</v>
      </c>
      <c r="I166" s="63" t="s">
        <v>553</v>
      </c>
      <c r="J166" s="63"/>
      <c r="K166" s="63"/>
      <c r="M166" s="60">
        <f t="shared" si="90"/>
        <v>40</v>
      </c>
      <c r="N166" s="60">
        <f t="shared" si="91"/>
        <v>80</v>
      </c>
      <c r="O166" s="60">
        <f t="shared" si="92"/>
        <v>0</v>
      </c>
      <c r="P166" s="60">
        <f t="shared" si="93"/>
        <v>0</v>
      </c>
      <c r="Q166" s="60">
        <f t="shared" si="94"/>
        <v>12</v>
      </c>
      <c r="R166" s="60">
        <f t="shared" si="95"/>
        <v>24</v>
      </c>
      <c r="S166" s="60">
        <f t="shared" si="96"/>
        <v>120000</v>
      </c>
      <c r="T166" s="60">
        <f t="shared" si="97"/>
        <v>240000</v>
      </c>
      <c r="U166" s="60">
        <f t="shared" si="98"/>
        <v>0</v>
      </c>
      <c r="V166" s="60">
        <f t="shared" si="99"/>
        <v>0</v>
      </c>
      <c r="W166" s="60">
        <f t="shared" si="100"/>
        <v>0</v>
      </c>
      <c r="X166" s="60">
        <f t="shared" si="101"/>
        <v>0</v>
      </c>
      <c r="Y166" s="60">
        <f t="shared" si="102"/>
        <v>0</v>
      </c>
      <c r="Z166" s="60">
        <f t="shared" si="103"/>
        <v>0</v>
      </c>
      <c r="AA166" s="42"/>
      <c r="AB166" s="42"/>
      <c r="AC166" s="60">
        <f t="shared" si="104"/>
        <v>0</v>
      </c>
      <c r="AD166" s="60">
        <f t="shared" si="105"/>
        <v>0</v>
      </c>
      <c r="AE166" s="58"/>
      <c r="AF166" s="58"/>
      <c r="AG166" s="60">
        <f t="shared" si="107"/>
        <v>5</v>
      </c>
      <c r="AH166" s="60">
        <f t="shared" si="106"/>
        <v>10</v>
      </c>
    </row>
    <row r="167" spans="1:58" x14ac:dyDescent="0.15">
      <c r="B167" s="79" t="str">
        <f t="shared" si="89"/>
        <v/>
      </c>
      <c r="C167" s="85"/>
      <c r="D167" s="75">
        <f>INDEX(节奏总纲!$AM$4:$AM$83,$F167)</f>
        <v>7.4414868317755332</v>
      </c>
      <c r="E167" s="75">
        <f>求节点(节奏总纲!$P$4:$P$163,节奏总纲!$O$4:$O$163,$D167)</f>
        <v>30.768889392009427</v>
      </c>
      <c r="F167" s="40">
        <v>22</v>
      </c>
      <c r="G167" s="85"/>
      <c r="H167" s="63" t="s">
        <v>504</v>
      </c>
      <c r="I167" s="63"/>
      <c r="J167" s="63"/>
      <c r="K167" s="63"/>
      <c r="M167" s="60">
        <f t="shared" si="90"/>
        <v>40</v>
      </c>
      <c r="N167" s="60">
        <f t="shared" si="91"/>
        <v>40</v>
      </c>
      <c r="O167" s="60">
        <f t="shared" si="92"/>
        <v>0</v>
      </c>
      <c r="P167" s="60">
        <f t="shared" si="93"/>
        <v>0</v>
      </c>
      <c r="Q167" s="60">
        <f t="shared" si="94"/>
        <v>12</v>
      </c>
      <c r="R167" s="60">
        <f t="shared" si="95"/>
        <v>12</v>
      </c>
      <c r="S167" s="60">
        <f t="shared" si="96"/>
        <v>120000</v>
      </c>
      <c r="T167" s="60">
        <f t="shared" si="97"/>
        <v>120000</v>
      </c>
      <c r="U167" s="60">
        <f t="shared" si="98"/>
        <v>0</v>
      </c>
      <c r="V167" s="60">
        <f t="shared" si="99"/>
        <v>0</v>
      </c>
      <c r="W167" s="60">
        <f t="shared" si="100"/>
        <v>0</v>
      </c>
      <c r="X167" s="60">
        <f t="shared" si="101"/>
        <v>0</v>
      </c>
      <c r="Y167" s="60">
        <f t="shared" si="102"/>
        <v>0</v>
      </c>
      <c r="Z167" s="60">
        <f t="shared" si="103"/>
        <v>0</v>
      </c>
      <c r="AA167" s="42"/>
      <c r="AB167" s="42"/>
      <c r="AC167" s="60">
        <f t="shared" si="104"/>
        <v>0</v>
      </c>
      <c r="AD167" s="60">
        <f t="shared" si="105"/>
        <v>0</v>
      </c>
      <c r="AE167" s="42"/>
      <c r="AF167" s="42"/>
      <c r="AG167" s="60">
        <f t="shared" si="107"/>
        <v>5</v>
      </c>
      <c r="AH167" s="60">
        <f t="shared" si="106"/>
        <v>5</v>
      </c>
    </row>
    <row r="168" spans="1:58" x14ac:dyDescent="0.15">
      <c r="B168" s="79" t="str">
        <f t="shared" si="89"/>
        <v/>
      </c>
      <c r="C168" s="85"/>
      <c r="D168" s="75">
        <f>INDEX(节奏总纲!$AM$4:$AM$83,$F168)</f>
        <v>7.4414868317755332</v>
      </c>
      <c r="E168" s="75">
        <f>求节点(节奏总纲!$P$4:$P$163,节奏总纲!$O$4:$O$163,$D168)</f>
        <v>30.768889392009427</v>
      </c>
      <c r="F168" s="40">
        <v>22</v>
      </c>
      <c r="G168" s="85"/>
      <c r="H168" s="70" t="s">
        <v>701</v>
      </c>
      <c r="I168" s="63"/>
      <c r="J168" s="63"/>
      <c r="K168" s="63"/>
      <c r="M168" s="60">
        <f t="shared" si="90"/>
        <v>40</v>
      </c>
      <c r="N168" s="60">
        <f t="shared" si="91"/>
        <v>40</v>
      </c>
      <c r="O168" s="60">
        <f t="shared" si="92"/>
        <v>0</v>
      </c>
      <c r="P168" s="60">
        <f t="shared" si="93"/>
        <v>0</v>
      </c>
      <c r="Q168" s="60">
        <f t="shared" si="94"/>
        <v>12</v>
      </c>
      <c r="R168" s="60">
        <f t="shared" si="95"/>
        <v>12</v>
      </c>
      <c r="S168" s="60">
        <f t="shared" si="96"/>
        <v>120000</v>
      </c>
      <c r="T168" s="60">
        <f t="shared" si="97"/>
        <v>120000</v>
      </c>
      <c r="U168" s="60">
        <f t="shared" si="98"/>
        <v>0</v>
      </c>
      <c r="V168" s="60">
        <f t="shared" si="99"/>
        <v>0</v>
      </c>
      <c r="W168" s="60">
        <f t="shared" si="100"/>
        <v>0</v>
      </c>
      <c r="X168" s="60">
        <f t="shared" si="101"/>
        <v>0</v>
      </c>
      <c r="Y168" s="60">
        <f t="shared" si="102"/>
        <v>0</v>
      </c>
      <c r="Z168" s="60">
        <f t="shared" si="103"/>
        <v>0</v>
      </c>
      <c r="AA168" s="42"/>
      <c r="AB168" s="42"/>
      <c r="AC168" s="60">
        <f t="shared" si="104"/>
        <v>0</v>
      </c>
      <c r="AD168" s="60">
        <f t="shared" si="105"/>
        <v>0</v>
      </c>
      <c r="AE168" s="42"/>
      <c r="AF168" s="42"/>
      <c r="AG168" s="60">
        <f t="shared" si="107"/>
        <v>5</v>
      </c>
      <c r="AH168" s="60">
        <f t="shared" si="106"/>
        <v>5</v>
      </c>
    </row>
    <row r="169" spans="1:58" x14ac:dyDescent="0.15">
      <c r="B169" s="79" t="str">
        <f t="shared" si="89"/>
        <v/>
      </c>
      <c r="C169" s="85"/>
      <c r="D169" s="75">
        <f>INDEX(节奏总纲!$AM$4:$AM$83,$F169)</f>
        <v>7.4414868317755332</v>
      </c>
      <c r="E169" s="75">
        <f>求节点(节奏总纲!$P$4:$P$163,节奏总纲!$O$4:$O$163,$D169)</f>
        <v>30.768889392009427</v>
      </c>
      <c r="F169" s="40">
        <v>22</v>
      </c>
      <c r="G169" s="85"/>
      <c r="H169" s="63"/>
      <c r="I169" s="63" t="s">
        <v>541</v>
      </c>
      <c r="J169" s="63"/>
      <c r="K169" s="63"/>
      <c r="M169" s="60">
        <f t="shared" si="90"/>
        <v>40</v>
      </c>
      <c r="N169" s="60">
        <f t="shared" si="91"/>
        <v>40</v>
      </c>
      <c r="O169" s="60">
        <f t="shared" si="92"/>
        <v>0</v>
      </c>
      <c r="P169" s="60">
        <f t="shared" si="93"/>
        <v>0</v>
      </c>
      <c r="Q169" s="60">
        <f t="shared" si="94"/>
        <v>12</v>
      </c>
      <c r="R169" s="60">
        <f t="shared" si="95"/>
        <v>12</v>
      </c>
      <c r="S169" s="60">
        <f t="shared" si="96"/>
        <v>120000</v>
      </c>
      <c r="T169" s="60">
        <f t="shared" si="97"/>
        <v>120000</v>
      </c>
      <c r="U169" s="60">
        <f t="shared" si="98"/>
        <v>0</v>
      </c>
      <c r="V169" s="60">
        <f t="shared" si="99"/>
        <v>0</v>
      </c>
      <c r="W169" s="60">
        <f t="shared" si="100"/>
        <v>0</v>
      </c>
      <c r="X169" s="60">
        <f t="shared" si="101"/>
        <v>0</v>
      </c>
      <c r="Y169" s="60">
        <f t="shared" si="102"/>
        <v>0</v>
      </c>
      <c r="Z169" s="60">
        <f t="shared" si="103"/>
        <v>0</v>
      </c>
      <c r="AA169" s="42"/>
      <c r="AB169" s="42"/>
      <c r="AC169" s="60">
        <f t="shared" si="104"/>
        <v>0</v>
      </c>
      <c r="AD169" s="60">
        <f t="shared" si="105"/>
        <v>0</v>
      </c>
      <c r="AE169" s="42"/>
      <c r="AF169" s="42"/>
      <c r="AG169" s="60">
        <f t="shared" si="107"/>
        <v>5</v>
      </c>
      <c r="AH169" s="60">
        <f t="shared" si="106"/>
        <v>5</v>
      </c>
    </row>
    <row r="170" spans="1:58" x14ac:dyDescent="0.15">
      <c r="B170" s="79" t="str">
        <f t="shared" si="89"/>
        <v/>
      </c>
      <c r="C170" s="85"/>
      <c r="D170" s="75">
        <f>INDEX(节奏总纲!$AM$4:$AM$83,$F170)</f>
        <v>7.4414868317755332</v>
      </c>
      <c r="E170" s="75">
        <f>求节点(节奏总纲!$P$4:$P$163,节奏总纲!$O$4:$O$163,$D170)</f>
        <v>30.768889392009427</v>
      </c>
      <c r="F170" s="40">
        <v>22</v>
      </c>
      <c r="G170" s="85"/>
      <c r="H170" s="65" t="s">
        <v>640</v>
      </c>
      <c r="I170" s="63" t="s">
        <v>542</v>
      </c>
      <c r="J170" s="63"/>
      <c r="K170" s="63"/>
      <c r="M170" s="60">
        <f t="shared" si="90"/>
        <v>40</v>
      </c>
      <c r="N170" s="60">
        <f t="shared" si="91"/>
        <v>80</v>
      </c>
      <c r="O170" s="60">
        <f t="shared" si="92"/>
        <v>0</v>
      </c>
      <c r="P170" s="60">
        <f t="shared" si="93"/>
        <v>0</v>
      </c>
      <c r="Q170" s="60">
        <f t="shared" si="94"/>
        <v>12</v>
      </c>
      <c r="R170" s="60">
        <f t="shared" si="95"/>
        <v>24</v>
      </c>
      <c r="S170" s="60">
        <f t="shared" si="96"/>
        <v>120000</v>
      </c>
      <c r="T170" s="60">
        <f t="shared" si="97"/>
        <v>240000</v>
      </c>
      <c r="U170" s="60">
        <f t="shared" si="98"/>
        <v>0</v>
      </c>
      <c r="V170" s="60">
        <f t="shared" si="99"/>
        <v>0</v>
      </c>
      <c r="W170" s="60">
        <f t="shared" si="100"/>
        <v>0</v>
      </c>
      <c r="X170" s="60">
        <f t="shared" si="101"/>
        <v>0</v>
      </c>
      <c r="Y170" s="60">
        <f t="shared" si="102"/>
        <v>0</v>
      </c>
      <c r="Z170" s="60">
        <f t="shared" si="103"/>
        <v>0</v>
      </c>
      <c r="AA170" s="42"/>
      <c r="AB170" s="42"/>
      <c r="AC170" s="60">
        <f t="shared" si="104"/>
        <v>0</v>
      </c>
      <c r="AD170" s="60">
        <f t="shared" si="105"/>
        <v>0</v>
      </c>
      <c r="AE170" s="42"/>
      <c r="AF170" s="42"/>
      <c r="AG170" s="60">
        <f t="shared" si="107"/>
        <v>5</v>
      </c>
      <c r="AH170" s="60">
        <f t="shared" si="106"/>
        <v>10</v>
      </c>
    </row>
    <row r="171" spans="1:58" x14ac:dyDescent="0.15">
      <c r="B171" s="79" t="str">
        <f t="shared" si="89"/>
        <v/>
      </c>
      <c r="C171" s="85"/>
      <c r="D171" s="75">
        <f>INDEX(节奏总纲!$AM$4:$AM$83,$F171)</f>
        <v>7.4414868317755332</v>
      </c>
      <c r="E171" s="75">
        <f>求节点(节奏总纲!$P$4:$P$163,节奏总纲!$O$4:$O$163,$D171)</f>
        <v>30.768889392009427</v>
      </c>
      <c r="F171" s="40">
        <v>22</v>
      </c>
      <c r="G171" s="85"/>
      <c r="H171" s="65" t="s">
        <v>417</v>
      </c>
      <c r="I171" s="63" t="s">
        <v>543</v>
      </c>
      <c r="J171" s="63"/>
      <c r="K171" s="63"/>
      <c r="M171" s="60">
        <f t="shared" si="90"/>
        <v>40</v>
      </c>
      <c r="N171" s="60">
        <f t="shared" si="91"/>
        <v>80</v>
      </c>
      <c r="O171" s="60">
        <f t="shared" si="92"/>
        <v>0</v>
      </c>
      <c r="P171" s="60">
        <f t="shared" si="93"/>
        <v>0</v>
      </c>
      <c r="Q171" s="60">
        <f t="shared" si="94"/>
        <v>12</v>
      </c>
      <c r="R171" s="60">
        <f t="shared" si="95"/>
        <v>24</v>
      </c>
      <c r="S171" s="60">
        <f t="shared" si="96"/>
        <v>120000</v>
      </c>
      <c r="T171" s="60">
        <f t="shared" si="97"/>
        <v>240000</v>
      </c>
      <c r="U171" s="60">
        <f t="shared" si="98"/>
        <v>0</v>
      </c>
      <c r="V171" s="60">
        <f t="shared" si="99"/>
        <v>0</v>
      </c>
      <c r="W171" s="60">
        <f t="shared" si="100"/>
        <v>0</v>
      </c>
      <c r="X171" s="60">
        <f t="shared" si="101"/>
        <v>0</v>
      </c>
      <c r="Y171" s="60">
        <f t="shared" si="102"/>
        <v>0</v>
      </c>
      <c r="Z171" s="60">
        <f t="shared" si="103"/>
        <v>0</v>
      </c>
      <c r="AA171" s="42"/>
      <c r="AB171" s="42"/>
      <c r="AC171" s="60">
        <f t="shared" si="104"/>
        <v>0</v>
      </c>
      <c r="AD171" s="60">
        <f t="shared" si="105"/>
        <v>0</v>
      </c>
      <c r="AE171" s="42"/>
      <c r="AF171" s="42"/>
      <c r="AG171" s="60">
        <f t="shared" si="107"/>
        <v>5</v>
      </c>
      <c r="AH171" s="60">
        <f t="shared" si="106"/>
        <v>10</v>
      </c>
    </row>
    <row r="172" spans="1:58" x14ac:dyDescent="0.15">
      <c r="B172" s="79">
        <f t="shared" si="89"/>
        <v>4</v>
      </c>
      <c r="C172" s="85"/>
      <c r="D172" s="75">
        <f>INDEX(节奏总纲!$AM$4:$AM$83,$F172)</f>
        <v>8.8355567243832152</v>
      </c>
      <c r="E172" s="75">
        <f>求节点(节奏总纲!$P$4:$P$163,节奏总纲!$O$4:$O$163,$D172)</f>
        <v>32.979382606869549</v>
      </c>
      <c r="F172" s="40">
        <v>23</v>
      </c>
      <c r="G172" s="85">
        <v>2</v>
      </c>
      <c r="H172" s="65" t="s">
        <v>418</v>
      </c>
      <c r="I172" s="63"/>
      <c r="J172" s="63"/>
      <c r="K172" s="63"/>
      <c r="M172" s="60">
        <f t="shared" si="90"/>
        <v>40</v>
      </c>
      <c r="N172" s="60">
        <f t="shared" si="91"/>
        <v>40</v>
      </c>
      <c r="O172" s="60">
        <f t="shared" si="92"/>
        <v>0</v>
      </c>
      <c r="P172" s="60">
        <f t="shared" si="93"/>
        <v>0</v>
      </c>
      <c r="Q172" s="60">
        <f t="shared" si="94"/>
        <v>12</v>
      </c>
      <c r="R172" s="60">
        <f t="shared" si="95"/>
        <v>12</v>
      </c>
      <c r="S172" s="60">
        <f t="shared" si="96"/>
        <v>130000</v>
      </c>
      <c r="T172" s="60">
        <f t="shared" si="97"/>
        <v>130000</v>
      </c>
      <c r="U172" s="60">
        <f t="shared" si="98"/>
        <v>0</v>
      </c>
      <c r="V172" s="60">
        <f t="shared" si="99"/>
        <v>0</v>
      </c>
      <c r="W172" s="60">
        <f t="shared" si="100"/>
        <v>0</v>
      </c>
      <c r="X172" s="60">
        <f t="shared" si="101"/>
        <v>0</v>
      </c>
      <c r="Y172" s="60">
        <f t="shared" si="102"/>
        <v>0</v>
      </c>
      <c r="Z172" s="60">
        <f t="shared" si="103"/>
        <v>0</v>
      </c>
      <c r="AA172" s="42"/>
      <c r="AB172" s="42"/>
      <c r="AC172" s="60">
        <f t="shared" si="104"/>
        <v>0</v>
      </c>
      <c r="AD172" s="60">
        <f t="shared" si="105"/>
        <v>0</v>
      </c>
      <c r="AE172" s="42"/>
      <c r="AF172" s="42"/>
      <c r="AG172" s="60">
        <f t="shared" si="107"/>
        <v>5</v>
      </c>
      <c r="AH172" s="60">
        <f t="shared" si="106"/>
        <v>5</v>
      </c>
    </row>
    <row r="173" spans="1:58" x14ac:dyDescent="0.15">
      <c r="B173" s="79" t="str">
        <f t="shared" si="89"/>
        <v/>
      </c>
      <c r="C173" s="85"/>
      <c r="D173" s="75">
        <f>INDEX(节奏总纲!$AM$4:$AM$83,$F173)</f>
        <v>8.8355567243832152</v>
      </c>
      <c r="E173" s="75">
        <f>求节点(节奏总纲!$P$4:$P$163,节奏总纲!$O$4:$O$163,$D173)</f>
        <v>32.979382606869549</v>
      </c>
      <c r="F173" s="40">
        <v>23</v>
      </c>
      <c r="G173" s="85"/>
      <c r="H173" s="70" t="s">
        <v>702</v>
      </c>
      <c r="I173" s="69" t="s">
        <v>620</v>
      </c>
      <c r="J173" s="63"/>
      <c r="K173" s="63"/>
      <c r="M173" s="60">
        <f t="shared" si="90"/>
        <v>40</v>
      </c>
      <c r="N173" s="60">
        <f t="shared" si="91"/>
        <v>80</v>
      </c>
      <c r="O173" s="60">
        <f t="shared" si="92"/>
        <v>0</v>
      </c>
      <c r="P173" s="60">
        <f t="shared" si="93"/>
        <v>0</v>
      </c>
      <c r="Q173" s="60">
        <f t="shared" si="94"/>
        <v>12</v>
      </c>
      <c r="R173" s="60">
        <f t="shared" si="95"/>
        <v>24</v>
      </c>
      <c r="S173" s="60">
        <f t="shared" si="96"/>
        <v>130000</v>
      </c>
      <c r="T173" s="60">
        <f t="shared" si="97"/>
        <v>260000</v>
      </c>
      <c r="U173" s="60">
        <f t="shared" si="98"/>
        <v>0</v>
      </c>
      <c r="V173" s="60">
        <f t="shared" si="99"/>
        <v>0</v>
      </c>
      <c r="W173" s="60">
        <f t="shared" si="100"/>
        <v>0</v>
      </c>
      <c r="X173" s="60">
        <f t="shared" si="101"/>
        <v>0</v>
      </c>
      <c r="Y173" s="60">
        <f t="shared" si="102"/>
        <v>0</v>
      </c>
      <c r="Z173" s="60">
        <f t="shared" si="103"/>
        <v>0</v>
      </c>
      <c r="AA173" s="42"/>
      <c r="AB173" s="42"/>
      <c r="AC173" s="60">
        <f t="shared" si="104"/>
        <v>0</v>
      </c>
      <c r="AD173" s="60">
        <f t="shared" si="105"/>
        <v>0</v>
      </c>
      <c r="AE173" s="42"/>
      <c r="AF173" s="42"/>
      <c r="AG173" s="60">
        <f t="shared" si="107"/>
        <v>5</v>
      </c>
      <c r="AH173" s="60">
        <f t="shared" si="106"/>
        <v>10</v>
      </c>
    </row>
    <row r="174" spans="1:58" x14ac:dyDescent="0.15">
      <c r="B174" s="79" t="str">
        <f t="shared" si="89"/>
        <v/>
      </c>
      <c r="C174" s="85"/>
      <c r="D174" s="75">
        <f>INDEX(节奏总纲!$AM$4:$AM$83,$F174)</f>
        <v>8.8355567243832152</v>
      </c>
      <c r="E174" s="75">
        <f>求节点(节奏总纲!$P$4:$P$163,节奏总纲!$O$4:$O$163,$D174)</f>
        <v>32.979382606869549</v>
      </c>
      <c r="F174" s="40">
        <v>23</v>
      </c>
      <c r="G174" s="85"/>
      <c r="H174" s="70"/>
      <c r="I174" s="69" t="s">
        <v>631</v>
      </c>
      <c r="J174" s="63"/>
      <c r="K174" s="63"/>
      <c r="M174" s="60">
        <f t="shared" si="90"/>
        <v>40</v>
      </c>
      <c r="N174" s="60">
        <f t="shared" si="91"/>
        <v>40</v>
      </c>
      <c r="O174" s="60">
        <f t="shared" si="92"/>
        <v>0</v>
      </c>
      <c r="P174" s="60">
        <f t="shared" si="93"/>
        <v>0</v>
      </c>
      <c r="Q174" s="60">
        <f t="shared" si="94"/>
        <v>12</v>
      </c>
      <c r="R174" s="60">
        <f t="shared" si="95"/>
        <v>12</v>
      </c>
      <c r="S174" s="60">
        <f t="shared" si="96"/>
        <v>130000</v>
      </c>
      <c r="T174" s="60">
        <f t="shared" si="97"/>
        <v>130000</v>
      </c>
      <c r="U174" s="60">
        <f t="shared" si="98"/>
        <v>0</v>
      </c>
      <c r="V174" s="60">
        <f t="shared" si="99"/>
        <v>0</v>
      </c>
      <c r="W174" s="60">
        <f t="shared" si="100"/>
        <v>0</v>
      </c>
      <c r="X174" s="60">
        <f t="shared" si="101"/>
        <v>0</v>
      </c>
      <c r="Y174" s="60">
        <f t="shared" si="102"/>
        <v>0</v>
      </c>
      <c r="Z174" s="60">
        <f t="shared" si="103"/>
        <v>0</v>
      </c>
      <c r="AA174" s="42"/>
      <c r="AB174" s="42"/>
      <c r="AC174" s="60">
        <f t="shared" si="104"/>
        <v>0</v>
      </c>
      <c r="AD174" s="60">
        <f t="shared" si="105"/>
        <v>0</v>
      </c>
      <c r="AE174" s="42"/>
      <c r="AF174" s="42"/>
      <c r="AG174" s="60">
        <f t="shared" si="107"/>
        <v>5</v>
      </c>
      <c r="AH174" s="60">
        <f t="shared" si="106"/>
        <v>5</v>
      </c>
    </row>
    <row r="175" spans="1:58" x14ac:dyDescent="0.15">
      <c r="B175" s="79">
        <f t="shared" si="89"/>
        <v>9</v>
      </c>
      <c r="C175" s="85"/>
      <c r="D175" s="75">
        <f>INDEX(节奏总纲!$AM$4:$AM$83,$F175)</f>
        <v>10.47447102993563</v>
      </c>
      <c r="E175" s="75">
        <f>求节点(节奏总纲!$P$4:$P$163,节奏总纲!$O$4:$O$163,$D175)</f>
        <v>35.197977552877902</v>
      </c>
      <c r="F175" s="40">
        <v>24</v>
      </c>
      <c r="G175" s="85">
        <v>3</v>
      </c>
      <c r="H175" s="63" t="s">
        <v>419</v>
      </c>
      <c r="I175" s="69" t="s">
        <v>659</v>
      </c>
      <c r="J175" s="63" t="s">
        <v>478</v>
      </c>
      <c r="K175" s="63"/>
      <c r="M175" s="60">
        <f t="shared" si="90"/>
        <v>40</v>
      </c>
      <c r="N175" s="60">
        <f t="shared" si="91"/>
        <v>120</v>
      </c>
      <c r="O175" s="60">
        <f t="shared" si="92"/>
        <v>0</v>
      </c>
      <c r="P175" s="60">
        <f t="shared" si="93"/>
        <v>0</v>
      </c>
      <c r="Q175" s="60">
        <f t="shared" si="94"/>
        <v>13</v>
      </c>
      <c r="R175" s="60">
        <f t="shared" si="95"/>
        <v>39</v>
      </c>
      <c r="S175" s="60">
        <f t="shared" si="96"/>
        <v>140000</v>
      </c>
      <c r="T175" s="60">
        <f t="shared" si="97"/>
        <v>420000</v>
      </c>
      <c r="U175" s="60">
        <f t="shared" si="98"/>
        <v>0</v>
      </c>
      <c r="V175" s="60">
        <f t="shared" si="99"/>
        <v>0</v>
      </c>
      <c r="W175" s="60">
        <f t="shared" si="100"/>
        <v>0</v>
      </c>
      <c r="X175" s="60">
        <f t="shared" si="101"/>
        <v>0</v>
      </c>
      <c r="Y175" s="60">
        <f t="shared" si="102"/>
        <v>0</v>
      </c>
      <c r="Z175" s="60">
        <f t="shared" si="103"/>
        <v>0</v>
      </c>
      <c r="AA175" s="42"/>
      <c r="AB175" s="42"/>
      <c r="AC175" s="60">
        <f t="shared" si="104"/>
        <v>0</v>
      </c>
      <c r="AD175" s="60">
        <f t="shared" si="105"/>
        <v>0</v>
      </c>
      <c r="AE175" s="42"/>
      <c r="AF175" s="42"/>
      <c r="AG175" s="60">
        <f t="shared" si="107"/>
        <v>5</v>
      </c>
      <c r="AH175" s="60">
        <f t="shared" si="106"/>
        <v>15</v>
      </c>
    </row>
    <row r="176" spans="1:58" x14ac:dyDescent="0.15">
      <c r="B176" s="79" t="str">
        <f t="shared" si="89"/>
        <v/>
      </c>
      <c r="C176" s="85"/>
      <c r="D176" s="75">
        <f>INDEX(节奏总纲!$AM$4:$AM$83,$F176)</f>
        <v>10.47447102993563</v>
      </c>
      <c r="E176" s="75">
        <f>求节点(节奏总纲!$P$4:$P$163,节奏总纲!$O$4:$O$163,$D176)</f>
        <v>35.197977552877902</v>
      </c>
      <c r="F176" s="40">
        <v>24</v>
      </c>
      <c r="G176" s="85"/>
      <c r="H176" s="63" t="s">
        <v>580</v>
      </c>
      <c r="I176" s="69" t="s">
        <v>666</v>
      </c>
      <c r="J176" s="63" t="s">
        <v>358</v>
      </c>
      <c r="K176" s="63"/>
      <c r="M176" s="60">
        <f t="shared" si="90"/>
        <v>40</v>
      </c>
      <c r="N176" s="60">
        <f t="shared" si="91"/>
        <v>120</v>
      </c>
      <c r="O176" s="60">
        <f t="shared" si="92"/>
        <v>0</v>
      </c>
      <c r="P176" s="60">
        <f t="shared" si="93"/>
        <v>0</v>
      </c>
      <c r="Q176" s="60">
        <f t="shared" si="94"/>
        <v>13</v>
      </c>
      <c r="R176" s="60">
        <f t="shared" si="95"/>
        <v>39</v>
      </c>
      <c r="S176" s="60">
        <f t="shared" si="96"/>
        <v>140000</v>
      </c>
      <c r="T176" s="60">
        <f t="shared" si="97"/>
        <v>420000</v>
      </c>
      <c r="U176" s="60">
        <f t="shared" si="98"/>
        <v>0</v>
      </c>
      <c r="V176" s="60">
        <f t="shared" si="99"/>
        <v>0</v>
      </c>
      <c r="W176" s="60">
        <f t="shared" si="100"/>
        <v>0</v>
      </c>
      <c r="X176" s="60">
        <f t="shared" si="101"/>
        <v>0</v>
      </c>
      <c r="Y176" s="60">
        <f t="shared" si="102"/>
        <v>0</v>
      </c>
      <c r="Z176" s="60">
        <f t="shared" si="103"/>
        <v>0</v>
      </c>
      <c r="AA176" s="42"/>
      <c r="AB176" s="42"/>
      <c r="AC176" s="60">
        <f t="shared" si="104"/>
        <v>0</v>
      </c>
      <c r="AD176" s="60">
        <f t="shared" si="105"/>
        <v>0</v>
      </c>
      <c r="AE176" s="42"/>
      <c r="AF176" s="42"/>
      <c r="AG176" s="60">
        <f t="shared" si="107"/>
        <v>5</v>
      </c>
      <c r="AH176" s="60">
        <f t="shared" si="106"/>
        <v>15</v>
      </c>
    </row>
    <row r="177" spans="1:57" x14ac:dyDescent="0.15">
      <c r="B177" s="79" t="str">
        <f t="shared" si="89"/>
        <v/>
      </c>
      <c r="C177" s="85"/>
      <c r="D177" s="75">
        <f>INDEX(节奏总纲!$AM$4:$AM$83,$F177)</f>
        <v>10.47447102993563</v>
      </c>
      <c r="E177" s="75">
        <f>求节点(节奏总纲!$P$4:$P$163,节奏总纲!$O$4:$O$163,$D177)</f>
        <v>35.197977552877902</v>
      </c>
      <c r="F177" s="40">
        <v>24</v>
      </c>
      <c r="G177" s="85"/>
      <c r="H177" s="65" t="s">
        <v>642</v>
      </c>
      <c r="I177" s="69"/>
      <c r="J177" s="63" t="s">
        <v>359</v>
      </c>
      <c r="K177" s="63"/>
      <c r="M177" s="60">
        <f t="shared" si="90"/>
        <v>40</v>
      </c>
      <c r="N177" s="60">
        <f t="shared" si="91"/>
        <v>80</v>
      </c>
      <c r="O177" s="60">
        <f t="shared" si="92"/>
        <v>0</v>
      </c>
      <c r="P177" s="60">
        <f t="shared" si="93"/>
        <v>0</v>
      </c>
      <c r="Q177" s="60">
        <f t="shared" si="94"/>
        <v>13</v>
      </c>
      <c r="R177" s="60">
        <f t="shared" si="95"/>
        <v>26</v>
      </c>
      <c r="S177" s="60">
        <f t="shared" si="96"/>
        <v>140000</v>
      </c>
      <c r="T177" s="60">
        <f t="shared" si="97"/>
        <v>280000</v>
      </c>
      <c r="U177" s="60">
        <f t="shared" si="98"/>
        <v>0</v>
      </c>
      <c r="V177" s="60">
        <f t="shared" si="99"/>
        <v>0</v>
      </c>
      <c r="W177" s="60">
        <f t="shared" si="100"/>
        <v>0</v>
      </c>
      <c r="X177" s="60">
        <f t="shared" si="101"/>
        <v>0</v>
      </c>
      <c r="Y177" s="60">
        <f t="shared" si="102"/>
        <v>0</v>
      </c>
      <c r="Z177" s="60">
        <f t="shared" si="103"/>
        <v>0</v>
      </c>
      <c r="AA177" s="42"/>
      <c r="AB177" s="42"/>
      <c r="AC177" s="60">
        <f t="shared" si="104"/>
        <v>0</v>
      </c>
      <c r="AD177" s="60">
        <f t="shared" si="105"/>
        <v>0</v>
      </c>
      <c r="AE177" s="42"/>
      <c r="AF177" s="42"/>
      <c r="AG177" s="60">
        <f t="shared" si="107"/>
        <v>5</v>
      </c>
      <c r="AH177" s="60">
        <f t="shared" si="106"/>
        <v>10</v>
      </c>
    </row>
    <row r="178" spans="1:57" x14ac:dyDescent="0.15">
      <c r="B178" s="79" t="str">
        <f t="shared" si="89"/>
        <v/>
      </c>
      <c r="C178" s="85"/>
      <c r="D178" s="75">
        <f>INDEX(节奏总纲!$AM$4:$AM$83,$F178)</f>
        <v>10.47447102993563</v>
      </c>
      <c r="E178" s="75">
        <f>求节点(节奏总纲!$P$4:$P$163,节奏总纲!$O$4:$O$163,$D178)</f>
        <v>35.197977552877902</v>
      </c>
      <c r="F178" s="40">
        <v>24</v>
      </c>
      <c r="G178" s="85"/>
      <c r="H178" s="65" t="s">
        <v>420</v>
      </c>
      <c r="I178" s="69"/>
      <c r="J178" s="63"/>
      <c r="K178" s="63"/>
      <c r="M178" s="60">
        <f t="shared" si="90"/>
        <v>40</v>
      </c>
      <c r="N178" s="60">
        <f t="shared" si="91"/>
        <v>40</v>
      </c>
      <c r="O178" s="60">
        <f t="shared" si="92"/>
        <v>0</v>
      </c>
      <c r="P178" s="60">
        <f t="shared" si="93"/>
        <v>0</v>
      </c>
      <c r="Q178" s="60">
        <f t="shared" si="94"/>
        <v>13</v>
      </c>
      <c r="R178" s="60">
        <f t="shared" si="95"/>
        <v>13</v>
      </c>
      <c r="S178" s="60">
        <f t="shared" si="96"/>
        <v>140000</v>
      </c>
      <c r="T178" s="60">
        <f t="shared" si="97"/>
        <v>140000</v>
      </c>
      <c r="U178" s="60">
        <f t="shared" si="98"/>
        <v>0</v>
      </c>
      <c r="V178" s="60">
        <f t="shared" si="99"/>
        <v>0</v>
      </c>
      <c r="W178" s="60">
        <f t="shared" si="100"/>
        <v>0</v>
      </c>
      <c r="X178" s="60">
        <f t="shared" si="101"/>
        <v>0</v>
      </c>
      <c r="Y178" s="60">
        <f t="shared" si="102"/>
        <v>0</v>
      </c>
      <c r="Z178" s="60">
        <f t="shared" si="103"/>
        <v>0</v>
      </c>
      <c r="AA178" s="42"/>
      <c r="AB178" s="42"/>
      <c r="AC178" s="60">
        <f t="shared" si="104"/>
        <v>0</v>
      </c>
      <c r="AD178" s="60">
        <f t="shared" si="105"/>
        <v>0</v>
      </c>
      <c r="AE178" s="42"/>
      <c r="AF178" s="42"/>
      <c r="AG178" s="60">
        <f t="shared" si="107"/>
        <v>5</v>
      </c>
      <c r="AH178" s="60">
        <f t="shared" si="106"/>
        <v>5</v>
      </c>
    </row>
    <row r="179" spans="1:57" x14ac:dyDescent="0.15">
      <c r="B179" s="79">
        <f t="shared" si="89"/>
        <v>7</v>
      </c>
      <c r="C179" s="85"/>
      <c r="D179" s="75">
        <f>INDEX(节奏总纲!$AM$4:$AM$83,$F179)</f>
        <v>12.4</v>
      </c>
      <c r="E179" s="75">
        <f>求节点(节奏总纲!$P$4:$P$163,节奏总纲!$O$4:$O$163,$D179)</f>
        <v>37.433077144085807</v>
      </c>
      <c r="F179" s="40">
        <v>25</v>
      </c>
      <c r="G179" s="85">
        <v>4</v>
      </c>
      <c r="H179" s="63" t="s">
        <v>421</v>
      </c>
      <c r="I179" s="63"/>
      <c r="J179" s="63" t="s">
        <v>574</v>
      </c>
      <c r="K179" s="63"/>
      <c r="M179" s="60">
        <f t="shared" si="90"/>
        <v>40</v>
      </c>
      <c r="N179" s="60">
        <f t="shared" si="91"/>
        <v>80</v>
      </c>
      <c r="O179" s="60">
        <f t="shared" si="92"/>
        <v>0</v>
      </c>
      <c r="P179" s="60">
        <f t="shared" si="93"/>
        <v>0</v>
      </c>
      <c r="Q179" s="60">
        <f t="shared" si="94"/>
        <v>13</v>
      </c>
      <c r="R179" s="60">
        <f t="shared" si="95"/>
        <v>26</v>
      </c>
      <c r="S179" s="60">
        <f t="shared" si="96"/>
        <v>150000</v>
      </c>
      <c r="T179" s="60">
        <f t="shared" si="97"/>
        <v>300000</v>
      </c>
      <c r="U179" s="60">
        <f t="shared" si="98"/>
        <v>0</v>
      </c>
      <c r="V179" s="60">
        <f t="shared" si="99"/>
        <v>0</v>
      </c>
      <c r="W179" s="60">
        <f t="shared" si="100"/>
        <v>0</v>
      </c>
      <c r="X179" s="60">
        <f t="shared" si="101"/>
        <v>0</v>
      </c>
      <c r="Y179" s="60">
        <f t="shared" si="102"/>
        <v>0</v>
      </c>
      <c r="Z179" s="60">
        <f t="shared" si="103"/>
        <v>0</v>
      </c>
      <c r="AA179" s="42"/>
      <c r="AB179" s="42"/>
      <c r="AC179" s="60">
        <f t="shared" si="104"/>
        <v>0</v>
      </c>
      <c r="AD179" s="60">
        <f t="shared" si="105"/>
        <v>0</v>
      </c>
      <c r="AE179" s="42"/>
      <c r="AF179" s="42"/>
      <c r="AG179" s="60">
        <f t="shared" si="107"/>
        <v>5</v>
      </c>
      <c r="AH179" s="60">
        <f t="shared" si="106"/>
        <v>10</v>
      </c>
    </row>
    <row r="180" spans="1:57" x14ac:dyDescent="0.15">
      <c r="B180" s="79" t="str">
        <f t="shared" si="89"/>
        <v/>
      </c>
      <c r="C180" s="85"/>
      <c r="D180" s="75">
        <f>INDEX(节奏总纲!$AM$4:$AM$83,$F180)</f>
        <v>12.4</v>
      </c>
      <c r="E180" s="75">
        <f>求节点(节奏总纲!$P$4:$P$163,节奏总纲!$O$4:$O$163,$D180)</f>
        <v>37.433077144085807</v>
      </c>
      <c r="F180" s="40">
        <v>25</v>
      </c>
      <c r="G180" s="85"/>
      <c r="H180" s="63" t="s">
        <v>546</v>
      </c>
      <c r="I180" s="63"/>
      <c r="J180" s="63" t="s">
        <v>575</v>
      </c>
      <c r="K180" s="63"/>
      <c r="M180" s="60">
        <f t="shared" si="90"/>
        <v>40</v>
      </c>
      <c r="N180" s="60">
        <f t="shared" si="91"/>
        <v>80</v>
      </c>
      <c r="O180" s="60">
        <f t="shared" si="92"/>
        <v>0</v>
      </c>
      <c r="P180" s="60">
        <f t="shared" si="93"/>
        <v>0</v>
      </c>
      <c r="Q180" s="60">
        <f t="shared" si="94"/>
        <v>13</v>
      </c>
      <c r="R180" s="60">
        <f t="shared" si="95"/>
        <v>26</v>
      </c>
      <c r="S180" s="60">
        <f t="shared" si="96"/>
        <v>150000</v>
      </c>
      <c r="T180" s="60">
        <f t="shared" si="97"/>
        <v>300000</v>
      </c>
      <c r="U180" s="60">
        <f t="shared" si="98"/>
        <v>0</v>
      </c>
      <c r="V180" s="60">
        <f t="shared" si="99"/>
        <v>0</v>
      </c>
      <c r="W180" s="60">
        <f t="shared" si="100"/>
        <v>0</v>
      </c>
      <c r="X180" s="60">
        <f t="shared" si="101"/>
        <v>0</v>
      </c>
      <c r="Y180" s="60">
        <f t="shared" si="102"/>
        <v>0</v>
      </c>
      <c r="Z180" s="60">
        <f t="shared" si="103"/>
        <v>0</v>
      </c>
      <c r="AA180" s="42"/>
      <c r="AB180" s="42"/>
      <c r="AC180" s="60">
        <f t="shared" si="104"/>
        <v>0</v>
      </c>
      <c r="AD180" s="60">
        <f t="shared" si="105"/>
        <v>0</v>
      </c>
      <c r="AE180" s="42"/>
      <c r="AF180" s="42"/>
      <c r="AG180" s="60">
        <f t="shared" si="107"/>
        <v>5</v>
      </c>
      <c r="AH180" s="60">
        <f t="shared" si="106"/>
        <v>10</v>
      </c>
    </row>
    <row r="181" spans="1:57" x14ac:dyDescent="0.15">
      <c r="B181" s="79" t="str">
        <f t="shared" si="89"/>
        <v/>
      </c>
      <c r="C181" s="85"/>
      <c r="D181" s="75">
        <f>INDEX(节奏总纲!$AM$4:$AM$83,$F181)</f>
        <v>12.4</v>
      </c>
      <c r="E181" s="75">
        <f>求节点(节奏总纲!$P$4:$P$163,节奏总纲!$O$4:$O$163,$D181)</f>
        <v>37.433077144085807</v>
      </c>
      <c r="F181" s="40">
        <v>25</v>
      </c>
      <c r="G181" s="85"/>
      <c r="H181" s="63" t="s">
        <v>597</v>
      </c>
      <c r="I181" s="63"/>
      <c r="J181" s="63" t="s">
        <v>576</v>
      </c>
      <c r="K181" s="63"/>
      <c r="M181" s="60">
        <f t="shared" si="90"/>
        <v>40</v>
      </c>
      <c r="N181" s="60">
        <f t="shared" si="91"/>
        <v>80</v>
      </c>
      <c r="O181" s="60">
        <f t="shared" si="92"/>
        <v>0</v>
      </c>
      <c r="P181" s="60">
        <f t="shared" si="93"/>
        <v>0</v>
      </c>
      <c r="Q181" s="60">
        <f t="shared" si="94"/>
        <v>13</v>
      </c>
      <c r="R181" s="60">
        <f t="shared" si="95"/>
        <v>26</v>
      </c>
      <c r="S181" s="60">
        <f t="shared" si="96"/>
        <v>150000</v>
      </c>
      <c r="T181" s="60">
        <f t="shared" si="97"/>
        <v>300000</v>
      </c>
      <c r="U181" s="60">
        <f t="shared" si="98"/>
        <v>0</v>
      </c>
      <c r="V181" s="60">
        <f t="shared" si="99"/>
        <v>0</v>
      </c>
      <c r="W181" s="60">
        <f t="shared" si="100"/>
        <v>0</v>
      </c>
      <c r="X181" s="60">
        <f t="shared" si="101"/>
        <v>0</v>
      </c>
      <c r="Y181" s="60">
        <f t="shared" si="102"/>
        <v>0</v>
      </c>
      <c r="Z181" s="60">
        <f t="shared" si="103"/>
        <v>0</v>
      </c>
      <c r="AA181" s="42"/>
      <c r="AB181" s="42"/>
      <c r="AC181" s="60">
        <f t="shared" si="104"/>
        <v>0</v>
      </c>
      <c r="AD181" s="60">
        <f t="shared" si="105"/>
        <v>0</v>
      </c>
      <c r="AE181" s="42"/>
      <c r="AF181" s="42"/>
      <c r="AG181" s="60">
        <f t="shared" si="107"/>
        <v>5</v>
      </c>
      <c r="AH181" s="60">
        <f t="shared" si="106"/>
        <v>10</v>
      </c>
    </row>
    <row r="182" spans="1:57" x14ac:dyDescent="0.15">
      <c r="B182" s="79" t="str">
        <f t="shared" si="89"/>
        <v/>
      </c>
      <c r="C182" s="85"/>
      <c r="D182" s="75">
        <f>INDEX(节奏总纲!$AM$4:$AM$83,$F182)</f>
        <v>12.4</v>
      </c>
      <c r="E182" s="75">
        <f>求节点(节奏总纲!$P$4:$P$163,节奏总纲!$O$4:$O$163,$D182)</f>
        <v>37.433077144085807</v>
      </c>
      <c r="F182" s="40">
        <v>25</v>
      </c>
      <c r="G182" s="85"/>
      <c r="H182" s="63"/>
      <c r="I182" s="63"/>
      <c r="J182" s="63"/>
      <c r="K182" s="63"/>
      <c r="M182" s="60">
        <f t="shared" si="90"/>
        <v>40</v>
      </c>
      <c r="N182" s="60">
        <f t="shared" si="91"/>
        <v>0</v>
      </c>
      <c r="O182" s="60">
        <f t="shared" si="92"/>
        <v>0</v>
      </c>
      <c r="P182" s="60">
        <f t="shared" si="93"/>
        <v>0</v>
      </c>
      <c r="Q182" s="60">
        <f t="shared" si="94"/>
        <v>13</v>
      </c>
      <c r="R182" s="60">
        <f t="shared" si="95"/>
        <v>0</v>
      </c>
      <c r="S182" s="60">
        <f t="shared" si="96"/>
        <v>150000</v>
      </c>
      <c r="T182" s="60">
        <f t="shared" si="97"/>
        <v>0</v>
      </c>
      <c r="U182" s="60">
        <f t="shared" si="98"/>
        <v>0</v>
      </c>
      <c r="V182" s="60">
        <f t="shared" si="99"/>
        <v>0</v>
      </c>
      <c r="W182" s="60">
        <f t="shared" si="100"/>
        <v>0</v>
      </c>
      <c r="X182" s="60">
        <f t="shared" si="101"/>
        <v>0</v>
      </c>
      <c r="Y182" s="60">
        <f t="shared" si="102"/>
        <v>0</v>
      </c>
      <c r="Z182" s="60">
        <f t="shared" si="103"/>
        <v>0</v>
      </c>
      <c r="AA182" s="42"/>
      <c r="AB182" s="42"/>
      <c r="AC182" s="60">
        <f t="shared" si="104"/>
        <v>0</v>
      </c>
      <c r="AD182" s="60">
        <f t="shared" si="105"/>
        <v>0</v>
      </c>
      <c r="AE182" s="42"/>
      <c r="AF182" s="42"/>
      <c r="AG182" s="60">
        <f t="shared" si="107"/>
        <v>5</v>
      </c>
      <c r="AH182" s="60">
        <f t="shared" si="106"/>
        <v>0</v>
      </c>
    </row>
    <row r="183" spans="1:57" x14ac:dyDescent="0.15">
      <c r="B183" s="79" t="str">
        <f t="shared" si="89"/>
        <v/>
      </c>
      <c r="C183" s="85"/>
      <c r="D183" s="75">
        <f>INDEX(节奏总纲!$AM$4:$AM$83,$F183)</f>
        <v>12.4</v>
      </c>
      <c r="E183" s="75">
        <f>求节点(节奏总纲!$P$4:$P$163,节奏总纲!$O$4:$O$163,$D183)</f>
        <v>37.433077144085807</v>
      </c>
      <c r="F183" s="40">
        <v>25</v>
      </c>
      <c r="G183" s="85"/>
      <c r="H183" s="70" t="s">
        <v>703</v>
      </c>
      <c r="I183" s="63"/>
      <c r="J183" s="63"/>
      <c r="K183" s="63"/>
      <c r="M183" s="60">
        <f t="shared" si="90"/>
        <v>40</v>
      </c>
      <c r="N183" s="60">
        <f t="shared" si="91"/>
        <v>40</v>
      </c>
      <c r="O183" s="60">
        <f t="shared" si="92"/>
        <v>0</v>
      </c>
      <c r="P183" s="60">
        <f t="shared" si="93"/>
        <v>0</v>
      </c>
      <c r="Q183" s="60">
        <f t="shared" si="94"/>
        <v>13</v>
      </c>
      <c r="R183" s="60">
        <f t="shared" si="95"/>
        <v>13</v>
      </c>
      <c r="S183" s="60">
        <f t="shared" si="96"/>
        <v>150000</v>
      </c>
      <c r="T183" s="60">
        <f t="shared" si="97"/>
        <v>150000</v>
      </c>
      <c r="U183" s="60">
        <f t="shared" si="98"/>
        <v>0</v>
      </c>
      <c r="V183" s="60">
        <f t="shared" si="99"/>
        <v>0</v>
      </c>
      <c r="W183" s="60">
        <f t="shared" si="100"/>
        <v>0</v>
      </c>
      <c r="X183" s="60">
        <f t="shared" si="101"/>
        <v>0</v>
      </c>
      <c r="Y183" s="60">
        <f t="shared" si="102"/>
        <v>0</v>
      </c>
      <c r="Z183" s="60">
        <f t="shared" si="103"/>
        <v>0</v>
      </c>
      <c r="AA183" s="42"/>
      <c r="AB183" s="42"/>
      <c r="AC183" s="60">
        <f t="shared" si="104"/>
        <v>0</v>
      </c>
      <c r="AD183" s="60">
        <f t="shared" si="105"/>
        <v>0</v>
      </c>
      <c r="AE183" s="42"/>
      <c r="AF183" s="42"/>
      <c r="AG183" s="60">
        <f t="shared" si="107"/>
        <v>5</v>
      </c>
      <c r="AH183" s="60">
        <f t="shared" si="106"/>
        <v>5</v>
      </c>
    </row>
    <row r="184" spans="1:57" x14ac:dyDescent="0.15">
      <c r="B184" s="79" t="str">
        <f t="shared" si="89"/>
        <v/>
      </c>
      <c r="C184" s="85"/>
      <c r="D184" s="75">
        <f>INDEX(节奏总纲!$AM$4:$AM$83,$F184)</f>
        <v>12.4</v>
      </c>
      <c r="E184" s="75">
        <f>求节点(节奏总纲!$P$4:$P$163,节奏总纲!$O$4:$O$163,$D184)</f>
        <v>37.433077144085807</v>
      </c>
      <c r="F184" s="40">
        <v>25</v>
      </c>
      <c r="G184" s="85"/>
      <c r="H184" s="70"/>
      <c r="I184" s="63"/>
      <c r="J184" s="63"/>
      <c r="K184" s="63"/>
      <c r="M184" s="60">
        <f t="shared" si="90"/>
        <v>40</v>
      </c>
      <c r="N184" s="60">
        <f t="shared" si="91"/>
        <v>0</v>
      </c>
      <c r="O184" s="60">
        <f t="shared" si="92"/>
        <v>0</v>
      </c>
      <c r="P184" s="60">
        <f t="shared" si="93"/>
        <v>0</v>
      </c>
      <c r="Q184" s="60">
        <f t="shared" si="94"/>
        <v>13</v>
      </c>
      <c r="R184" s="60">
        <f t="shared" si="95"/>
        <v>0</v>
      </c>
      <c r="S184" s="60">
        <f t="shared" si="96"/>
        <v>150000</v>
      </c>
      <c r="T184" s="60">
        <f t="shared" si="97"/>
        <v>0</v>
      </c>
      <c r="U184" s="60">
        <f t="shared" si="98"/>
        <v>0</v>
      </c>
      <c r="V184" s="60">
        <f t="shared" si="99"/>
        <v>0</v>
      </c>
      <c r="W184" s="60">
        <f t="shared" si="100"/>
        <v>0</v>
      </c>
      <c r="X184" s="60">
        <f t="shared" si="101"/>
        <v>0</v>
      </c>
      <c r="Y184" s="60">
        <f t="shared" si="102"/>
        <v>0</v>
      </c>
      <c r="Z184" s="60">
        <f t="shared" si="103"/>
        <v>0</v>
      </c>
      <c r="AA184" s="42"/>
      <c r="AB184" s="42"/>
      <c r="AC184" s="60">
        <f t="shared" si="104"/>
        <v>0</v>
      </c>
      <c r="AD184" s="60">
        <f t="shared" si="105"/>
        <v>0</v>
      </c>
      <c r="AE184" s="42"/>
      <c r="AF184" s="42"/>
      <c r="AG184" s="60">
        <f t="shared" si="107"/>
        <v>5</v>
      </c>
      <c r="AH184" s="60">
        <f t="shared" si="106"/>
        <v>0</v>
      </c>
    </row>
    <row r="185" spans="1:57" x14ac:dyDescent="0.15">
      <c r="B185" s="79">
        <f t="shared" si="89"/>
        <v>5</v>
      </c>
      <c r="C185" s="85"/>
      <c r="D185" s="75">
        <f>INDEX(节奏总纲!$AM$4:$AM$83,$F185)</f>
        <v>14.6609224175611</v>
      </c>
      <c r="E185" s="75">
        <f>求节点(节奏总纲!$P$4:$P$163,节奏总纲!$O$4:$O$163,$D185)</f>
        <v>39.683540456879165</v>
      </c>
      <c r="F185" s="40">
        <v>26</v>
      </c>
      <c r="G185" s="85">
        <v>5</v>
      </c>
      <c r="H185" s="63" t="s">
        <v>423</v>
      </c>
      <c r="I185" s="63"/>
      <c r="J185" s="63" t="s">
        <v>621</v>
      </c>
      <c r="K185" s="63"/>
      <c r="M185" s="60">
        <f t="shared" si="90"/>
        <v>40</v>
      </c>
      <c r="N185" s="60">
        <f t="shared" si="91"/>
        <v>80</v>
      </c>
      <c r="O185" s="60">
        <f t="shared" si="92"/>
        <v>0</v>
      </c>
      <c r="P185" s="60">
        <f t="shared" si="93"/>
        <v>0</v>
      </c>
      <c r="Q185" s="60">
        <f t="shared" si="94"/>
        <v>13</v>
      </c>
      <c r="R185" s="60">
        <f t="shared" si="95"/>
        <v>26</v>
      </c>
      <c r="S185" s="60">
        <f t="shared" si="96"/>
        <v>160000</v>
      </c>
      <c r="T185" s="60">
        <f t="shared" si="97"/>
        <v>320000</v>
      </c>
      <c r="U185" s="60">
        <f t="shared" si="98"/>
        <v>0</v>
      </c>
      <c r="V185" s="60">
        <f t="shared" si="99"/>
        <v>0</v>
      </c>
      <c r="W185" s="60">
        <f t="shared" si="100"/>
        <v>0</v>
      </c>
      <c r="X185" s="60">
        <f t="shared" si="101"/>
        <v>0</v>
      </c>
      <c r="Y185" s="60">
        <f t="shared" si="102"/>
        <v>0</v>
      </c>
      <c r="Z185" s="60">
        <f t="shared" si="103"/>
        <v>0</v>
      </c>
      <c r="AA185" s="42"/>
      <c r="AB185" s="42"/>
      <c r="AC185" s="60">
        <f t="shared" si="104"/>
        <v>0</v>
      </c>
      <c r="AD185" s="60">
        <f t="shared" si="105"/>
        <v>0</v>
      </c>
      <c r="AE185" s="42"/>
      <c r="AF185" s="42"/>
      <c r="AG185" s="60">
        <f t="shared" si="107"/>
        <v>5</v>
      </c>
      <c r="AH185" s="60">
        <f t="shared" si="106"/>
        <v>10</v>
      </c>
    </row>
    <row r="186" spans="1:57" x14ac:dyDescent="0.15">
      <c r="B186" s="79" t="str">
        <f t="shared" si="89"/>
        <v/>
      </c>
      <c r="C186" s="85"/>
      <c r="D186" s="75">
        <f>INDEX(节奏总纲!$AM$4:$AM$83,$F186)</f>
        <v>14.6609224175611</v>
      </c>
      <c r="E186" s="75">
        <f>求节点(节奏总纲!$P$4:$P$163,节奏总纲!$O$4:$O$163,$D186)</f>
        <v>39.683540456879165</v>
      </c>
      <c r="F186" s="40">
        <v>26</v>
      </c>
      <c r="G186" s="85"/>
      <c r="H186" s="63" t="s">
        <v>589</v>
      </c>
      <c r="I186" s="63"/>
      <c r="J186" s="69" t="s">
        <v>667</v>
      </c>
      <c r="K186" s="63"/>
      <c r="M186" s="60">
        <f t="shared" si="90"/>
        <v>40</v>
      </c>
      <c r="N186" s="60">
        <f t="shared" si="91"/>
        <v>80</v>
      </c>
      <c r="O186" s="60">
        <f t="shared" si="92"/>
        <v>0</v>
      </c>
      <c r="P186" s="60">
        <f t="shared" si="93"/>
        <v>0</v>
      </c>
      <c r="Q186" s="60">
        <f t="shared" si="94"/>
        <v>13</v>
      </c>
      <c r="R186" s="60">
        <f t="shared" si="95"/>
        <v>26</v>
      </c>
      <c r="S186" s="60">
        <f t="shared" si="96"/>
        <v>160000</v>
      </c>
      <c r="T186" s="60">
        <f t="shared" si="97"/>
        <v>320000</v>
      </c>
      <c r="U186" s="60">
        <f t="shared" si="98"/>
        <v>0</v>
      </c>
      <c r="V186" s="60">
        <f t="shared" si="99"/>
        <v>0</v>
      </c>
      <c r="W186" s="60">
        <f t="shared" si="100"/>
        <v>0</v>
      </c>
      <c r="X186" s="60">
        <f t="shared" si="101"/>
        <v>0</v>
      </c>
      <c r="Y186" s="60">
        <f t="shared" si="102"/>
        <v>0</v>
      </c>
      <c r="Z186" s="60">
        <f t="shared" si="103"/>
        <v>0</v>
      </c>
      <c r="AA186" s="42"/>
      <c r="AB186" s="42"/>
      <c r="AC186" s="60">
        <f t="shared" si="104"/>
        <v>0</v>
      </c>
      <c r="AD186" s="60">
        <f t="shared" si="105"/>
        <v>0</v>
      </c>
      <c r="AE186" s="42"/>
      <c r="AF186" s="42"/>
      <c r="AG186" s="60">
        <f t="shared" si="107"/>
        <v>5</v>
      </c>
      <c r="AH186" s="60">
        <f t="shared" si="106"/>
        <v>10</v>
      </c>
    </row>
    <row r="187" spans="1:57" x14ac:dyDescent="0.15">
      <c r="B187" s="79" t="str">
        <f t="shared" si="89"/>
        <v/>
      </c>
      <c r="C187" s="85"/>
      <c r="D187" s="75">
        <f>INDEX(节奏总纲!$AM$4:$AM$83,$F187)</f>
        <v>14.6609224175611</v>
      </c>
      <c r="E187" s="75">
        <f>求节点(节奏总纲!$P$4:$P$163,节奏总纲!$O$4:$O$163,$D187)</f>
        <v>39.683540456879165</v>
      </c>
      <c r="F187" s="40">
        <v>26</v>
      </c>
      <c r="G187" s="85"/>
      <c r="H187" s="65"/>
      <c r="I187" s="63"/>
      <c r="J187" s="69"/>
      <c r="K187" s="63"/>
      <c r="M187" s="60">
        <f t="shared" si="90"/>
        <v>40</v>
      </c>
      <c r="N187" s="60">
        <f t="shared" si="91"/>
        <v>0</v>
      </c>
      <c r="O187" s="60">
        <f t="shared" si="92"/>
        <v>0</v>
      </c>
      <c r="P187" s="60">
        <f t="shared" si="93"/>
        <v>0</v>
      </c>
      <c r="Q187" s="60">
        <f t="shared" si="94"/>
        <v>13</v>
      </c>
      <c r="R187" s="60">
        <f t="shared" si="95"/>
        <v>0</v>
      </c>
      <c r="S187" s="60">
        <f t="shared" si="96"/>
        <v>160000</v>
      </c>
      <c r="T187" s="60">
        <f t="shared" si="97"/>
        <v>0</v>
      </c>
      <c r="U187" s="60">
        <f t="shared" si="98"/>
        <v>0</v>
      </c>
      <c r="V187" s="60">
        <f t="shared" si="99"/>
        <v>0</v>
      </c>
      <c r="W187" s="60">
        <f t="shared" si="100"/>
        <v>0</v>
      </c>
      <c r="X187" s="60">
        <f t="shared" si="101"/>
        <v>0</v>
      </c>
      <c r="Y187" s="60">
        <f t="shared" si="102"/>
        <v>0</v>
      </c>
      <c r="Z187" s="60">
        <f t="shared" si="103"/>
        <v>0</v>
      </c>
      <c r="AA187" s="42"/>
      <c r="AB187" s="42"/>
      <c r="AC187" s="60">
        <f t="shared" si="104"/>
        <v>0</v>
      </c>
      <c r="AD187" s="60">
        <f t="shared" si="105"/>
        <v>0</v>
      </c>
      <c r="AE187" s="42"/>
      <c r="AF187" s="42"/>
      <c r="AG187" s="60">
        <f t="shared" si="107"/>
        <v>5</v>
      </c>
      <c r="AH187" s="60">
        <f t="shared" si="106"/>
        <v>0</v>
      </c>
    </row>
    <row r="188" spans="1:57" x14ac:dyDescent="0.15">
      <c r="A188" s="19"/>
      <c r="B188" s="79" t="str">
        <f t="shared" si="89"/>
        <v/>
      </c>
      <c r="C188" s="85"/>
      <c r="D188" s="75">
        <f>INDEX(节奏总纲!$AM$4:$AM$83,$F188)</f>
        <v>14.6609224175611</v>
      </c>
      <c r="E188" s="75">
        <f>求节点(节奏总纲!$P$4:$P$163,节奏总纲!$O$4:$O$163,$D188)</f>
        <v>39.683540456879165</v>
      </c>
      <c r="F188" s="40">
        <v>26</v>
      </c>
      <c r="G188" s="85"/>
      <c r="H188" s="65" t="s">
        <v>412</v>
      </c>
      <c r="I188" s="63"/>
      <c r="J188" s="69"/>
      <c r="K188" s="63"/>
      <c r="M188" s="60">
        <f t="shared" si="90"/>
        <v>40</v>
      </c>
      <c r="N188" s="60">
        <f t="shared" si="91"/>
        <v>40</v>
      </c>
      <c r="O188" s="60">
        <f t="shared" si="92"/>
        <v>0</v>
      </c>
      <c r="P188" s="60">
        <f t="shared" si="93"/>
        <v>0</v>
      </c>
      <c r="Q188" s="60">
        <f t="shared" si="94"/>
        <v>13</v>
      </c>
      <c r="R188" s="60">
        <f t="shared" si="95"/>
        <v>13</v>
      </c>
      <c r="S188" s="60">
        <f t="shared" si="96"/>
        <v>160000</v>
      </c>
      <c r="T188" s="60">
        <f t="shared" si="97"/>
        <v>160000</v>
      </c>
      <c r="U188" s="60">
        <f t="shared" si="98"/>
        <v>0</v>
      </c>
      <c r="V188" s="60">
        <f t="shared" si="99"/>
        <v>0</v>
      </c>
      <c r="W188" s="60">
        <f t="shared" si="100"/>
        <v>0</v>
      </c>
      <c r="X188" s="60">
        <f t="shared" si="101"/>
        <v>0</v>
      </c>
      <c r="Y188" s="60">
        <f t="shared" si="102"/>
        <v>0</v>
      </c>
      <c r="Z188" s="60">
        <f t="shared" si="103"/>
        <v>0</v>
      </c>
      <c r="AA188" s="42"/>
      <c r="AB188" s="42"/>
      <c r="AC188" s="60">
        <f t="shared" si="104"/>
        <v>0</v>
      </c>
      <c r="AD188" s="60">
        <f t="shared" si="105"/>
        <v>0</v>
      </c>
      <c r="AE188" s="42"/>
      <c r="AF188" s="42"/>
      <c r="AG188" s="60">
        <f t="shared" si="107"/>
        <v>5</v>
      </c>
      <c r="AH188" s="60">
        <f t="shared" si="106"/>
        <v>5</v>
      </c>
    </row>
    <row r="189" spans="1:57" x14ac:dyDescent="0.15">
      <c r="A189" s="19"/>
      <c r="B189" s="79">
        <f t="shared" si="89"/>
        <v>7</v>
      </c>
      <c r="C189" s="85"/>
      <c r="D189" s="75">
        <f>INDEX(节奏总纲!$AM$4:$AM$83,$F189)</f>
        <v>17.314186320787698</v>
      </c>
      <c r="E189" s="75">
        <f>求节点(节奏总纲!$P$4:$P$163,节奏总纲!$O$4:$O$163,$D189)</f>
        <v>41.947199016886806</v>
      </c>
      <c r="F189" s="40">
        <v>27</v>
      </c>
      <c r="G189" s="85">
        <v>6</v>
      </c>
      <c r="H189" s="63" t="s">
        <v>424</v>
      </c>
      <c r="I189" s="63" t="s">
        <v>554</v>
      </c>
      <c r="J189" s="69" t="s">
        <v>681</v>
      </c>
      <c r="K189" s="63"/>
      <c r="M189" s="60">
        <f t="shared" si="90"/>
        <v>50</v>
      </c>
      <c r="N189" s="60">
        <f t="shared" si="91"/>
        <v>150</v>
      </c>
      <c r="O189" s="60">
        <f t="shared" si="92"/>
        <v>0</v>
      </c>
      <c r="P189" s="60">
        <f t="shared" si="93"/>
        <v>0</v>
      </c>
      <c r="Q189" s="60">
        <f t="shared" si="94"/>
        <v>13</v>
      </c>
      <c r="R189" s="60">
        <f t="shared" si="95"/>
        <v>39</v>
      </c>
      <c r="S189" s="60">
        <f t="shared" si="96"/>
        <v>160000</v>
      </c>
      <c r="T189" s="60">
        <f t="shared" si="97"/>
        <v>480000</v>
      </c>
      <c r="U189" s="60">
        <f t="shared" si="98"/>
        <v>0</v>
      </c>
      <c r="V189" s="60">
        <f t="shared" si="99"/>
        <v>0</v>
      </c>
      <c r="W189" s="60">
        <f t="shared" si="100"/>
        <v>0</v>
      </c>
      <c r="X189" s="60">
        <f t="shared" si="101"/>
        <v>0</v>
      </c>
      <c r="Y189" s="60">
        <f t="shared" si="102"/>
        <v>0</v>
      </c>
      <c r="Z189" s="60">
        <f t="shared" si="103"/>
        <v>0</v>
      </c>
      <c r="AA189" s="42"/>
      <c r="AB189" s="42"/>
      <c r="AC189" s="60">
        <f t="shared" si="104"/>
        <v>0</v>
      </c>
      <c r="AD189" s="60">
        <f t="shared" si="105"/>
        <v>0</v>
      </c>
      <c r="AE189" s="42"/>
      <c r="AF189" s="42"/>
      <c r="AG189" s="60">
        <f t="shared" si="107"/>
        <v>5</v>
      </c>
      <c r="AH189" s="60">
        <f t="shared" si="106"/>
        <v>15</v>
      </c>
    </row>
    <row r="190" spans="1:57" x14ac:dyDescent="0.15">
      <c r="A190" s="19"/>
      <c r="B190" s="79" t="str">
        <f t="shared" si="89"/>
        <v/>
      </c>
      <c r="C190" s="85"/>
      <c r="D190" s="75">
        <f>INDEX(节奏总纲!$AM$4:$AM$83,$F190)</f>
        <v>17.314186320787698</v>
      </c>
      <c r="E190" s="75">
        <f>求节点(节奏总纲!$P$4:$P$163,节奏总纲!$O$4:$O$163,$D190)</f>
        <v>41.947199016886806</v>
      </c>
      <c r="F190" s="40">
        <v>27</v>
      </c>
      <c r="G190" s="85"/>
      <c r="H190" s="63" t="s">
        <v>581</v>
      </c>
      <c r="I190" s="63"/>
      <c r="J190" s="69" t="s">
        <v>682</v>
      </c>
      <c r="K190" s="63"/>
      <c r="M190" s="60">
        <f t="shared" si="90"/>
        <v>50</v>
      </c>
      <c r="N190" s="60">
        <f t="shared" si="91"/>
        <v>100</v>
      </c>
      <c r="O190" s="60">
        <f t="shared" si="92"/>
        <v>0</v>
      </c>
      <c r="P190" s="60">
        <f t="shared" si="93"/>
        <v>0</v>
      </c>
      <c r="Q190" s="60">
        <f t="shared" si="94"/>
        <v>13</v>
      </c>
      <c r="R190" s="60">
        <f t="shared" si="95"/>
        <v>26</v>
      </c>
      <c r="S190" s="60">
        <f t="shared" si="96"/>
        <v>160000</v>
      </c>
      <c r="T190" s="60">
        <f t="shared" si="97"/>
        <v>320000</v>
      </c>
      <c r="U190" s="60">
        <f t="shared" si="98"/>
        <v>0</v>
      </c>
      <c r="V190" s="60">
        <f t="shared" si="99"/>
        <v>0</v>
      </c>
      <c r="W190" s="60">
        <f t="shared" si="100"/>
        <v>0</v>
      </c>
      <c r="X190" s="60">
        <f t="shared" si="101"/>
        <v>0</v>
      </c>
      <c r="Y190" s="60">
        <f t="shared" si="102"/>
        <v>0</v>
      </c>
      <c r="Z190" s="60">
        <f t="shared" si="103"/>
        <v>0</v>
      </c>
      <c r="AA190" s="42"/>
      <c r="AB190" s="42"/>
      <c r="AC190" s="60">
        <f t="shared" si="104"/>
        <v>0</v>
      </c>
      <c r="AD190" s="60">
        <f t="shared" si="105"/>
        <v>0</v>
      </c>
      <c r="AE190" s="42"/>
      <c r="AF190" s="42"/>
      <c r="AG190" s="60">
        <f t="shared" si="107"/>
        <v>5</v>
      </c>
      <c r="AH190" s="60">
        <f t="shared" si="106"/>
        <v>10</v>
      </c>
    </row>
    <row r="191" spans="1:57" x14ac:dyDescent="0.15">
      <c r="A191" s="19"/>
      <c r="B191" s="79" t="str">
        <f t="shared" si="89"/>
        <v/>
      </c>
      <c r="C191" s="85"/>
      <c r="D191" s="75">
        <f>INDEX(节奏总纲!$AM$4:$AM$83,$F191)</f>
        <v>17.314186320787698</v>
      </c>
      <c r="E191" s="75">
        <f>求节点(节奏总纲!$P$4:$P$163,节奏总纲!$O$4:$O$163,$D191)</f>
        <v>41.947199016886806</v>
      </c>
      <c r="F191" s="40">
        <v>27</v>
      </c>
      <c r="G191" s="85"/>
      <c r="H191" s="63" t="s">
        <v>425</v>
      </c>
      <c r="I191" s="63"/>
      <c r="J191" s="69" t="s">
        <v>683</v>
      </c>
      <c r="K191" s="63"/>
      <c r="M191" s="60">
        <f t="shared" si="90"/>
        <v>50</v>
      </c>
      <c r="N191" s="60">
        <f t="shared" si="91"/>
        <v>100</v>
      </c>
      <c r="O191" s="60">
        <f t="shared" si="92"/>
        <v>0</v>
      </c>
      <c r="P191" s="60">
        <f t="shared" si="93"/>
        <v>0</v>
      </c>
      <c r="Q191" s="60">
        <f t="shared" si="94"/>
        <v>13</v>
      </c>
      <c r="R191" s="60">
        <f t="shared" si="95"/>
        <v>26</v>
      </c>
      <c r="S191" s="60">
        <f t="shared" si="96"/>
        <v>160000</v>
      </c>
      <c r="T191" s="60">
        <f t="shared" si="97"/>
        <v>320000</v>
      </c>
      <c r="U191" s="60">
        <f t="shared" si="98"/>
        <v>0</v>
      </c>
      <c r="V191" s="60">
        <f t="shared" si="99"/>
        <v>0</v>
      </c>
      <c r="W191" s="60">
        <f t="shared" si="100"/>
        <v>0</v>
      </c>
      <c r="X191" s="60">
        <f t="shared" si="101"/>
        <v>0</v>
      </c>
      <c r="Y191" s="60">
        <f t="shared" si="102"/>
        <v>0</v>
      </c>
      <c r="Z191" s="60">
        <f t="shared" si="103"/>
        <v>0</v>
      </c>
      <c r="AA191" s="42"/>
      <c r="AB191" s="42"/>
      <c r="AC191" s="60">
        <f t="shared" si="104"/>
        <v>0</v>
      </c>
      <c r="AD191" s="60">
        <f t="shared" si="105"/>
        <v>0</v>
      </c>
      <c r="AE191" s="42"/>
      <c r="AF191" s="42"/>
      <c r="AG191" s="60">
        <f t="shared" si="107"/>
        <v>5</v>
      </c>
      <c r="AH191" s="60">
        <f t="shared" si="106"/>
        <v>10</v>
      </c>
      <c r="AW191" s="19"/>
      <c r="AX191" s="19"/>
      <c r="AY191" s="19"/>
      <c r="AZ191" s="19"/>
      <c r="BA191" s="19"/>
      <c r="BB191" s="19"/>
      <c r="BC191" s="19"/>
      <c r="BD191" s="19"/>
      <c r="BE191" s="19"/>
    </row>
    <row r="192" spans="1:57" x14ac:dyDescent="0.15">
      <c r="A192" s="19"/>
      <c r="B192" s="79">
        <f t="shared" si="89"/>
        <v>12</v>
      </c>
      <c r="C192" s="85"/>
      <c r="D192" s="75">
        <f>INDEX(节奏总纲!$AM$4:$AM$83,$F192)</f>
        <v>20.42625995518307</v>
      </c>
      <c r="E192" s="75">
        <f>求节点(节奏总纲!$P$4:$P$163,节奏总纲!$O$4:$O$163,$D192)</f>
        <v>44.207309026381338</v>
      </c>
      <c r="F192" s="40">
        <v>28</v>
      </c>
      <c r="G192" s="85">
        <v>7</v>
      </c>
      <c r="H192" s="63" t="s">
        <v>426</v>
      </c>
      <c r="I192" s="63"/>
      <c r="J192" s="69" t="s">
        <v>622</v>
      </c>
      <c r="K192" s="63"/>
      <c r="M192" s="60">
        <f t="shared" si="90"/>
        <v>50</v>
      </c>
      <c r="N192" s="60">
        <f t="shared" si="91"/>
        <v>100</v>
      </c>
      <c r="O192" s="60">
        <f t="shared" si="92"/>
        <v>0</v>
      </c>
      <c r="P192" s="60">
        <f t="shared" si="93"/>
        <v>0</v>
      </c>
      <c r="Q192" s="60">
        <f t="shared" si="94"/>
        <v>14</v>
      </c>
      <c r="R192" s="60">
        <f t="shared" si="95"/>
        <v>28</v>
      </c>
      <c r="S192" s="60">
        <f t="shared" si="96"/>
        <v>170000</v>
      </c>
      <c r="T192" s="60">
        <f t="shared" si="97"/>
        <v>340000</v>
      </c>
      <c r="U192" s="60">
        <f t="shared" si="98"/>
        <v>0</v>
      </c>
      <c r="V192" s="60">
        <f t="shared" si="99"/>
        <v>0</v>
      </c>
      <c r="W192" s="60">
        <f t="shared" si="100"/>
        <v>0</v>
      </c>
      <c r="X192" s="60">
        <f t="shared" si="101"/>
        <v>0</v>
      </c>
      <c r="Y192" s="60">
        <f t="shared" si="102"/>
        <v>60000</v>
      </c>
      <c r="Z192" s="60">
        <f t="shared" si="103"/>
        <v>120000</v>
      </c>
      <c r="AA192" s="42"/>
      <c r="AB192" s="42"/>
      <c r="AC192" s="60">
        <f t="shared" si="104"/>
        <v>0</v>
      </c>
      <c r="AD192" s="60">
        <f t="shared" si="105"/>
        <v>0</v>
      </c>
      <c r="AE192" s="42"/>
      <c r="AF192" s="42"/>
      <c r="AG192" s="60">
        <f t="shared" si="107"/>
        <v>5</v>
      </c>
      <c r="AH192" s="60">
        <f t="shared" si="106"/>
        <v>10</v>
      </c>
      <c r="AW192" s="19"/>
      <c r="AX192" s="19"/>
      <c r="AY192" s="19"/>
      <c r="AZ192" s="19"/>
      <c r="BA192" s="19"/>
      <c r="BB192" s="19"/>
      <c r="BC192" s="19"/>
      <c r="BD192" s="19"/>
      <c r="BE192" s="19"/>
    </row>
    <row r="193" spans="1:57" x14ac:dyDescent="0.15">
      <c r="A193" s="19"/>
      <c r="B193" s="79" t="str">
        <f t="shared" si="89"/>
        <v/>
      </c>
      <c r="C193" s="85"/>
      <c r="D193" s="75">
        <f>INDEX(节奏总纲!$AM$4:$AM$83,$F193)</f>
        <v>20.42625995518307</v>
      </c>
      <c r="E193" s="75">
        <f>求节点(节奏总纲!$P$4:$P$163,节奏总纲!$O$4:$O$163,$D193)</f>
        <v>44.207309026381338</v>
      </c>
      <c r="F193" s="40">
        <v>28</v>
      </c>
      <c r="G193" s="85"/>
      <c r="H193" s="70" t="s">
        <v>449</v>
      </c>
      <c r="I193" s="63"/>
      <c r="J193" s="69" t="s">
        <v>668</v>
      </c>
      <c r="K193" s="63"/>
      <c r="M193" s="60">
        <f t="shared" si="90"/>
        <v>50</v>
      </c>
      <c r="N193" s="60">
        <f t="shared" si="91"/>
        <v>100</v>
      </c>
      <c r="O193" s="60">
        <f t="shared" si="92"/>
        <v>0</v>
      </c>
      <c r="P193" s="60">
        <f t="shared" si="93"/>
        <v>0</v>
      </c>
      <c r="Q193" s="60">
        <f t="shared" si="94"/>
        <v>14</v>
      </c>
      <c r="R193" s="60">
        <f t="shared" si="95"/>
        <v>28</v>
      </c>
      <c r="S193" s="60">
        <f t="shared" si="96"/>
        <v>170000</v>
      </c>
      <c r="T193" s="60">
        <f t="shared" si="97"/>
        <v>340000</v>
      </c>
      <c r="U193" s="60">
        <f t="shared" si="98"/>
        <v>0</v>
      </c>
      <c r="V193" s="60">
        <f t="shared" si="99"/>
        <v>0</v>
      </c>
      <c r="W193" s="60">
        <f t="shared" si="100"/>
        <v>0</v>
      </c>
      <c r="X193" s="60">
        <f t="shared" si="101"/>
        <v>0</v>
      </c>
      <c r="Y193" s="60">
        <f t="shared" si="102"/>
        <v>60000</v>
      </c>
      <c r="Z193" s="60">
        <f t="shared" si="103"/>
        <v>120000</v>
      </c>
      <c r="AA193" s="42"/>
      <c r="AB193" s="42"/>
      <c r="AC193" s="60">
        <f t="shared" si="104"/>
        <v>0</v>
      </c>
      <c r="AD193" s="60">
        <f t="shared" si="105"/>
        <v>0</v>
      </c>
      <c r="AE193" s="42"/>
      <c r="AF193" s="42"/>
      <c r="AG193" s="60">
        <f t="shared" si="107"/>
        <v>5</v>
      </c>
      <c r="AH193" s="60">
        <f t="shared" si="106"/>
        <v>10</v>
      </c>
      <c r="AW193" s="19"/>
      <c r="AX193" s="19"/>
      <c r="AY193" s="19"/>
      <c r="AZ193" s="19"/>
      <c r="BA193" s="19"/>
      <c r="BB193" s="19"/>
      <c r="BC193" s="19"/>
      <c r="BD193" s="19"/>
      <c r="BE193" s="19"/>
    </row>
    <row r="194" spans="1:57" x14ac:dyDescent="0.15">
      <c r="A194" s="19"/>
      <c r="B194" s="79" t="str">
        <f t="shared" si="89"/>
        <v/>
      </c>
      <c r="C194" s="85"/>
      <c r="D194" s="75">
        <f>INDEX(节奏总纲!$AM$4:$AM$83,$F194)</f>
        <v>20.42625995518307</v>
      </c>
      <c r="E194" s="75">
        <f>求节点(节奏总纲!$P$4:$P$163,节奏总纲!$O$4:$O$163,$D194)</f>
        <v>44.207309026381338</v>
      </c>
      <c r="F194" s="40">
        <v>28</v>
      </c>
      <c r="G194" s="85"/>
      <c r="H194" s="70" t="s">
        <v>704</v>
      </c>
      <c r="I194" s="63"/>
      <c r="J194" s="69" t="s">
        <v>684</v>
      </c>
      <c r="K194" s="63"/>
      <c r="M194" s="60">
        <f t="shared" si="90"/>
        <v>50</v>
      </c>
      <c r="N194" s="60">
        <f t="shared" si="91"/>
        <v>100</v>
      </c>
      <c r="O194" s="60">
        <f t="shared" si="92"/>
        <v>0</v>
      </c>
      <c r="P194" s="60">
        <f t="shared" si="93"/>
        <v>0</v>
      </c>
      <c r="Q194" s="60">
        <f t="shared" si="94"/>
        <v>14</v>
      </c>
      <c r="R194" s="60">
        <f t="shared" si="95"/>
        <v>28</v>
      </c>
      <c r="S194" s="60">
        <f t="shared" si="96"/>
        <v>170000</v>
      </c>
      <c r="T194" s="60">
        <f t="shared" si="97"/>
        <v>340000</v>
      </c>
      <c r="U194" s="60">
        <f t="shared" si="98"/>
        <v>0</v>
      </c>
      <c r="V194" s="60">
        <f t="shared" si="99"/>
        <v>0</v>
      </c>
      <c r="W194" s="60">
        <f t="shared" si="100"/>
        <v>0</v>
      </c>
      <c r="X194" s="60">
        <f t="shared" si="101"/>
        <v>0</v>
      </c>
      <c r="Y194" s="60">
        <f t="shared" si="102"/>
        <v>60000</v>
      </c>
      <c r="Z194" s="60">
        <f t="shared" si="103"/>
        <v>120000</v>
      </c>
      <c r="AA194" s="42"/>
      <c r="AB194" s="42"/>
      <c r="AC194" s="60">
        <f t="shared" si="104"/>
        <v>0</v>
      </c>
      <c r="AD194" s="60">
        <f t="shared" si="105"/>
        <v>0</v>
      </c>
      <c r="AE194" s="42"/>
      <c r="AF194" s="42"/>
      <c r="AG194" s="60">
        <f t="shared" si="107"/>
        <v>5</v>
      </c>
      <c r="AH194" s="60">
        <f t="shared" si="106"/>
        <v>10</v>
      </c>
      <c r="AW194" s="19"/>
      <c r="AX194" s="19"/>
      <c r="AY194" s="19"/>
      <c r="AZ194" s="19"/>
      <c r="BA194" s="19"/>
      <c r="BB194" s="19"/>
      <c r="BC194" s="19"/>
      <c r="BD194" s="19"/>
      <c r="BE194" s="19"/>
    </row>
    <row r="195" spans="1:57" s="19" customFormat="1" x14ac:dyDescent="0.15">
      <c r="B195" s="79" t="str">
        <f t="shared" si="89"/>
        <v/>
      </c>
      <c r="C195" s="85"/>
      <c r="D195" s="75">
        <f>INDEX(节奏总纲!$AM$4:$AM$83,$F195)</f>
        <v>20.42625995518307</v>
      </c>
      <c r="E195" s="75">
        <f>求节点(节奏总纲!$P$4:$P$163,节奏总纲!$O$4:$O$163,$D195)</f>
        <v>44.207309026381338</v>
      </c>
      <c r="F195" s="40">
        <v>28</v>
      </c>
      <c r="G195" s="85"/>
      <c r="H195" s="70" t="s">
        <v>705</v>
      </c>
      <c r="I195" s="63"/>
      <c r="J195" s="69" t="s">
        <v>685</v>
      </c>
      <c r="K195" s="63"/>
      <c r="L195" s="40"/>
      <c r="M195" s="60">
        <f t="shared" si="90"/>
        <v>50</v>
      </c>
      <c r="N195" s="60">
        <f t="shared" si="91"/>
        <v>100</v>
      </c>
      <c r="O195" s="60">
        <f t="shared" si="92"/>
        <v>0</v>
      </c>
      <c r="P195" s="60">
        <f t="shared" si="93"/>
        <v>0</v>
      </c>
      <c r="Q195" s="60">
        <f t="shared" si="94"/>
        <v>14</v>
      </c>
      <c r="R195" s="60">
        <f t="shared" si="95"/>
        <v>28</v>
      </c>
      <c r="S195" s="60">
        <f t="shared" si="96"/>
        <v>170000</v>
      </c>
      <c r="T195" s="60">
        <f t="shared" si="97"/>
        <v>340000</v>
      </c>
      <c r="U195" s="60">
        <f t="shared" si="98"/>
        <v>0</v>
      </c>
      <c r="V195" s="60">
        <f t="shared" si="99"/>
        <v>0</v>
      </c>
      <c r="W195" s="60">
        <f t="shared" si="100"/>
        <v>0</v>
      </c>
      <c r="X195" s="60">
        <f t="shared" si="101"/>
        <v>0</v>
      </c>
      <c r="Y195" s="60">
        <f t="shared" si="102"/>
        <v>60000</v>
      </c>
      <c r="Z195" s="60">
        <f t="shared" si="103"/>
        <v>120000</v>
      </c>
      <c r="AA195" s="42"/>
      <c r="AB195" s="42"/>
      <c r="AC195" s="60">
        <f t="shared" si="104"/>
        <v>0</v>
      </c>
      <c r="AD195" s="60">
        <f t="shared" si="105"/>
        <v>0</v>
      </c>
      <c r="AE195" s="42"/>
      <c r="AF195" s="42"/>
      <c r="AG195" s="60">
        <f t="shared" si="107"/>
        <v>5</v>
      </c>
      <c r="AH195" s="60">
        <f t="shared" si="106"/>
        <v>10</v>
      </c>
      <c r="AJ195" s="22"/>
    </row>
    <row r="196" spans="1:57" s="19" customFormat="1" x14ac:dyDescent="0.15">
      <c r="B196" s="79" t="str">
        <f t="shared" si="89"/>
        <v/>
      </c>
      <c r="C196" s="85"/>
      <c r="D196" s="75">
        <f>INDEX(节奏总纲!$AM$4:$AM$83,$F196)</f>
        <v>20.42625995518307</v>
      </c>
      <c r="E196" s="75">
        <f>求节点(节奏总纲!$P$4:$P$163,节奏总纲!$O$4:$O$163,$D196)</f>
        <v>44.207309026381338</v>
      </c>
      <c r="F196" s="40">
        <v>28</v>
      </c>
      <c r="G196" s="85"/>
      <c r="H196" s="70" t="s">
        <v>428</v>
      </c>
      <c r="I196" s="63"/>
      <c r="J196" s="63" t="s">
        <v>479</v>
      </c>
      <c r="K196" s="63"/>
      <c r="L196" s="40"/>
      <c r="M196" s="60">
        <f t="shared" si="90"/>
        <v>50</v>
      </c>
      <c r="N196" s="60">
        <f t="shared" si="91"/>
        <v>100</v>
      </c>
      <c r="O196" s="60">
        <f t="shared" si="92"/>
        <v>0</v>
      </c>
      <c r="P196" s="60">
        <f t="shared" si="93"/>
        <v>0</v>
      </c>
      <c r="Q196" s="60">
        <f t="shared" si="94"/>
        <v>14</v>
      </c>
      <c r="R196" s="60">
        <f t="shared" si="95"/>
        <v>28</v>
      </c>
      <c r="S196" s="60">
        <f t="shared" si="96"/>
        <v>170000</v>
      </c>
      <c r="T196" s="60">
        <f t="shared" si="97"/>
        <v>340000</v>
      </c>
      <c r="U196" s="60">
        <f t="shared" si="98"/>
        <v>0</v>
      </c>
      <c r="V196" s="60">
        <f t="shared" si="99"/>
        <v>0</v>
      </c>
      <c r="W196" s="60">
        <f t="shared" si="100"/>
        <v>0</v>
      </c>
      <c r="X196" s="60">
        <f t="shared" si="101"/>
        <v>0</v>
      </c>
      <c r="Y196" s="60">
        <f t="shared" si="102"/>
        <v>60000</v>
      </c>
      <c r="Z196" s="60">
        <f t="shared" si="103"/>
        <v>120000</v>
      </c>
      <c r="AA196" s="42"/>
      <c r="AB196" s="42"/>
      <c r="AC196" s="60">
        <f t="shared" si="104"/>
        <v>0</v>
      </c>
      <c r="AD196" s="60">
        <f t="shared" si="105"/>
        <v>0</v>
      </c>
      <c r="AE196" s="42"/>
      <c r="AF196" s="42"/>
      <c r="AG196" s="60">
        <f t="shared" si="107"/>
        <v>5</v>
      </c>
      <c r="AH196" s="60">
        <f t="shared" si="106"/>
        <v>10</v>
      </c>
      <c r="AJ196" s="22"/>
    </row>
    <row r="197" spans="1:57" s="19" customFormat="1" x14ac:dyDescent="0.15">
      <c r="B197" s="79" t="str">
        <f t="shared" si="89"/>
        <v/>
      </c>
      <c r="C197" s="85"/>
      <c r="D197" s="75">
        <f>INDEX(节奏总纲!$AM$4:$AM$83,$F197)</f>
        <v>20.42625995518307</v>
      </c>
      <c r="E197" s="75">
        <f>求节点(节奏总纲!$P$4:$P$163,节奏总纲!$O$4:$O$163,$D197)</f>
        <v>44.207309026381338</v>
      </c>
      <c r="F197" s="40">
        <v>28</v>
      </c>
      <c r="G197" s="85"/>
      <c r="H197" s="70" t="s">
        <v>706</v>
      </c>
      <c r="I197" s="63"/>
      <c r="J197" s="63"/>
      <c r="K197" s="63"/>
      <c r="L197" s="40"/>
      <c r="M197" s="60">
        <f t="shared" si="90"/>
        <v>50</v>
      </c>
      <c r="N197" s="60">
        <f t="shared" si="91"/>
        <v>50</v>
      </c>
      <c r="O197" s="60">
        <f t="shared" si="92"/>
        <v>0</v>
      </c>
      <c r="P197" s="60">
        <f t="shared" si="93"/>
        <v>0</v>
      </c>
      <c r="Q197" s="60">
        <f t="shared" si="94"/>
        <v>14</v>
      </c>
      <c r="R197" s="60">
        <f t="shared" si="95"/>
        <v>14</v>
      </c>
      <c r="S197" s="60">
        <f t="shared" si="96"/>
        <v>170000</v>
      </c>
      <c r="T197" s="60">
        <f t="shared" si="97"/>
        <v>170000</v>
      </c>
      <c r="U197" s="60">
        <f t="shared" si="98"/>
        <v>0</v>
      </c>
      <c r="V197" s="60">
        <f t="shared" si="99"/>
        <v>0</v>
      </c>
      <c r="W197" s="60">
        <f t="shared" si="100"/>
        <v>0</v>
      </c>
      <c r="X197" s="60">
        <f t="shared" si="101"/>
        <v>0</v>
      </c>
      <c r="Y197" s="60">
        <f t="shared" si="102"/>
        <v>60000</v>
      </c>
      <c r="Z197" s="60">
        <f t="shared" si="103"/>
        <v>60000</v>
      </c>
      <c r="AA197" s="42"/>
      <c r="AB197" s="42"/>
      <c r="AC197" s="60">
        <f t="shared" si="104"/>
        <v>0</v>
      </c>
      <c r="AD197" s="60">
        <f t="shared" si="105"/>
        <v>0</v>
      </c>
      <c r="AE197" s="42"/>
      <c r="AF197" s="42"/>
      <c r="AG197" s="60">
        <f t="shared" si="107"/>
        <v>5</v>
      </c>
      <c r="AH197" s="60">
        <f t="shared" si="106"/>
        <v>5</v>
      </c>
      <c r="AJ197" s="22"/>
    </row>
    <row r="198" spans="1:57" s="19" customFormat="1" x14ac:dyDescent="0.15">
      <c r="B198" s="79" t="str">
        <f t="shared" si="89"/>
        <v/>
      </c>
      <c r="C198" s="85"/>
      <c r="D198" s="75">
        <f>INDEX(节奏总纲!$AM$4:$AM$83,$F198)</f>
        <v>20.42625995518307</v>
      </c>
      <c r="E198" s="75">
        <f>求节点(节奏总纲!$P$4:$P$163,节奏总纲!$O$4:$O$163,$D198)</f>
        <v>44.207309026381338</v>
      </c>
      <c r="F198" s="40">
        <v>28</v>
      </c>
      <c r="G198" s="85"/>
      <c r="H198" s="65" t="s">
        <v>429</v>
      </c>
      <c r="I198" s="63"/>
      <c r="J198" s="63"/>
      <c r="K198" s="63"/>
      <c r="L198" s="40"/>
      <c r="M198" s="60">
        <f t="shared" si="90"/>
        <v>50</v>
      </c>
      <c r="N198" s="60">
        <f t="shared" si="91"/>
        <v>50</v>
      </c>
      <c r="O198" s="60">
        <f t="shared" si="92"/>
        <v>0</v>
      </c>
      <c r="P198" s="60">
        <f t="shared" si="93"/>
        <v>0</v>
      </c>
      <c r="Q198" s="60">
        <f t="shared" si="94"/>
        <v>14</v>
      </c>
      <c r="R198" s="60">
        <f t="shared" si="95"/>
        <v>14</v>
      </c>
      <c r="S198" s="60">
        <f t="shared" si="96"/>
        <v>170000</v>
      </c>
      <c r="T198" s="60">
        <f t="shared" si="97"/>
        <v>170000</v>
      </c>
      <c r="U198" s="60">
        <f t="shared" si="98"/>
        <v>0</v>
      </c>
      <c r="V198" s="60">
        <f t="shared" si="99"/>
        <v>0</v>
      </c>
      <c r="W198" s="60">
        <f t="shared" si="100"/>
        <v>0</v>
      </c>
      <c r="X198" s="60">
        <f t="shared" si="101"/>
        <v>0</v>
      </c>
      <c r="Y198" s="60">
        <f t="shared" si="102"/>
        <v>60000</v>
      </c>
      <c r="Z198" s="60">
        <f t="shared" si="103"/>
        <v>60000</v>
      </c>
      <c r="AA198" s="42"/>
      <c r="AB198" s="42"/>
      <c r="AC198" s="60">
        <f t="shared" si="104"/>
        <v>0</v>
      </c>
      <c r="AD198" s="60">
        <f t="shared" si="105"/>
        <v>0</v>
      </c>
      <c r="AE198" s="42"/>
      <c r="AF198" s="42"/>
      <c r="AG198" s="60">
        <f t="shared" si="107"/>
        <v>5</v>
      </c>
      <c r="AH198" s="60">
        <f t="shared" si="106"/>
        <v>5</v>
      </c>
      <c r="AJ198" s="22"/>
    </row>
    <row r="199" spans="1:57" s="19" customFormat="1" x14ac:dyDescent="0.15">
      <c r="B199" s="79">
        <f t="shared" si="89"/>
        <v>3</v>
      </c>
      <c r="C199" s="85"/>
      <c r="D199" s="75">
        <f>INDEX(节奏总纲!$AM$4:$AM$83,$F199)</f>
        <v>24.074703862418847</v>
      </c>
      <c r="E199" s="75">
        <f>求节点(节奏总纲!$P$4:$P$163,节奏总纲!$O$4:$O$163,$D199)</f>
        <v>46.472959498348729</v>
      </c>
      <c r="F199" s="40">
        <v>29</v>
      </c>
      <c r="G199" s="85">
        <v>8</v>
      </c>
      <c r="H199" s="70" t="s">
        <v>430</v>
      </c>
      <c r="I199" s="63"/>
      <c r="J199" s="63"/>
      <c r="K199" s="63"/>
      <c r="L199" s="40"/>
      <c r="M199" s="60">
        <f t="shared" si="90"/>
        <v>50</v>
      </c>
      <c r="N199" s="60">
        <f t="shared" si="91"/>
        <v>50</v>
      </c>
      <c r="O199" s="60">
        <f t="shared" si="92"/>
        <v>0</v>
      </c>
      <c r="P199" s="60">
        <f t="shared" si="93"/>
        <v>0</v>
      </c>
      <c r="Q199" s="60">
        <f t="shared" si="94"/>
        <v>14</v>
      </c>
      <c r="R199" s="60">
        <f t="shared" si="95"/>
        <v>14</v>
      </c>
      <c r="S199" s="60">
        <f t="shared" si="96"/>
        <v>180000</v>
      </c>
      <c r="T199" s="60">
        <f t="shared" si="97"/>
        <v>180000</v>
      </c>
      <c r="U199" s="60">
        <f t="shared" si="98"/>
        <v>0</v>
      </c>
      <c r="V199" s="60">
        <f t="shared" si="99"/>
        <v>0</v>
      </c>
      <c r="W199" s="60">
        <f t="shared" si="100"/>
        <v>0</v>
      </c>
      <c r="X199" s="60">
        <f t="shared" si="101"/>
        <v>0</v>
      </c>
      <c r="Y199" s="60">
        <f t="shared" si="102"/>
        <v>60000</v>
      </c>
      <c r="Z199" s="60">
        <f t="shared" si="103"/>
        <v>60000</v>
      </c>
      <c r="AA199" s="42"/>
      <c r="AB199" s="42"/>
      <c r="AC199" s="60">
        <f t="shared" si="104"/>
        <v>0</v>
      </c>
      <c r="AD199" s="60">
        <f t="shared" si="105"/>
        <v>0</v>
      </c>
      <c r="AE199" s="42"/>
      <c r="AF199" s="42"/>
      <c r="AG199" s="60">
        <f t="shared" si="107"/>
        <v>5</v>
      </c>
      <c r="AH199" s="60">
        <f t="shared" si="106"/>
        <v>5</v>
      </c>
      <c r="AJ199" s="22"/>
    </row>
    <row r="200" spans="1:57" s="19" customFormat="1" x14ac:dyDescent="0.15">
      <c r="B200" s="79" t="str">
        <f t="shared" si="89"/>
        <v/>
      </c>
      <c r="C200" s="85"/>
      <c r="D200" s="75">
        <f>INDEX(节奏总纲!$AM$4:$AM$83,$F200)</f>
        <v>24.074703862418847</v>
      </c>
      <c r="E200" s="75">
        <f>求节点(节奏总纲!$P$4:$P$163,节奏总纲!$O$4:$O$163,$D200)</f>
        <v>46.472959498348729</v>
      </c>
      <c r="F200" s="40">
        <v>29</v>
      </c>
      <c r="G200" s="85"/>
      <c r="H200" s="70" t="s">
        <v>707</v>
      </c>
      <c r="I200" s="63"/>
      <c r="J200" s="63"/>
      <c r="K200" s="63"/>
      <c r="L200" s="40"/>
      <c r="M200" s="60">
        <f t="shared" si="90"/>
        <v>50</v>
      </c>
      <c r="N200" s="60">
        <f t="shared" si="91"/>
        <v>50</v>
      </c>
      <c r="O200" s="60">
        <f t="shared" si="92"/>
        <v>0</v>
      </c>
      <c r="P200" s="60">
        <f t="shared" si="93"/>
        <v>0</v>
      </c>
      <c r="Q200" s="60">
        <f t="shared" si="94"/>
        <v>14</v>
      </c>
      <c r="R200" s="60">
        <f t="shared" si="95"/>
        <v>14</v>
      </c>
      <c r="S200" s="60">
        <f t="shared" si="96"/>
        <v>180000</v>
      </c>
      <c r="T200" s="60">
        <f t="shared" si="97"/>
        <v>180000</v>
      </c>
      <c r="U200" s="60">
        <f t="shared" si="98"/>
        <v>0</v>
      </c>
      <c r="V200" s="60">
        <f t="shared" si="99"/>
        <v>0</v>
      </c>
      <c r="W200" s="60">
        <f t="shared" si="100"/>
        <v>0</v>
      </c>
      <c r="X200" s="60">
        <f t="shared" si="101"/>
        <v>0</v>
      </c>
      <c r="Y200" s="60">
        <f t="shared" si="102"/>
        <v>60000</v>
      </c>
      <c r="Z200" s="60">
        <f t="shared" si="103"/>
        <v>60000</v>
      </c>
      <c r="AA200" s="42"/>
      <c r="AB200" s="42"/>
      <c r="AC200" s="60">
        <f t="shared" si="104"/>
        <v>0</v>
      </c>
      <c r="AD200" s="60">
        <f t="shared" si="105"/>
        <v>0</v>
      </c>
      <c r="AE200" s="42"/>
      <c r="AF200" s="42"/>
      <c r="AG200" s="60">
        <f t="shared" si="107"/>
        <v>5</v>
      </c>
      <c r="AH200" s="60">
        <f t="shared" si="106"/>
        <v>5</v>
      </c>
      <c r="AJ200" s="22"/>
    </row>
    <row r="201" spans="1:57" s="19" customFormat="1" x14ac:dyDescent="0.15">
      <c r="B201" s="79" t="str">
        <f t="shared" ref="B201:B264" si="108">IF(F201&lt;&gt;F200,COUNTIFS($F$8:$F$999,$F201,$H$8:$H$999,"&lt;&gt;")+COUNTIFS($F$8:$F$999,$F201,$I$8:$I$999,"&lt;&gt;")+COUNTIFS($F$8:$F$999,$F201,$J$8:$J$999,"&lt;&gt;"),"")</f>
        <v/>
      </c>
      <c r="C201" s="85"/>
      <c r="D201" s="75">
        <f>INDEX(节奏总纲!$AM$4:$AM$83,$F201)</f>
        <v>24.074703862418847</v>
      </c>
      <c r="E201" s="75">
        <f>求节点(节奏总纲!$P$4:$P$163,节奏总纲!$O$4:$O$163,$D201)</f>
        <v>46.472959498348729</v>
      </c>
      <c r="F201" s="40">
        <v>29</v>
      </c>
      <c r="G201" s="85"/>
      <c r="H201" s="63" t="s">
        <v>431</v>
      </c>
      <c r="I201" s="63"/>
      <c r="J201" s="63"/>
      <c r="K201" s="63"/>
      <c r="L201" s="40"/>
      <c r="M201" s="60">
        <f t="shared" si="90"/>
        <v>50</v>
      </c>
      <c r="N201" s="60">
        <f t="shared" si="91"/>
        <v>50</v>
      </c>
      <c r="O201" s="60">
        <f t="shared" si="92"/>
        <v>0</v>
      </c>
      <c r="P201" s="60">
        <f t="shared" si="93"/>
        <v>0</v>
      </c>
      <c r="Q201" s="60">
        <f t="shared" si="94"/>
        <v>14</v>
      </c>
      <c r="R201" s="60">
        <f t="shared" si="95"/>
        <v>14</v>
      </c>
      <c r="S201" s="60">
        <f t="shared" si="96"/>
        <v>180000</v>
      </c>
      <c r="T201" s="60">
        <f t="shared" si="97"/>
        <v>180000</v>
      </c>
      <c r="U201" s="60">
        <f t="shared" si="98"/>
        <v>0</v>
      </c>
      <c r="V201" s="60">
        <f t="shared" si="99"/>
        <v>0</v>
      </c>
      <c r="W201" s="60">
        <f t="shared" si="100"/>
        <v>0</v>
      </c>
      <c r="X201" s="60">
        <f t="shared" si="101"/>
        <v>0</v>
      </c>
      <c r="Y201" s="60">
        <f t="shared" si="102"/>
        <v>60000</v>
      </c>
      <c r="Z201" s="60">
        <f t="shared" si="103"/>
        <v>60000</v>
      </c>
      <c r="AA201" s="42"/>
      <c r="AB201" s="42"/>
      <c r="AC201" s="60">
        <f t="shared" si="104"/>
        <v>0</v>
      </c>
      <c r="AD201" s="60">
        <f t="shared" si="105"/>
        <v>0</v>
      </c>
      <c r="AE201" s="42"/>
      <c r="AF201" s="42"/>
      <c r="AG201" s="60">
        <f t="shared" si="107"/>
        <v>5</v>
      </c>
      <c r="AH201" s="60">
        <f t="shared" si="106"/>
        <v>5</v>
      </c>
      <c r="AJ201" s="22"/>
    </row>
    <row r="202" spans="1:57" s="19" customFormat="1" x14ac:dyDescent="0.15">
      <c r="B202" s="79">
        <f t="shared" si="108"/>
        <v>7</v>
      </c>
      <c r="C202" s="85"/>
      <c r="D202" s="75">
        <f>INDEX(节奏总纲!$AM$4:$AM$83,$F202)</f>
        <v>28.35</v>
      </c>
      <c r="E202" s="75">
        <f>求节点(节奏总纲!$P$4:$P$163,节奏总纲!$O$4:$O$163,$D202)</f>
        <v>48.746400836475651</v>
      </c>
      <c r="F202" s="40">
        <v>30</v>
      </c>
      <c r="G202" s="85">
        <v>9</v>
      </c>
      <c r="H202" s="63" t="s">
        <v>432</v>
      </c>
      <c r="I202" s="63"/>
      <c r="J202" s="63"/>
      <c r="K202" s="63"/>
      <c r="L202" s="40"/>
      <c r="M202" s="60">
        <f t="shared" si="90"/>
        <v>50</v>
      </c>
      <c r="N202" s="60">
        <f t="shared" si="91"/>
        <v>50</v>
      </c>
      <c r="O202" s="60">
        <f t="shared" si="92"/>
        <v>0</v>
      </c>
      <c r="P202" s="60">
        <f t="shared" si="93"/>
        <v>0</v>
      </c>
      <c r="Q202" s="60">
        <f t="shared" si="94"/>
        <v>14</v>
      </c>
      <c r="R202" s="60">
        <f t="shared" si="95"/>
        <v>14</v>
      </c>
      <c r="S202" s="60">
        <f t="shared" si="96"/>
        <v>190000</v>
      </c>
      <c r="T202" s="60">
        <f t="shared" si="97"/>
        <v>190000</v>
      </c>
      <c r="U202" s="60">
        <f t="shared" si="98"/>
        <v>0</v>
      </c>
      <c r="V202" s="60">
        <f t="shared" si="99"/>
        <v>0</v>
      </c>
      <c r="W202" s="60">
        <f t="shared" si="100"/>
        <v>0</v>
      </c>
      <c r="X202" s="60">
        <f t="shared" si="101"/>
        <v>0</v>
      </c>
      <c r="Y202" s="60">
        <f t="shared" si="102"/>
        <v>60000</v>
      </c>
      <c r="Z202" s="60">
        <f t="shared" si="103"/>
        <v>60000</v>
      </c>
      <c r="AA202" s="42"/>
      <c r="AB202" s="42"/>
      <c r="AC202" s="60">
        <f t="shared" si="104"/>
        <v>0</v>
      </c>
      <c r="AD202" s="60">
        <f t="shared" si="105"/>
        <v>0</v>
      </c>
      <c r="AE202" s="42"/>
      <c r="AF202" s="42"/>
      <c r="AG202" s="60">
        <f t="shared" si="107"/>
        <v>5</v>
      </c>
      <c r="AH202" s="60">
        <f t="shared" si="106"/>
        <v>5</v>
      </c>
      <c r="AJ202" s="22"/>
    </row>
    <row r="203" spans="1:57" s="19" customFormat="1" x14ac:dyDescent="0.15">
      <c r="B203" s="79" t="str">
        <f t="shared" si="108"/>
        <v/>
      </c>
      <c r="C203" s="85"/>
      <c r="D203" s="75">
        <f>INDEX(节奏总纲!$AM$4:$AM$83,$F203)</f>
        <v>28.35</v>
      </c>
      <c r="E203" s="75">
        <f>求节点(节奏总纲!$P$4:$P$163,节奏总纲!$O$4:$O$163,$D203)</f>
        <v>48.746400836475651</v>
      </c>
      <c r="F203" s="40">
        <v>30</v>
      </c>
      <c r="G203" s="85"/>
      <c r="H203" s="63" t="s">
        <v>582</v>
      </c>
      <c r="I203" s="63"/>
      <c r="J203" s="63"/>
      <c r="K203" s="63"/>
      <c r="L203" s="40"/>
      <c r="M203" s="60">
        <f t="shared" si="90"/>
        <v>50</v>
      </c>
      <c r="N203" s="60">
        <f t="shared" si="91"/>
        <v>50</v>
      </c>
      <c r="O203" s="60">
        <f t="shared" si="92"/>
        <v>0</v>
      </c>
      <c r="P203" s="60">
        <f t="shared" si="93"/>
        <v>0</v>
      </c>
      <c r="Q203" s="60">
        <f t="shared" si="94"/>
        <v>14</v>
      </c>
      <c r="R203" s="60">
        <f t="shared" si="95"/>
        <v>14</v>
      </c>
      <c r="S203" s="60">
        <f t="shared" si="96"/>
        <v>190000</v>
      </c>
      <c r="T203" s="60">
        <f t="shared" si="97"/>
        <v>190000</v>
      </c>
      <c r="U203" s="60">
        <f t="shared" si="98"/>
        <v>0</v>
      </c>
      <c r="V203" s="60">
        <f t="shared" si="99"/>
        <v>0</v>
      </c>
      <c r="W203" s="60">
        <f t="shared" si="100"/>
        <v>0</v>
      </c>
      <c r="X203" s="60">
        <f t="shared" si="101"/>
        <v>0</v>
      </c>
      <c r="Y203" s="60">
        <f t="shared" si="102"/>
        <v>60000</v>
      </c>
      <c r="Z203" s="60">
        <f t="shared" si="103"/>
        <v>60000</v>
      </c>
      <c r="AA203" s="42"/>
      <c r="AB203" s="42"/>
      <c r="AC203" s="60">
        <f t="shared" si="104"/>
        <v>0</v>
      </c>
      <c r="AD203" s="60">
        <f t="shared" si="105"/>
        <v>0</v>
      </c>
      <c r="AE203" s="42"/>
      <c r="AF203" s="42"/>
      <c r="AG203" s="60">
        <f t="shared" si="107"/>
        <v>5</v>
      </c>
      <c r="AH203" s="60">
        <f t="shared" si="106"/>
        <v>5</v>
      </c>
      <c r="AJ203" s="22"/>
    </row>
    <row r="204" spans="1:57" s="19" customFormat="1" x14ac:dyDescent="0.15">
      <c r="B204" s="79" t="str">
        <f t="shared" si="108"/>
        <v/>
      </c>
      <c r="C204" s="85"/>
      <c r="D204" s="75">
        <f>INDEX(节奏总纲!$AM$4:$AM$83,$F204)</f>
        <v>28.35</v>
      </c>
      <c r="E204" s="75">
        <f>求节点(节奏总纲!$P$4:$P$163,节奏总纲!$O$4:$O$163,$D204)</f>
        <v>48.746400836475651</v>
      </c>
      <c r="F204" s="40">
        <v>30</v>
      </c>
      <c r="G204" s="85"/>
      <c r="H204" s="63" t="s">
        <v>422</v>
      </c>
      <c r="I204" s="63"/>
      <c r="J204" s="63"/>
      <c r="K204" s="63"/>
      <c r="L204" s="40"/>
      <c r="M204" s="60">
        <f t="shared" si="90"/>
        <v>50</v>
      </c>
      <c r="N204" s="60">
        <f t="shared" si="91"/>
        <v>50</v>
      </c>
      <c r="O204" s="60">
        <f t="shared" si="92"/>
        <v>0</v>
      </c>
      <c r="P204" s="60">
        <f t="shared" si="93"/>
        <v>0</v>
      </c>
      <c r="Q204" s="60">
        <f t="shared" si="94"/>
        <v>14</v>
      </c>
      <c r="R204" s="60">
        <f t="shared" si="95"/>
        <v>14</v>
      </c>
      <c r="S204" s="60">
        <f t="shared" si="96"/>
        <v>190000</v>
      </c>
      <c r="T204" s="60">
        <f t="shared" si="97"/>
        <v>190000</v>
      </c>
      <c r="U204" s="60">
        <f t="shared" si="98"/>
        <v>0</v>
      </c>
      <c r="V204" s="60">
        <f t="shared" si="99"/>
        <v>0</v>
      </c>
      <c r="W204" s="60">
        <f t="shared" si="100"/>
        <v>0</v>
      </c>
      <c r="X204" s="60">
        <f t="shared" si="101"/>
        <v>0</v>
      </c>
      <c r="Y204" s="60">
        <f t="shared" si="102"/>
        <v>60000</v>
      </c>
      <c r="Z204" s="60">
        <f t="shared" si="103"/>
        <v>60000</v>
      </c>
      <c r="AA204" s="42"/>
      <c r="AB204" s="42"/>
      <c r="AC204" s="60">
        <f t="shared" si="104"/>
        <v>0</v>
      </c>
      <c r="AD204" s="60">
        <f t="shared" si="105"/>
        <v>0</v>
      </c>
      <c r="AE204" s="42"/>
      <c r="AF204" s="42"/>
      <c r="AG204" s="60">
        <f t="shared" si="107"/>
        <v>5</v>
      </c>
      <c r="AH204" s="60">
        <f t="shared" si="106"/>
        <v>5</v>
      </c>
      <c r="AJ204" s="22"/>
    </row>
    <row r="205" spans="1:57" s="19" customFormat="1" x14ac:dyDescent="0.15">
      <c r="B205" s="79" t="str">
        <f t="shared" si="108"/>
        <v/>
      </c>
      <c r="C205" s="85"/>
      <c r="D205" s="75">
        <f>INDEX(节奏总纲!$AM$4:$AM$83,$F205)</f>
        <v>28.35</v>
      </c>
      <c r="E205" s="75">
        <f>求节点(节奏总纲!$P$4:$P$163,节奏总纲!$O$4:$O$163,$D205)</f>
        <v>48.746400836475651</v>
      </c>
      <c r="F205" s="40">
        <v>30</v>
      </c>
      <c r="G205" s="85"/>
      <c r="H205" s="63" t="s">
        <v>590</v>
      </c>
      <c r="I205" s="63"/>
      <c r="J205" s="63"/>
      <c r="K205" s="63"/>
      <c r="L205" s="40"/>
      <c r="M205" s="60">
        <f t="shared" ref="M205:M268" si="109">ROUNDUP((M$2*$F205^M$1+M$3)/M$4,0)*M$4</f>
        <v>50</v>
      </c>
      <c r="N205" s="60">
        <f t="shared" ref="N205:N268" si="110">M205*COUNTA($H205:$K205)</f>
        <v>50</v>
      </c>
      <c r="O205" s="60">
        <f t="shared" ref="O205:O268" si="111">ROUNDUP((O$2*$F205^O$1+O$3)/O$4,0)*O$4</f>
        <v>0</v>
      </c>
      <c r="P205" s="60">
        <f t="shared" ref="P205:P268" si="112">O205*COUNTA($H205:$K205)</f>
        <v>0</v>
      </c>
      <c r="Q205" s="60">
        <f t="shared" ref="Q205:Q268" si="113">ROUNDUP((Q$2*$F205^Q$1+Q$3)/Q$4,0)*Q$4</f>
        <v>14</v>
      </c>
      <c r="R205" s="60">
        <f t="shared" ref="R205:R268" si="114">Q205*COUNTA($H205:$K205)</f>
        <v>14</v>
      </c>
      <c r="S205" s="60">
        <f t="shared" ref="S205:S268" si="115">ROUNDUP((S$2*$F205^S$1+S$3)/S$4,0)*S$4</f>
        <v>190000</v>
      </c>
      <c r="T205" s="60">
        <f t="shared" ref="T205:T268" si="116">S205*COUNTA($H205:$K205)</f>
        <v>190000</v>
      </c>
      <c r="U205" s="60">
        <f t="shared" ref="U205:U268" si="117">ROUNDUP((U$2*$F205^U$1+U$3)/U$4,0)*U$4</f>
        <v>0</v>
      </c>
      <c r="V205" s="60">
        <f t="shared" ref="V205:V268" si="118">U205*COUNTA($H205:$K205)</f>
        <v>0</v>
      </c>
      <c r="W205" s="60">
        <f t="shared" ref="W205:W268" si="119">IF(F205&lt;28,0,ROUNDUP((W$2*$F205^W$1+W$3)/W$4,0)*W$4)</f>
        <v>0</v>
      </c>
      <c r="X205" s="60">
        <f t="shared" ref="X205:X268" si="120">W205*COUNTA($H205:$K205)</f>
        <v>0</v>
      </c>
      <c r="Y205" s="60">
        <f t="shared" ref="Y205:Y268" si="121">IF(F205&lt;28,0,ROUNDUP((Y$2*$F205^Y$1+Y$3)/Y$4,0)*Y$4)</f>
        <v>60000</v>
      </c>
      <c r="Z205" s="60">
        <f t="shared" ref="Z205:Z268" si="122">Y205*COUNTA($H205:$K205)</f>
        <v>60000</v>
      </c>
      <c r="AA205" s="42"/>
      <c r="AB205" s="42"/>
      <c r="AC205" s="60">
        <f t="shared" ref="AC205:AC268" si="123">ROUNDUP((AC$2*$F205^AC$1+AC$3)/AC$4,0)*AC$4</f>
        <v>0</v>
      </c>
      <c r="AD205" s="60">
        <f t="shared" ref="AD205:AD268" si="124">AC205*COUNTA($H205:$K205)</f>
        <v>0</v>
      </c>
      <c r="AE205" s="42"/>
      <c r="AF205" s="42"/>
      <c r="AG205" s="60">
        <f t="shared" si="107"/>
        <v>5</v>
      </c>
      <c r="AH205" s="60">
        <f t="shared" ref="AH205:AH268" si="125">AG205*COUNTA($H205:$K205)</f>
        <v>5</v>
      </c>
      <c r="AJ205" s="22"/>
    </row>
    <row r="206" spans="1:57" s="19" customFormat="1" x14ac:dyDescent="0.15">
      <c r="B206" s="79" t="str">
        <f t="shared" si="108"/>
        <v/>
      </c>
      <c r="C206" s="85"/>
      <c r="D206" s="75">
        <f>INDEX(节奏总纲!$AM$4:$AM$83,$F206)</f>
        <v>28.35</v>
      </c>
      <c r="E206" s="75">
        <f>求节点(节奏总纲!$P$4:$P$163,节奏总纲!$O$4:$O$163,$D206)</f>
        <v>48.746400836475651</v>
      </c>
      <c r="F206" s="40">
        <v>30</v>
      </c>
      <c r="G206" s="85"/>
      <c r="H206" s="65" t="s">
        <v>643</v>
      </c>
      <c r="I206" s="63"/>
      <c r="J206" s="63"/>
      <c r="K206" s="63"/>
      <c r="L206" s="40"/>
      <c r="M206" s="60">
        <f t="shared" si="109"/>
        <v>50</v>
      </c>
      <c r="N206" s="60">
        <f t="shared" si="110"/>
        <v>50</v>
      </c>
      <c r="O206" s="60">
        <f t="shared" si="111"/>
        <v>0</v>
      </c>
      <c r="P206" s="60">
        <f t="shared" si="112"/>
        <v>0</v>
      </c>
      <c r="Q206" s="60">
        <f t="shared" si="113"/>
        <v>14</v>
      </c>
      <c r="R206" s="60">
        <f t="shared" si="114"/>
        <v>14</v>
      </c>
      <c r="S206" s="60">
        <f t="shared" si="115"/>
        <v>190000</v>
      </c>
      <c r="T206" s="60">
        <f t="shared" si="116"/>
        <v>190000</v>
      </c>
      <c r="U206" s="60">
        <f t="shared" si="117"/>
        <v>0</v>
      </c>
      <c r="V206" s="60">
        <f t="shared" si="118"/>
        <v>0</v>
      </c>
      <c r="W206" s="60">
        <f t="shared" si="119"/>
        <v>0</v>
      </c>
      <c r="X206" s="60">
        <f t="shared" si="120"/>
        <v>0</v>
      </c>
      <c r="Y206" s="60">
        <f t="shared" si="121"/>
        <v>60000</v>
      </c>
      <c r="Z206" s="60">
        <f t="shared" si="122"/>
        <v>60000</v>
      </c>
      <c r="AA206" s="42"/>
      <c r="AB206" s="42"/>
      <c r="AC206" s="60">
        <f t="shared" si="123"/>
        <v>0</v>
      </c>
      <c r="AD206" s="60">
        <f t="shared" si="124"/>
        <v>0</v>
      </c>
      <c r="AE206" s="42"/>
      <c r="AF206" s="42"/>
      <c r="AG206" s="60">
        <f t="shared" si="107"/>
        <v>5</v>
      </c>
      <c r="AH206" s="60">
        <f t="shared" si="125"/>
        <v>5</v>
      </c>
      <c r="AJ206" s="22"/>
    </row>
    <row r="207" spans="1:57" s="19" customFormat="1" x14ac:dyDescent="0.15">
      <c r="B207" s="79" t="str">
        <f t="shared" si="108"/>
        <v/>
      </c>
      <c r="C207" s="85"/>
      <c r="D207" s="75">
        <f>INDEX(节奏总纲!$AM$4:$AM$83,$F207)</f>
        <v>28.35</v>
      </c>
      <c r="E207" s="75">
        <f>求节点(节奏总纲!$P$4:$P$163,节奏总纲!$O$4:$O$163,$D207)</f>
        <v>48.746400836475651</v>
      </c>
      <c r="F207" s="40">
        <v>30</v>
      </c>
      <c r="G207" s="85"/>
      <c r="H207" s="65" t="s">
        <v>547</v>
      </c>
      <c r="I207" s="63"/>
      <c r="J207" s="63"/>
      <c r="K207" s="63"/>
      <c r="L207" s="40"/>
      <c r="M207" s="60">
        <f t="shared" si="109"/>
        <v>50</v>
      </c>
      <c r="N207" s="60">
        <f t="shared" si="110"/>
        <v>50</v>
      </c>
      <c r="O207" s="60">
        <f t="shared" si="111"/>
        <v>0</v>
      </c>
      <c r="P207" s="60">
        <f t="shared" si="112"/>
        <v>0</v>
      </c>
      <c r="Q207" s="60">
        <f t="shared" si="113"/>
        <v>14</v>
      </c>
      <c r="R207" s="60">
        <f t="shared" si="114"/>
        <v>14</v>
      </c>
      <c r="S207" s="60">
        <f t="shared" si="115"/>
        <v>190000</v>
      </c>
      <c r="T207" s="60">
        <f t="shared" si="116"/>
        <v>190000</v>
      </c>
      <c r="U207" s="60">
        <f t="shared" si="117"/>
        <v>0</v>
      </c>
      <c r="V207" s="60">
        <f t="shared" si="118"/>
        <v>0</v>
      </c>
      <c r="W207" s="60">
        <f t="shared" si="119"/>
        <v>0</v>
      </c>
      <c r="X207" s="60">
        <f t="shared" si="120"/>
        <v>0</v>
      </c>
      <c r="Y207" s="60">
        <f t="shared" si="121"/>
        <v>60000</v>
      </c>
      <c r="Z207" s="60">
        <f t="shared" si="122"/>
        <v>60000</v>
      </c>
      <c r="AA207" s="42"/>
      <c r="AB207" s="42"/>
      <c r="AC207" s="60">
        <f t="shared" si="123"/>
        <v>0</v>
      </c>
      <c r="AD207" s="60">
        <f t="shared" si="124"/>
        <v>0</v>
      </c>
      <c r="AE207" s="42"/>
      <c r="AF207" s="42"/>
      <c r="AG207" s="60">
        <f t="shared" si="107"/>
        <v>5</v>
      </c>
      <c r="AH207" s="60">
        <f t="shared" si="125"/>
        <v>5</v>
      </c>
      <c r="AJ207" s="22"/>
    </row>
    <row r="208" spans="1:57" s="19" customFormat="1" x14ac:dyDescent="0.15">
      <c r="B208" s="79" t="str">
        <f t="shared" si="108"/>
        <v/>
      </c>
      <c r="C208" s="85"/>
      <c r="D208" s="75">
        <f>INDEX(节奏总纲!$AM$4:$AM$83,$F208)</f>
        <v>28.35</v>
      </c>
      <c r="E208" s="75">
        <f>求节点(节奏总纲!$P$4:$P$163,节奏总纲!$O$4:$O$163,$D208)</f>
        <v>48.746400836475651</v>
      </c>
      <c r="F208" s="40">
        <v>30</v>
      </c>
      <c r="G208" s="85"/>
      <c r="H208" s="63" t="s">
        <v>434</v>
      </c>
      <c r="I208" s="63"/>
      <c r="J208" s="63"/>
      <c r="K208" s="63"/>
      <c r="L208" s="40"/>
      <c r="M208" s="60">
        <f t="shared" si="109"/>
        <v>50</v>
      </c>
      <c r="N208" s="60">
        <f t="shared" si="110"/>
        <v>50</v>
      </c>
      <c r="O208" s="60">
        <f t="shared" si="111"/>
        <v>0</v>
      </c>
      <c r="P208" s="60">
        <f t="shared" si="112"/>
        <v>0</v>
      </c>
      <c r="Q208" s="60">
        <f t="shared" si="113"/>
        <v>14</v>
      </c>
      <c r="R208" s="60">
        <f t="shared" si="114"/>
        <v>14</v>
      </c>
      <c r="S208" s="60">
        <f t="shared" si="115"/>
        <v>190000</v>
      </c>
      <c r="T208" s="60">
        <f t="shared" si="116"/>
        <v>190000</v>
      </c>
      <c r="U208" s="60">
        <f t="shared" si="117"/>
        <v>0</v>
      </c>
      <c r="V208" s="60">
        <f t="shared" si="118"/>
        <v>0</v>
      </c>
      <c r="W208" s="60">
        <f t="shared" si="119"/>
        <v>0</v>
      </c>
      <c r="X208" s="60">
        <f t="shared" si="120"/>
        <v>0</v>
      </c>
      <c r="Y208" s="60">
        <f t="shared" si="121"/>
        <v>60000</v>
      </c>
      <c r="Z208" s="60">
        <f t="shared" si="122"/>
        <v>60000</v>
      </c>
      <c r="AA208" s="42"/>
      <c r="AB208" s="42"/>
      <c r="AC208" s="60">
        <f t="shared" si="123"/>
        <v>0</v>
      </c>
      <c r="AD208" s="60">
        <f t="shared" si="124"/>
        <v>0</v>
      </c>
      <c r="AE208" s="42"/>
      <c r="AF208" s="42"/>
      <c r="AG208" s="60">
        <f t="shared" si="107"/>
        <v>5</v>
      </c>
      <c r="AH208" s="60">
        <f t="shared" si="125"/>
        <v>5</v>
      </c>
      <c r="AJ208" s="22"/>
    </row>
    <row r="209" spans="1:57" s="19" customFormat="1" x14ac:dyDescent="0.15">
      <c r="B209" s="79">
        <f t="shared" si="108"/>
        <v>7</v>
      </c>
      <c r="C209" s="85"/>
      <c r="D209" s="75">
        <f>INDEX(节奏总纲!$AM$4:$AM$83,$F209)</f>
        <v>33.357679571112705</v>
      </c>
      <c r="E209" s="75">
        <f>求节点(节奏总纲!$P$4:$P$163,节奏总纲!$O$4:$O$163,$D209)</f>
        <v>51.024751728602688</v>
      </c>
      <c r="F209" s="40">
        <v>31</v>
      </c>
      <c r="G209" s="85">
        <v>10</v>
      </c>
      <c r="H209" s="63" t="s">
        <v>435</v>
      </c>
      <c r="I209" s="63"/>
      <c r="J209" s="63" t="s">
        <v>482</v>
      </c>
      <c r="K209" s="63"/>
      <c r="L209" s="40"/>
      <c r="M209" s="60">
        <f t="shared" si="109"/>
        <v>50</v>
      </c>
      <c r="N209" s="60">
        <f t="shared" si="110"/>
        <v>100</v>
      </c>
      <c r="O209" s="60">
        <f t="shared" si="111"/>
        <v>0</v>
      </c>
      <c r="P209" s="60">
        <f t="shared" si="112"/>
        <v>0</v>
      </c>
      <c r="Q209" s="60">
        <f t="shared" si="113"/>
        <v>14</v>
      </c>
      <c r="R209" s="60">
        <f t="shared" si="114"/>
        <v>28</v>
      </c>
      <c r="S209" s="60">
        <f t="shared" si="115"/>
        <v>200000</v>
      </c>
      <c r="T209" s="60">
        <f t="shared" si="116"/>
        <v>400000</v>
      </c>
      <c r="U209" s="60">
        <f t="shared" si="117"/>
        <v>0</v>
      </c>
      <c r="V209" s="60">
        <f t="shared" si="118"/>
        <v>0</v>
      </c>
      <c r="W209" s="60">
        <f t="shared" si="119"/>
        <v>0</v>
      </c>
      <c r="X209" s="60">
        <f t="shared" si="120"/>
        <v>0</v>
      </c>
      <c r="Y209" s="60">
        <f t="shared" si="121"/>
        <v>60000</v>
      </c>
      <c r="Z209" s="60">
        <f t="shared" si="122"/>
        <v>120000</v>
      </c>
      <c r="AA209" s="42"/>
      <c r="AB209" s="42"/>
      <c r="AC209" s="60">
        <f t="shared" si="123"/>
        <v>0</v>
      </c>
      <c r="AD209" s="60">
        <f t="shared" si="124"/>
        <v>0</v>
      </c>
      <c r="AE209" s="42"/>
      <c r="AF209" s="42"/>
      <c r="AG209" s="60">
        <f t="shared" si="107"/>
        <v>5</v>
      </c>
      <c r="AH209" s="60">
        <f t="shared" si="125"/>
        <v>10</v>
      </c>
      <c r="AJ209" s="22"/>
    </row>
    <row r="210" spans="1:57" s="19" customFormat="1" x14ac:dyDescent="0.15">
      <c r="B210" s="79" t="str">
        <f t="shared" si="108"/>
        <v/>
      </c>
      <c r="C210" s="85"/>
      <c r="D210" s="75">
        <f>INDEX(节奏总纲!$AM$4:$AM$83,$F210)</f>
        <v>33.357679571112705</v>
      </c>
      <c r="E210" s="75">
        <f>求节点(节奏总纲!$P$4:$P$163,节奏总纲!$O$4:$O$163,$D210)</f>
        <v>51.024751728602688</v>
      </c>
      <c r="F210" s="40">
        <v>31</v>
      </c>
      <c r="G210" s="85"/>
      <c r="H210" s="63" t="s">
        <v>436</v>
      </c>
      <c r="I210" s="63"/>
      <c r="J210" s="69" t="s">
        <v>632</v>
      </c>
      <c r="K210" s="63"/>
      <c r="L210" s="40"/>
      <c r="M210" s="60">
        <f t="shared" si="109"/>
        <v>50</v>
      </c>
      <c r="N210" s="60">
        <f t="shared" si="110"/>
        <v>100</v>
      </c>
      <c r="O210" s="60">
        <f t="shared" si="111"/>
        <v>0</v>
      </c>
      <c r="P210" s="60">
        <f t="shared" si="112"/>
        <v>0</v>
      </c>
      <c r="Q210" s="60">
        <f t="shared" si="113"/>
        <v>14</v>
      </c>
      <c r="R210" s="60">
        <f t="shared" si="114"/>
        <v>28</v>
      </c>
      <c r="S210" s="60">
        <f t="shared" si="115"/>
        <v>200000</v>
      </c>
      <c r="T210" s="60">
        <f t="shared" si="116"/>
        <v>400000</v>
      </c>
      <c r="U210" s="60">
        <f t="shared" si="117"/>
        <v>0</v>
      </c>
      <c r="V210" s="60">
        <f t="shared" si="118"/>
        <v>0</v>
      </c>
      <c r="W210" s="60">
        <f t="shared" si="119"/>
        <v>0</v>
      </c>
      <c r="X210" s="60">
        <f t="shared" si="120"/>
        <v>0</v>
      </c>
      <c r="Y210" s="60">
        <f t="shared" si="121"/>
        <v>60000</v>
      </c>
      <c r="Z210" s="60">
        <f t="shared" si="122"/>
        <v>120000</v>
      </c>
      <c r="AA210" s="42"/>
      <c r="AB210" s="42"/>
      <c r="AC210" s="60">
        <f t="shared" si="123"/>
        <v>0</v>
      </c>
      <c r="AD210" s="60">
        <f t="shared" si="124"/>
        <v>0</v>
      </c>
      <c r="AE210" s="42"/>
      <c r="AF210" s="42"/>
      <c r="AG210" s="60">
        <f t="shared" si="107"/>
        <v>5</v>
      </c>
      <c r="AH210" s="60">
        <f t="shared" si="125"/>
        <v>10</v>
      </c>
      <c r="AJ210" s="22"/>
    </row>
    <row r="211" spans="1:57" x14ac:dyDescent="0.15">
      <c r="A211" s="19"/>
      <c r="B211" s="79" t="str">
        <f t="shared" si="108"/>
        <v/>
      </c>
      <c r="C211" s="85"/>
      <c r="D211" s="75">
        <f>INDEX(节奏总纲!$AM$4:$AM$83,$F211)</f>
        <v>33.357679571112705</v>
      </c>
      <c r="E211" s="75">
        <f>求节点(节奏总纲!$P$4:$P$163,节奏总纲!$O$4:$O$163,$D211)</f>
        <v>51.024751728602688</v>
      </c>
      <c r="F211" s="40">
        <v>31</v>
      </c>
      <c r="G211" s="85"/>
      <c r="H211" s="63"/>
      <c r="I211" s="63"/>
      <c r="J211" s="69"/>
      <c r="K211" s="63"/>
      <c r="M211" s="60">
        <f t="shared" si="109"/>
        <v>50</v>
      </c>
      <c r="N211" s="60">
        <f t="shared" si="110"/>
        <v>0</v>
      </c>
      <c r="O211" s="60">
        <f t="shared" si="111"/>
        <v>0</v>
      </c>
      <c r="P211" s="60">
        <f t="shared" si="112"/>
        <v>0</v>
      </c>
      <c r="Q211" s="60">
        <f t="shared" si="113"/>
        <v>14</v>
      </c>
      <c r="R211" s="60">
        <f t="shared" si="114"/>
        <v>0</v>
      </c>
      <c r="S211" s="60">
        <f t="shared" si="115"/>
        <v>200000</v>
      </c>
      <c r="T211" s="60">
        <f t="shared" si="116"/>
        <v>0</v>
      </c>
      <c r="U211" s="60">
        <f t="shared" si="117"/>
        <v>0</v>
      </c>
      <c r="V211" s="60">
        <f t="shared" si="118"/>
        <v>0</v>
      </c>
      <c r="W211" s="60">
        <f t="shared" si="119"/>
        <v>0</v>
      </c>
      <c r="X211" s="60">
        <f t="shared" si="120"/>
        <v>0</v>
      </c>
      <c r="Y211" s="60">
        <f t="shared" si="121"/>
        <v>60000</v>
      </c>
      <c r="Z211" s="60">
        <f t="shared" si="122"/>
        <v>0</v>
      </c>
      <c r="AA211" s="42"/>
      <c r="AB211" s="42"/>
      <c r="AC211" s="60">
        <f t="shared" si="123"/>
        <v>0</v>
      </c>
      <c r="AD211" s="60">
        <f t="shared" si="124"/>
        <v>0</v>
      </c>
      <c r="AE211" s="42"/>
      <c r="AF211" s="42"/>
      <c r="AG211" s="60">
        <f t="shared" si="107"/>
        <v>5</v>
      </c>
      <c r="AH211" s="60">
        <f t="shared" si="125"/>
        <v>0</v>
      </c>
      <c r="AI211" s="19"/>
      <c r="AW211" s="19"/>
      <c r="AX211" s="19"/>
      <c r="AY211" s="19"/>
      <c r="AZ211" s="19"/>
      <c r="BA211" s="19"/>
      <c r="BB211" s="19"/>
      <c r="BC211" s="19"/>
      <c r="BD211" s="19"/>
      <c r="BE211" s="19"/>
    </row>
    <row r="212" spans="1:57" s="19" customFormat="1" x14ac:dyDescent="0.15">
      <c r="B212" s="79" t="str">
        <f t="shared" si="108"/>
        <v/>
      </c>
      <c r="C212" s="85"/>
      <c r="D212" s="75">
        <f>INDEX(节奏总纲!$AM$4:$AM$83,$F212)</f>
        <v>33.357679571112705</v>
      </c>
      <c r="E212" s="75">
        <f>求节点(节奏总纲!$P$4:$P$163,节奏总纲!$O$4:$O$163,$D212)</f>
        <v>51.024751728602688</v>
      </c>
      <c r="F212" s="40">
        <v>31</v>
      </c>
      <c r="G212" s="85"/>
      <c r="H212" s="63" t="s">
        <v>598</v>
      </c>
      <c r="I212" s="63"/>
      <c r="J212" s="69"/>
      <c r="K212" s="63"/>
      <c r="L212" s="40"/>
      <c r="M212" s="60">
        <f t="shared" si="109"/>
        <v>50</v>
      </c>
      <c r="N212" s="60">
        <f t="shared" si="110"/>
        <v>50</v>
      </c>
      <c r="O212" s="60">
        <f t="shared" si="111"/>
        <v>0</v>
      </c>
      <c r="P212" s="60">
        <f t="shared" si="112"/>
        <v>0</v>
      </c>
      <c r="Q212" s="60">
        <f t="shared" si="113"/>
        <v>14</v>
      </c>
      <c r="R212" s="60">
        <f t="shared" si="114"/>
        <v>14</v>
      </c>
      <c r="S212" s="60">
        <f t="shared" si="115"/>
        <v>200000</v>
      </c>
      <c r="T212" s="60">
        <f t="shared" si="116"/>
        <v>200000</v>
      </c>
      <c r="U212" s="60">
        <f t="shared" si="117"/>
        <v>0</v>
      </c>
      <c r="V212" s="60">
        <f t="shared" si="118"/>
        <v>0</v>
      </c>
      <c r="W212" s="60">
        <f t="shared" si="119"/>
        <v>0</v>
      </c>
      <c r="X212" s="60">
        <f t="shared" si="120"/>
        <v>0</v>
      </c>
      <c r="Y212" s="60">
        <f t="shared" si="121"/>
        <v>60000</v>
      </c>
      <c r="Z212" s="60">
        <f t="shared" si="122"/>
        <v>60000</v>
      </c>
      <c r="AA212" s="42"/>
      <c r="AB212" s="42"/>
      <c r="AC212" s="60">
        <f t="shared" si="123"/>
        <v>0</v>
      </c>
      <c r="AD212" s="60">
        <f t="shared" si="124"/>
        <v>0</v>
      </c>
      <c r="AE212" s="42"/>
      <c r="AF212" s="42"/>
      <c r="AG212" s="60">
        <f t="shared" si="107"/>
        <v>5</v>
      </c>
      <c r="AH212" s="60">
        <f t="shared" si="125"/>
        <v>5</v>
      </c>
      <c r="AJ212" s="22"/>
    </row>
    <row r="213" spans="1:57" s="19" customFormat="1" x14ac:dyDescent="0.15">
      <c r="B213" s="79" t="str">
        <f t="shared" si="108"/>
        <v/>
      </c>
      <c r="C213" s="85"/>
      <c r="D213" s="75">
        <f>INDEX(节奏总纲!$AM$4:$AM$83,$F213)</f>
        <v>33.357679571112705</v>
      </c>
      <c r="E213" s="75">
        <f>求节点(节奏总纲!$P$4:$P$163,节奏总纲!$O$4:$O$163,$D213)</f>
        <v>51.024751728602688</v>
      </c>
      <c r="F213" s="40">
        <v>31</v>
      </c>
      <c r="G213" s="85"/>
      <c r="H213" s="70" t="s">
        <v>708</v>
      </c>
      <c r="I213" s="63"/>
      <c r="J213" s="69"/>
      <c r="K213" s="63"/>
      <c r="L213" s="40"/>
      <c r="M213" s="60">
        <f t="shared" si="109"/>
        <v>50</v>
      </c>
      <c r="N213" s="60">
        <f t="shared" si="110"/>
        <v>50</v>
      </c>
      <c r="O213" s="60">
        <f t="shared" si="111"/>
        <v>0</v>
      </c>
      <c r="P213" s="60">
        <f t="shared" si="112"/>
        <v>0</v>
      </c>
      <c r="Q213" s="60">
        <f t="shared" si="113"/>
        <v>14</v>
      </c>
      <c r="R213" s="60">
        <f t="shared" si="114"/>
        <v>14</v>
      </c>
      <c r="S213" s="60">
        <f t="shared" si="115"/>
        <v>200000</v>
      </c>
      <c r="T213" s="60">
        <f t="shared" si="116"/>
        <v>200000</v>
      </c>
      <c r="U213" s="60">
        <f t="shared" si="117"/>
        <v>0</v>
      </c>
      <c r="V213" s="60">
        <f t="shared" si="118"/>
        <v>0</v>
      </c>
      <c r="W213" s="60">
        <f t="shared" si="119"/>
        <v>0</v>
      </c>
      <c r="X213" s="60">
        <f t="shared" si="120"/>
        <v>0</v>
      </c>
      <c r="Y213" s="60">
        <f t="shared" si="121"/>
        <v>60000</v>
      </c>
      <c r="Z213" s="60">
        <f t="shared" si="122"/>
        <v>60000</v>
      </c>
      <c r="AA213" s="42"/>
      <c r="AB213" s="42"/>
      <c r="AC213" s="60">
        <f t="shared" si="123"/>
        <v>0</v>
      </c>
      <c r="AD213" s="60">
        <f t="shared" si="124"/>
        <v>0</v>
      </c>
      <c r="AE213" s="42"/>
      <c r="AF213" s="42"/>
      <c r="AG213" s="60">
        <f t="shared" si="107"/>
        <v>5</v>
      </c>
      <c r="AH213" s="60">
        <f t="shared" si="125"/>
        <v>5</v>
      </c>
      <c r="AJ213" s="22"/>
    </row>
    <row r="214" spans="1:57" s="19" customFormat="1" x14ac:dyDescent="0.15">
      <c r="B214" s="79" t="str">
        <f t="shared" si="108"/>
        <v/>
      </c>
      <c r="C214" s="85"/>
      <c r="D214" s="75">
        <f>INDEX(节奏总纲!$AM$4:$AM$83,$F214)</f>
        <v>33.357679571112705</v>
      </c>
      <c r="E214" s="75">
        <f>求节点(节奏总纲!$P$4:$P$163,节奏总纲!$O$4:$O$163,$D214)</f>
        <v>51.024751728602688</v>
      </c>
      <c r="F214" s="40">
        <v>31</v>
      </c>
      <c r="G214" s="85"/>
      <c r="H214" s="70" t="s">
        <v>437</v>
      </c>
      <c r="I214" s="63"/>
      <c r="J214" s="69"/>
      <c r="K214" s="63"/>
      <c r="L214" s="40"/>
      <c r="M214" s="60">
        <f t="shared" si="109"/>
        <v>50</v>
      </c>
      <c r="N214" s="60">
        <f t="shared" si="110"/>
        <v>50</v>
      </c>
      <c r="O214" s="60">
        <f t="shared" si="111"/>
        <v>0</v>
      </c>
      <c r="P214" s="60">
        <f t="shared" si="112"/>
        <v>0</v>
      </c>
      <c r="Q214" s="60">
        <f t="shared" si="113"/>
        <v>14</v>
      </c>
      <c r="R214" s="60">
        <f t="shared" si="114"/>
        <v>14</v>
      </c>
      <c r="S214" s="60">
        <f t="shared" si="115"/>
        <v>200000</v>
      </c>
      <c r="T214" s="60">
        <f t="shared" si="116"/>
        <v>200000</v>
      </c>
      <c r="U214" s="60">
        <f t="shared" si="117"/>
        <v>0</v>
      </c>
      <c r="V214" s="60">
        <f t="shared" si="118"/>
        <v>0</v>
      </c>
      <c r="W214" s="60">
        <f t="shared" si="119"/>
        <v>0</v>
      </c>
      <c r="X214" s="60">
        <f t="shared" si="120"/>
        <v>0</v>
      </c>
      <c r="Y214" s="60">
        <f t="shared" si="121"/>
        <v>60000</v>
      </c>
      <c r="Z214" s="60">
        <f t="shared" si="122"/>
        <v>60000</v>
      </c>
      <c r="AA214" s="42"/>
      <c r="AB214" s="42"/>
      <c r="AC214" s="60">
        <f t="shared" si="123"/>
        <v>0</v>
      </c>
      <c r="AD214" s="60">
        <f t="shared" si="124"/>
        <v>0</v>
      </c>
      <c r="AE214" s="42"/>
      <c r="AF214" s="42"/>
      <c r="AG214" s="60">
        <f t="shared" si="107"/>
        <v>5</v>
      </c>
      <c r="AH214" s="60">
        <f t="shared" si="125"/>
        <v>5</v>
      </c>
      <c r="AJ214" s="22"/>
    </row>
    <row r="215" spans="1:57" s="19" customFormat="1" x14ac:dyDescent="0.15">
      <c r="B215" s="79">
        <f t="shared" si="108"/>
        <v>9</v>
      </c>
      <c r="C215" s="85"/>
      <c r="D215" s="75">
        <f>INDEX(节奏总纲!$AM$4:$AM$83,$F215)</f>
        <v>39.220797956048642</v>
      </c>
      <c r="E215" s="75">
        <f>求节点(节奏总纲!$P$4:$P$163,节奏总纲!$O$4:$O$163,$D215)</f>
        <v>53.291472423922521</v>
      </c>
      <c r="F215" s="40">
        <v>32</v>
      </c>
      <c r="G215" s="85">
        <v>11</v>
      </c>
      <c r="H215" s="63" t="s">
        <v>438</v>
      </c>
      <c r="I215" s="63"/>
      <c r="J215" s="69"/>
      <c r="K215" s="63"/>
      <c r="L215" s="40"/>
      <c r="M215" s="60">
        <f t="shared" si="109"/>
        <v>50</v>
      </c>
      <c r="N215" s="60">
        <f t="shared" si="110"/>
        <v>50</v>
      </c>
      <c r="O215" s="60">
        <f t="shared" si="111"/>
        <v>0</v>
      </c>
      <c r="P215" s="60">
        <f t="shared" si="112"/>
        <v>0</v>
      </c>
      <c r="Q215" s="60">
        <f t="shared" si="113"/>
        <v>15</v>
      </c>
      <c r="R215" s="60">
        <f t="shared" si="114"/>
        <v>15</v>
      </c>
      <c r="S215" s="60">
        <f t="shared" si="115"/>
        <v>210000</v>
      </c>
      <c r="T215" s="60">
        <f t="shared" si="116"/>
        <v>210000</v>
      </c>
      <c r="U215" s="60">
        <f t="shared" si="117"/>
        <v>0</v>
      </c>
      <c r="V215" s="60">
        <f t="shared" si="118"/>
        <v>0</v>
      </c>
      <c r="W215" s="60">
        <f t="shared" si="119"/>
        <v>0</v>
      </c>
      <c r="X215" s="60">
        <f t="shared" si="120"/>
        <v>0</v>
      </c>
      <c r="Y215" s="60">
        <f t="shared" si="121"/>
        <v>70000</v>
      </c>
      <c r="Z215" s="60">
        <f t="shared" si="122"/>
        <v>70000</v>
      </c>
      <c r="AA215" s="42"/>
      <c r="AB215" s="42"/>
      <c r="AC215" s="60">
        <f t="shared" si="123"/>
        <v>0</v>
      </c>
      <c r="AD215" s="60">
        <f t="shared" si="124"/>
        <v>0</v>
      </c>
      <c r="AE215" s="42"/>
      <c r="AF215" s="42"/>
      <c r="AG215" s="60">
        <f t="shared" si="107"/>
        <v>5</v>
      </c>
      <c r="AH215" s="60">
        <f t="shared" si="125"/>
        <v>5</v>
      </c>
      <c r="AJ215" s="22"/>
    </row>
    <row r="216" spans="1:57" s="19" customFormat="1" x14ac:dyDescent="0.15">
      <c r="B216" s="79" t="str">
        <f t="shared" si="108"/>
        <v/>
      </c>
      <c r="C216" s="85"/>
      <c r="D216" s="75">
        <f>INDEX(节奏总纲!$AM$4:$AM$83,$F216)</f>
        <v>39.220797956048642</v>
      </c>
      <c r="E216" s="75">
        <f>求节点(节奏总纲!$P$4:$P$163,节奏总纲!$O$4:$O$163,$D216)</f>
        <v>53.291472423922521</v>
      </c>
      <c r="F216" s="40">
        <v>32</v>
      </c>
      <c r="G216" s="85"/>
      <c r="H216" s="70" t="s">
        <v>506</v>
      </c>
      <c r="I216" s="70"/>
      <c r="J216" s="69" t="s">
        <v>686</v>
      </c>
      <c r="K216" s="63"/>
      <c r="L216" s="40"/>
      <c r="M216" s="60">
        <f t="shared" si="109"/>
        <v>50</v>
      </c>
      <c r="N216" s="60">
        <f t="shared" si="110"/>
        <v>100</v>
      </c>
      <c r="O216" s="60">
        <f t="shared" si="111"/>
        <v>0</v>
      </c>
      <c r="P216" s="60">
        <f t="shared" si="112"/>
        <v>0</v>
      </c>
      <c r="Q216" s="60">
        <f t="shared" si="113"/>
        <v>15</v>
      </c>
      <c r="R216" s="60">
        <f t="shared" si="114"/>
        <v>30</v>
      </c>
      <c r="S216" s="60">
        <f t="shared" si="115"/>
        <v>210000</v>
      </c>
      <c r="T216" s="60">
        <f t="shared" si="116"/>
        <v>420000</v>
      </c>
      <c r="U216" s="60">
        <f t="shared" si="117"/>
        <v>0</v>
      </c>
      <c r="V216" s="60">
        <f t="shared" si="118"/>
        <v>0</v>
      </c>
      <c r="W216" s="60">
        <f t="shared" si="119"/>
        <v>0</v>
      </c>
      <c r="X216" s="60">
        <f t="shared" si="120"/>
        <v>0</v>
      </c>
      <c r="Y216" s="60">
        <f t="shared" si="121"/>
        <v>70000</v>
      </c>
      <c r="Z216" s="60">
        <f t="shared" si="122"/>
        <v>140000</v>
      </c>
      <c r="AA216" s="42"/>
      <c r="AB216" s="42"/>
      <c r="AC216" s="60">
        <f t="shared" si="123"/>
        <v>0</v>
      </c>
      <c r="AD216" s="60">
        <f t="shared" si="124"/>
        <v>0</v>
      </c>
      <c r="AE216" s="42"/>
      <c r="AF216" s="42"/>
      <c r="AG216" s="60">
        <f t="shared" si="107"/>
        <v>5</v>
      </c>
      <c r="AH216" s="60">
        <f t="shared" si="125"/>
        <v>10</v>
      </c>
      <c r="AJ216" s="22"/>
    </row>
    <row r="217" spans="1:57" s="19" customFormat="1" x14ac:dyDescent="0.15">
      <c r="B217" s="79" t="str">
        <f t="shared" si="108"/>
        <v/>
      </c>
      <c r="C217" s="85"/>
      <c r="D217" s="75">
        <f>INDEX(节奏总纲!$AM$4:$AM$83,$F217)</f>
        <v>39.220797956048642</v>
      </c>
      <c r="E217" s="75">
        <f>求节点(节奏总纲!$P$4:$P$163,节奏总纲!$O$4:$O$163,$D217)</f>
        <v>53.291472423922521</v>
      </c>
      <c r="F217" s="40">
        <v>32</v>
      </c>
      <c r="G217" s="85"/>
      <c r="H217" s="70" t="s">
        <v>709</v>
      </c>
      <c r="I217" s="63" t="s">
        <v>555</v>
      </c>
      <c r="J217" s="69" t="s">
        <v>687</v>
      </c>
      <c r="K217" s="63"/>
      <c r="L217" s="40"/>
      <c r="M217" s="60">
        <f t="shared" si="109"/>
        <v>50</v>
      </c>
      <c r="N217" s="60">
        <f t="shared" si="110"/>
        <v>150</v>
      </c>
      <c r="O217" s="60">
        <f t="shared" si="111"/>
        <v>0</v>
      </c>
      <c r="P217" s="60">
        <f t="shared" si="112"/>
        <v>0</v>
      </c>
      <c r="Q217" s="60">
        <f t="shared" si="113"/>
        <v>15</v>
      </c>
      <c r="R217" s="60">
        <f t="shared" si="114"/>
        <v>45</v>
      </c>
      <c r="S217" s="60">
        <f t="shared" si="115"/>
        <v>210000</v>
      </c>
      <c r="T217" s="60">
        <f t="shared" si="116"/>
        <v>630000</v>
      </c>
      <c r="U217" s="60">
        <f t="shared" si="117"/>
        <v>0</v>
      </c>
      <c r="V217" s="60">
        <f t="shared" si="118"/>
        <v>0</v>
      </c>
      <c r="W217" s="60">
        <f t="shared" si="119"/>
        <v>0</v>
      </c>
      <c r="X217" s="60">
        <f t="shared" si="120"/>
        <v>0</v>
      </c>
      <c r="Y217" s="60">
        <f t="shared" si="121"/>
        <v>70000</v>
      </c>
      <c r="Z217" s="60">
        <f t="shared" si="122"/>
        <v>210000</v>
      </c>
      <c r="AA217" s="42"/>
      <c r="AB217" s="42"/>
      <c r="AC217" s="60">
        <f t="shared" si="123"/>
        <v>0</v>
      </c>
      <c r="AD217" s="60">
        <f t="shared" si="124"/>
        <v>0</v>
      </c>
      <c r="AE217" s="42"/>
      <c r="AF217" s="42"/>
      <c r="AG217" s="60">
        <f t="shared" ref="AG217:AG280" si="126">ROUNDUP((AG$2*$F217^AG$1+AG$3)/AG$4,0)*AG$4</f>
        <v>5</v>
      </c>
      <c r="AH217" s="60">
        <f t="shared" si="125"/>
        <v>15</v>
      </c>
      <c r="AJ217" s="22"/>
    </row>
    <row r="218" spans="1:57" s="19" customFormat="1" x14ac:dyDescent="0.15">
      <c r="B218" s="79" t="str">
        <f t="shared" si="108"/>
        <v/>
      </c>
      <c r="C218" s="85"/>
      <c r="D218" s="75">
        <f>INDEX(节奏总纲!$AM$4:$AM$83,$F218)</f>
        <v>39.220797956048642</v>
      </c>
      <c r="E218" s="75">
        <f>求节点(节奏总纲!$P$4:$P$163,节奏总纲!$O$4:$O$163,$D218)</f>
        <v>53.291472423922521</v>
      </c>
      <c r="F218" s="40">
        <v>32</v>
      </c>
      <c r="G218" s="85"/>
      <c r="H218" s="70" t="s">
        <v>505</v>
      </c>
      <c r="I218" s="63"/>
      <c r="J218" s="69" t="s">
        <v>688</v>
      </c>
      <c r="K218" s="63"/>
      <c r="L218" s="40"/>
      <c r="M218" s="60">
        <f t="shared" si="109"/>
        <v>50</v>
      </c>
      <c r="N218" s="60">
        <f t="shared" si="110"/>
        <v>100</v>
      </c>
      <c r="O218" s="60">
        <f t="shared" si="111"/>
        <v>0</v>
      </c>
      <c r="P218" s="60">
        <f t="shared" si="112"/>
        <v>0</v>
      </c>
      <c r="Q218" s="60">
        <f t="shared" si="113"/>
        <v>15</v>
      </c>
      <c r="R218" s="60">
        <f t="shared" si="114"/>
        <v>30</v>
      </c>
      <c r="S218" s="60">
        <f t="shared" si="115"/>
        <v>210000</v>
      </c>
      <c r="T218" s="60">
        <f t="shared" si="116"/>
        <v>420000</v>
      </c>
      <c r="U218" s="60">
        <f t="shared" si="117"/>
        <v>0</v>
      </c>
      <c r="V218" s="60">
        <f t="shared" si="118"/>
        <v>0</v>
      </c>
      <c r="W218" s="60">
        <f t="shared" si="119"/>
        <v>0</v>
      </c>
      <c r="X218" s="60">
        <f t="shared" si="120"/>
        <v>0</v>
      </c>
      <c r="Y218" s="60">
        <f t="shared" si="121"/>
        <v>70000</v>
      </c>
      <c r="Z218" s="60">
        <f t="shared" si="122"/>
        <v>140000</v>
      </c>
      <c r="AA218" s="42"/>
      <c r="AB218" s="42"/>
      <c r="AC218" s="60">
        <f t="shared" si="123"/>
        <v>0</v>
      </c>
      <c r="AD218" s="60">
        <f t="shared" si="124"/>
        <v>0</v>
      </c>
      <c r="AE218" s="42"/>
      <c r="AF218" s="42"/>
      <c r="AG218" s="60">
        <f t="shared" si="126"/>
        <v>5</v>
      </c>
      <c r="AH218" s="60">
        <f t="shared" si="125"/>
        <v>10</v>
      </c>
      <c r="AJ218" s="22"/>
    </row>
    <row r="219" spans="1:57" s="19" customFormat="1" x14ac:dyDescent="0.15">
      <c r="B219" s="79" t="str">
        <f t="shared" si="108"/>
        <v/>
      </c>
      <c r="C219" s="85"/>
      <c r="D219" s="75">
        <f>INDEX(节奏总纲!$AM$4:$AM$83,$F219)</f>
        <v>39.220797956048642</v>
      </c>
      <c r="E219" s="75">
        <f>求节点(节奏总纲!$P$4:$P$163,节奏总纲!$O$4:$O$163,$D219)</f>
        <v>53.291472423922521</v>
      </c>
      <c r="F219" s="40">
        <v>32</v>
      </c>
      <c r="G219" s="85"/>
      <c r="H219" s="63" t="s">
        <v>439</v>
      </c>
      <c r="I219" s="63"/>
      <c r="J219" s="69"/>
      <c r="K219" s="63"/>
      <c r="L219" s="40"/>
      <c r="M219" s="60">
        <f t="shared" si="109"/>
        <v>50</v>
      </c>
      <c r="N219" s="60">
        <f t="shared" si="110"/>
        <v>50</v>
      </c>
      <c r="O219" s="60">
        <f t="shared" si="111"/>
        <v>0</v>
      </c>
      <c r="P219" s="60">
        <f t="shared" si="112"/>
        <v>0</v>
      </c>
      <c r="Q219" s="60">
        <f t="shared" si="113"/>
        <v>15</v>
      </c>
      <c r="R219" s="60">
        <f t="shared" si="114"/>
        <v>15</v>
      </c>
      <c r="S219" s="60">
        <f t="shared" si="115"/>
        <v>210000</v>
      </c>
      <c r="T219" s="60">
        <f t="shared" si="116"/>
        <v>210000</v>
      </c>
      <c r="U219" s="60">
        <f t="shared" si="117"/>
        <v>0</v>
      </c>
      <c r="V219" s="60">
        <f t="shared" si="118"/>
        <v>0</v>
      </c>
      <c r="W219" s="60">
        <f t="shared" si="119"/>
        <v>0</v>
      </c>
      <c r="X219" s="60">
        <f t="shared" si="120"/>
        <v>0</v>
      </c>
      <c r="Y219" s="60">
        <f t="shared" si="121"/>
        <v>70000</v>
      </c>
      <c r="Z219" s="60">
        <f t="shared" si="122"/>
        <v>70000</v>
      </c>
      <c r="AA219" s="42"/>
      <c r="AB219" s="42"/>
      <c r="AC219" s="60">
        <f t="shared" si="123"/>
        <v>0</v>
      </c>
      <c r="AD219" s="60">
        <f t="shared" si="124"/>
        <v>0</v>
      </c>
      <c r="AE219" s="42"/>
      <c r="AF219" s="42"/>
      <c r="AG219" s="60">
        <f t="shared" si="126"/>
        <v>5</v>
      </c>
      <c r="AH219" s="60">
        <f t="shared" si="125"/>
        <v>5</v>
      </c>
      <c r="AJ219" s="22"/>
    </row>
    <row r="220" spans="1:57" s="19" customFormat="1" x14ac:dyDescent="0.15">
      <c r="B220" s="79">
        <f t="shared" si="108"/>
        <v>7</v>
      </c>
      <c r="C220" s="85"/>
      <c r="D220" s="75">
        <f>INDEX(节奏总纲!$AM$4:$AM$83,$F220)</f>
        <v>46.082812923199413</v>
      </c>
      <c r="E220" s="75">
        <f>求节点(节奏总纲!$P$4:$P$163,节奏总纲!$O$4:$O$163,$D220)</f>
        <v>55.562784736889313</v>
      </c>
      <c r="F220" s="40">
        <v>33</v>
      </c>
      <c r="G220" s="85">
        <v>12</v>
      </c>
      <c r="H220" s="63" t="s">
        <v>440</v>
      </c>
      <c r="I220" s="63"/>
      <c r="J220" s="69" t="s">
        <v>577</v>
      </c>
      <c r="K220" s="63"/>
      <c r="L220" s="40"/>
      <c r="M220" s="60">
        <f t="shared" si="109"/>
        <v>50</v>
      </c>
      <c r="N220" s="60">
        <f t="shared" si="110"/>
        <v>100</v>
      </c>
      <c r="O220" s="60">
        <f t="shared" si="111"/>
        <v>0</v>
      </c>
      <c r="P220" s="60">
        <f t="shared" si="112"/>
        <v>0</v>
      </c>
      <c r="Q220" s="60">
        <f t="shared" si="113"/>
        <v>15</v>
      </c>
      <c r="R220" s="60">
        <f t="shared" si="114"/>
        <v>30</v>
      </c>
      <c r="S220" s="60">
        <f t="shared" si="115"/>
        <v>230000</v>
      </c>
      <c r="T220" s="60">
        <f t="shared" si="116"/>
        <v>460000</v>
      </c>
      <c r="U220" s="60">
        <f t="shared" si="117"/>
        <v>0</v>
      </c>
      <c r="V220" s="60">
        <f t="shared" si="118"/>
        <v>0</v>
      </c>
      <c r="W220" s="60">
        <f t="shared" si="119"/>
        <v>0</v>
      </c>
      <c r="X220" s="60">
        <f t="shared" si="120"/>
        <v>0</v>
      </c>
      <c r="Y220" s="60">
        <f t="shared" si="121"/>
        <v>70000</v>
      </c>
      <c r="Z220" s="60">
        <f t="shared" si="122"/>
        <v>140000</v>
      </c>
      <c r="AA220" s="42"/>
      <c r="AB220" s="42"/>
      <c r="AC220" s="60">
        <f t="shared" si="123"/>
        <v>0</v>
      </c>
      <c r="AD220" s="60">
        <f t="shared" si="124"/>
        <v>0</v>
      </c>
      <c r="AE220" s="42"/>
      <c r="AF220" s="42"/>
      <c r="AG220" s="60">
        <f t="shared" si="126"/>
        <v>5</v>
      </c>
      <c r="AH220" s="60">
        <f t="shared" si="125"/>
        <v>10</v>
      </c>
      <c r="AJ220" s="22"/>
    </row>
    <row r="221" spans="1:57" s="19" customFormat="1" x14ac:dyDescent="0.15">
      <c r="B221" s="79" t="str">
        <f t="shared" si="108"/>
        <v/>
      </c>
      <c r="C221" s="85"/>
      <c r="D221" s="75">
        <f>INDEX(节奏总纲!$AM$4:$AM$83,$F221)</f>
        <v>46.082812923199413</v>
      </c>
      <c r="E221" s="75">
        <f>求节点(节奏总纲!$P$4:$P$163,节奏总纲!$O$4:$O$163,$D221)</f>
        <v>55.562784736889313</v>
      </c>
      <c r="F221" s="40">
        <v>33</v>
      </c>
      <c r="G221" s="85"/>
      <c r="H221" s="65" t="s">
        <v>641</v>
      </c>
      <c r="I221" s="63"/>
      <c r="J221" s="69" t="s">
        <v>578</v>
      </c>
      <c r="K221" s="63"/>
      <c r="L221" s="40"/>
      <c r="M221" s="60">
        <f t="shared" si="109"/>
        <v>50</v>
      </c>
      <c r="N221" s="60">
        <f t="shared" si="110"/>
        <v>100</v>
      </c>
      <c r="O221" s="60">
        <f t="shared" si="111"/>
        <v>0</v>
      </c>
      <c r="P221" s="60">
        <f t="shared" si="112"/>
        <v>0</v>
      </c>
      <c r="Q221" s="60">
        <f t="shared" si="113"/>
        <v>15</v>
      </c>
      <c r="R221" s="60">
        <f t="shared" si="114"/>
        <v>30</v>
      </c>
      <c r="S221" s="60">
        <f t="shared" si="115"/>
        <v>230000</v>
      </c>
      <c r="T221" s="60">
        <f t="shared" si="116"/>
        <v>460000</v>
      </c>
      <c r="U221" s="60">
        <f t="shared" si="117"/>
        <v>0</v>
      </c>
      <c r="V221" s="60">
        <f t="shared" si="118"/>
        <v>0</v>
      </c>
      <c r="W221" s="60">
        <f t="shared" si="119"/>
        <v>0</v>
      </c>
      <c r="X221" s="60">
        <f t="shared" si="120"/>
        <v>0</v>
      </c>
      <c r="Y221" s="60">
        <f t="shared" si="121"/>
        <v>70000</v>
      </c>
      <c r="Z221" s="60">
        <f t="shared" si="122"/>
        <v>140000</v>
      </c>
      <c r="AA221" s="42"/>
      <c r="AB221" s="42"/>
      <c r="AC221" s="60">
        <f t="shared" si="123"/>
        <v>0</v>
      </c>
      <c r="AD221" s="60">
        <f t="shared" si="124"/>
        <v>0</v>
      </c>
      <c r="AE221" s="42"/>
      <c r="AF221" s="42"/>
      <c r="AG221" s="60">
        <f t="shared" si="126"/>
        <v>5</v>
      </c>
      <c r="AH221" s="60">
        <f t="shared" si="125"/>
        <v>10</v>
      </c>
      <c r="AJ221" s="22"/>
    </row>
    <row r="222" spans="1:57" s="19" customFormat="1" x14ac:dyDescent="0.15">
      <c r="B222" s="79" t="str">
        <f t="shared" si="108"/>
        <v/>
      </c>
      <c r="C222" s="85"/>
      <c r="D222" s="75">
        <f>INDEX(节奏总纲!$AM$4:$AM$83,$F222)</f>
        <v>46.082812923199413</v>
      </c>
      <c r="E222" s="75">
        <f>求节点(节奏总纲!$P$4:$P$163,节奏总纲!$O$4:$O$163,$D222)</f>
        <v>55.562784736889313</v>
      </c>
      <c r="F222" s="40">
        <v>33</v>
      </c>
      <c r="G222" s="85"/>
      <c r="H222" s="70" t="s">
        <v>710</v>
      </c>
      <c r="I222" s="63"/>
      <c r="J222" s="69" t="s">
        <v>579</v>
      </c>
      <c r="K222" s="63"/>
      <c r="L222" s="40"/>
      <c r="M222" s="60">
        <f t="shared" si="109"/>
        <v>50</v>
      </c>
      <c r="N222" s="60">
        <f t="shared" si="110"/>
        <v>100</v>
      </c>
      <c r="O222" s="60">
        <f t="shared" si="111"/>
        <v>0</v>
      </c>
      <c r="P222" s="60">
        <f t="shared" si="112"/>
        <v>0</v>
      </c>
      <c r="Q222" s="60">
        <f t="shared" si="113"/>
        <v>15</v>
      </c>
      <c r="R222" s="60">
        <f t="shared" si="114"/>
        <v>30</v>
      </c>
      <c r="S222" s="60">
        <f t="shared" si="115"/>
        <v>230000</v>
      </c>
      <c r="T222" s="60">
        <f t="shared" si="116"/>
        <v>460000</v>
      </c>
      <c r="U222" s="60">
        <f t="shared" si="117"/>
        <v>0</v>
      </c>
      <c r="V222" s="60">
        <f t="shared" si="118"/>
        <v>0</v>
      </c>
      <c r="W222" s="60">
        <f t="shared" si="119"/>
        <v>0</v>
      </c>
      <c r="X222" s="60">
        <f t="shared" si="120"/>
        <v>0</v>
      </c>
      <c r="Y222" s="60">
        <f t="shared" si="121"/>
        <v>70000</v>
      </c>
      <c r="Z222" s="60">
        <f t="shared" si="122"/>
        <v>140000</v>
      </c>
      <c r="AA222" s="42"/>
      <c r="AB222" s="42"/>
      <c r="AC222" s="60">
        <f t="shared" si="123"/>
        <v>0</v>
      </c>
      <c r="AD222" s="60">
        <f t="shared" si="124"/>
        <v>0</v>
      </c>
      <c r="AE222" s="42"/>
      <c r="AF222" s="42"/>
      <c r="AG222" s="60">
        <f t="shared" si="126"/>
        <v>5</v>
      </c>
      <c r="AH222" s="60">
        <f t="shared" si="125"/>
        <v>10</v>
      </c>
      <c r="AJ222" s="22"/>
    </row>
    <row r="223" spans="1:57" s="19" customFormat="1" x14ac:dyDescent="0.15">
      <c r="B223" s="79" t="str">
        <f t="shared" si="108"/>
        <v/>
      </c>
      <c r="C223" s="85"/>
      <c r="D223" s="75">
        <f>INDEX(节奏总纲!$AM$4:$AM$83,$F223)</f>
        <v>46.082812923199413</v>
      </c>
      <c r="E223" s="75">
        <f>求节点(节奏总纲!$P$4:$P$163,节奏总纲!$O$4:$O$163,$D223)</f>
        <v>55.562784736889313</v>
      </c>
      <c r="F223" s="40">
        <v>33</v>
      </c>
      <c r="G223" s="85"/>
      <c r="H223" s="70" t="s">
        <v>441</v>
      </c>
      <c r="I223" s="63"/>
      <c r="J223" s="69"/>
      <c r="K223" s="63"/>
      <c r="L223" s="40"/>
      <c r="M223" s="60">
        <f t="shared" si="109"/>
        <v>50</v>
      </c>
      <c r="N223" s="60">
        <f t="shared" si="110"/>
        <v>50</v>
      </c>
      <c r="O223" s="60">
        <f t="shared" si="111"/>
        <v>0</v>
      </c>
      <c r="P223" s="60">
        <f t="shared" si="112"/>
        <v>0</v>
      </c>
      <c r="Q223" s="60">
        <f t="shared" si="113"/>
        <v>15</v>
      </c>
      <c r="R223" s="60">
        <f t="shared" si="114"/>
        <v>15</v>
      </c>
      <c r="S223" s="60">
        <f t="shared" si="115"/>
        <v>230000</v>
      </c>
      <c r="T223" s="60">
        <f t="shared" si="116"/>
        <v>230000</v>
      </c>
      <c r="U223" s="60">
        <f t="shared" si="117"/>
        <v>0</v>
      </c>
      <c r="V223" s="60">
        <f t="shared" si="118"/>
        <v>0</v>
      </c>
      <c r="W223" s="60">
        <f t="shared" si="119"/>
        <v>0</v>
      </c>
      <c r="X223" s="60">
        <f t="shared" si="120"/>
        <v>0</v>
      </c>
      <c r="Y223" s="60">
        <f t="shared" si="121"/>
        <v>70000</v>
      </c>
      <c r="Z223" s="60">
        <f t="shared" si="122"/>
        <v>70000</v>
      </c>
      <c r="AA223" s="42"/>
      <c r="AB223" s="42"/>
      <c r="AC223" s="60">
        <f t="shared" si="123"/>
        <v>0</v>
      </c>
      <c r="AD223" s="60">
        <f t="shared" si="124"/>
        <v>0</v>
      </c>
      <c r="AE223" s="42"/>
      <c r="AF223" s="42"/>
      <c r="AG223" s="60">
        <f t="shared" si="126"/>
        <v>5</v>
      </c>
      <c r="AH223" s="60">
        <f t="shared" si="125"/>
        <v>5</v>
      </c>
      <c r="AJ223" s="22"/>
    </row>
    <row r="224" spans="1:57" s="19" customFormat="1" x14ac:dyDescent="0.15">
      <c r="B224" s="79">
        <f t="shared" si="108"/>
        <v>8</v>
      </c>
      <c r="C224" s="85"/>
      <c r="D224" s="75">
        <f>INDEX(节奏总纲!$AM$4:$AM$83,$F224)</f>
        <v>54.110931329932889</v>
      </c>
      <c r="E224" s="75">
        <f>求节点(节奏总纲!$P$4:$P$163,节奏总纲!$O$4:$O$163,$D224)</f>
        <v>57.838035023028112</v>
      </c>
      <c r="F224" s="40">
        <v>34</v>
      </c>
      <c r="G224" s="85">
        <v>13</v>
      </c>
      <c r="H224" s="63" t="s">
        <v>442</v>
      </c>
      <c r="I224" s="63"/>
      <c r="J224" s="69" t="s">
        <v>623</v>
      </c>
      <c r="K224" s="63"/>
      <c r="L224" s="40"/>
      <c r="M224" s="60">
        <f t="shared" si="109"/>
        <v>50</v>
      </c>
      <c r="N224" s="60">
        <f t="shared" si="110"/>
        <v>100</v>
      </c>
      <c r="O224" s="60">
        <f t="shared" si="111"/>
        <v>0</v>
      </c>
      <c r="P224" s="60">
        <f t="shared" si="112"/>
        <v>0</v>
      </c>
      <c r="Q224" s="60">
        <f t="shared" si="113"/>
        <v>15</v>
      </c>
      <c r="R224" s="60">
        <f t="shared" si="114"/>
        <v>30</v>
      </c>
      <c r="S224" s="60">
        <f t="shared" si="115"/>
        <v>240000</v>
      </c>
      <c r="T224" s="60">
        <f t="shared" si="116"/>
        <v>480000</v>
      </c>
      <c r="U224" s="60">
        <f t="shared" si="117"/>
        <v>0</v>
      </c>
      <c r="V224" s="60">
        <f t="shared" si="118"/>
        <v>0</v>
      </c>
      <c r="W224" s="60">
        <f t="shared" si="119"/>
        <v>0</v>
      </c>
      <c r="X224" s="60">
        <f t="shared" si="120"/>
        <v>0</v>
      </c>
      <c r="Y224" s="60">
        <f t="shared" si="121"/>
        <v>70000</v>
      </c>
      <c r="Z224" s="60">
        <f t="shared" si="122"/>
        <v>140000</v>
      </c>
      <c r="AA224" s="42"/>
      <c r="AB224" s="42"/>
      <c r="AC224" s="60">
        <f t="shared" si="123"/>
        <v>0</v>
      </c>
      <c r="AD224" s="60">
        <f t="shared" si="124"/>
        <v>0</v>
      </c>
      <c r="AE224" s="42"/>
      <c r="AF224" s="42"/>
      <c r="AG224" s="60">
        <f t="shared" si="126"/>
        <v>5</v>
      </c>
      <c r="AH224" s="60">
        <f t="shared" si="125"/>
        <v>10</v>
      </c>
      <c r="AJ224" s="22"/>
    </row>
    <row r="225" spans="1:57" x14ac:dyDescent="0.15">
      <c r="A225" s="19"/>
      <c r="B225" s="79" t="str">
        <f t="shared" si="108"/>
        <v/>
      </c>
      <c r="C225" s="85"/>
      <c r="D225" s="75">
        <f>INDEX(节奏总纲!$AM$4:$AM$83,$F225)</f>
        <v>54.110931329932889</v>
      </c>
      <c r="E225" s="75">
        <f>求节点(节奏总纲!$P$4:$P$163,节奏总纲!$O$4:$O$163,$D225)</f>
        <v>57.838035023028112</v>
      </c>
      <c r="F225" s="40">
        <v>34</v>
      </c>
      <c r="G225" s="85"/>
      <c r="H225" s="63" t="s">
        <v>583</v>
      </c>
      <c r="I225" s="63"/>
      <c r="J225" s="69" t="s">
        <v>669</v>
      </c>
      <c r="K225" s="63"/>
      <c r="M225" s="60">
        <f t="shared" si="109"/>
        <v>50</v>
      </c>
      <c r="N225" s="60">
        <f t="shared" si="110"/>
        <v>100</v>
      </c>
      <c r="O225" s="60">
        <f t="shared" si="111"/>
        <v>0</v>
      </c>
      <c r="P225" s="60">
        <f t="shared" si="112"/>
        <v>0</v>
      </c>
      <c r="Q225" s="60">
        <f t="shared" si="113"/>
        <v>15</v>
      </c>
      <c r="R225" s="60">
        <f t="shared" si="114"/>
        <v>30</v>
      </c>
      <c r="S225" s="60">
        <f t="shared" si="115"/>
        <v>240000</v>
      </c>
      <c r="T225" s="60">
        <f t="shared" si="116"/>
        <v>480000</v>
      </c>
      <c r="U225" s="60">
        <f t="shared" si="117"/>
        <v>0</v>
      </c>
      <c r="V225" s="60">
        <f t="shared" si="118"/>
        <v>0</v>
      </c>
      <c r="W225" s="60">
        <f t="shared" si="119"/>
        <v>0</v>
      </c>
      <c r="X225" s="60">
        <f t="shared" si="120"/>
        <v>0</v>
      </c>
      <c r="Y225" s="60">
        <f t="shared" si="121"/>
        <v>70000</v>
      </c>
      <c r="Z225" s="60">
        <f t="shared" si="122"/>
        <v>140000</v>
      </c>
      <c r="AA225" s="42"/>
      <c r="AB225" s="42"/>
      <c r="AC225" s="60">
        <f t="shared" si="123"/>
        <v>0</v>
      </c>
      <c r="AD225" s="60">
        <f t="shared" si="124"/>
        <v>0</v>
      </c>
      <c r="AE225" s="42"/>
      <c r="AF225" s="42"/>
      <c r="AG225" s="60">
        <f t="shared" si="126"/>
        <v>5</v>
      </c>
      <c r="AH225" s="60">
        <f t="shared" si="125"/>
        <v>10</v>
      </c>
      <c r="AI225" s="19"/>
      <c r="AW225" s="19"/>
      <c r="AX225" s="19"/>
      <c r="AY225" s="19"/>
      <c r="AZ225" s="19"/>
      <c r="BA225" s="19"/>
      <c r="BB225" s="19"/>
      <c r="BC225" s="19"/>
      <c r="BD225" s="19"/>
      <c r="BE225" s="19"/>
    </row>
    <row r="226" spans="1:57" x14ac:dyDescent="0.15">
      <c r="A226" s="19"/>
      <c r="B226" s="79" t="str">
        <f t="shared" si="108"/>
        <v/>
      </c>
      <c r="C226" s="85"/>
      <c r="D226" s="75">
        <f>INDEX(节奏总纲!$AM$4:$AM$83,$F226)</f>
        <v>54.110931329932889</v>
      </c>
      <c r="E226" s="75">
        <f>求节点(节奏总纲!$P$4:$P$163,节奏总纲!$O$4:$O$163,$D226)</f>
        <v>57.838035023028112</v>
      </c>
      <c r="F226" s="40">
        <v>34</v>
      </c>
      <c r="G226" s="85"/>
      <c r="H226" s="65" t="s">
        <v>655</v>
      </c>
      <c r="I226" s="63"/>
      <c r="J226" s="69"/>
      <c r="K226" s="63"/>
      <c r="M226" s="60">
        <f t="shared" si="109"/>
        <v>50</v>
      </c>
      <c r="N226" s="60">
        <f t="shared" si="110"/>
        <v>50</v>
      </c>
      <c r="O226" s="60">
        <f t="shared" si="111"/>
        <v>0</v>
      </c>
      <c r="P226" s="60">
        <f t="shared" si="112"/>
        <v>0</v>
      </c>
      <c r="Q226" s="60">
        <f t="shared" si="113"/>
        <v>15</v>
      </c>
      <c r="R226" s="60">
        <f t="shared" si="114"/>
        <v>15</v>
      </c>
      <c r="S226" s="60">
        <f t="shared" si="115"/>
        <v>240000</v>
      </c>
      <c r="T226" s="60">
        <f t="shared" si="116"/>
        <v>240000</v>
      </c>
      <c r="U226" s="60">
        <f t="shared" si="117"/>
        <v>0</v>
      </c>
      <c r="V226" s="60">
        <f t="shared" si="118"/>
        <v>0</v>
      </c>
      <c r="W226" s="60">
        <f t="shared" si="119"/>
        <v>0</v>
      </c>
      <c r="X226" s="60">
        <f t="shared" si="120"/>
        <v>0</v>
      </c>
      <c r="Y226" s="60">
        <f t="shared" si="121"/>
        <v>70000</v>
      </c>
      <c r="Z226" s="60">
        <f t="shared" si="122"/>
        <v>70000</v>
      </c>
      <c r="AA226" s="42"/>
      <c r="AB226" s="42"/>
      <c r="AC226" s="60">
        <f t="shared" si="123"/>
        <v>0</v>
      </c>
      <c r="AD226" s="60">
        <f t="shared" si="124"/>
        <v>0</v>
      </c>
      <c r="AE226" s="42"/>
      <c r="AF226" s="42"/>
      <c r="AG226" s="60">
        <f t="shared" si="126"/>
        <v>5</v>
      </c>
      <c r="AH226" s="60">
        <f t="shared" si="125"/>
        <v>5</v>
      </c>
      <c r="AI226" s="19"/>
      <c r="AW226" s="19"/>
      <c r="AX226" s="19"/>
      <c r="AY226" s="19"/>
      <c r="AZ226" s="19"/>
      <c r="BA226" s="19"/>
      <c r="BB226" s="19"/>
      <c r="BC226" s="19"/>
      <c r="BD226" s="19"/>
      <c r="BE226" s="19"/>
    </row>
    <row r="227" spans="1:57" x14ac:dyDescent="0.15">
      <c r="A227" s="19"/>
      <c r="B227" s="79" t="str">
        <f t="shared" si="108"/>
        <v/>
      </c>
      <c r="C227" s="85"/>
      <c r="D227" s="75">
        <f>INDEX(节奏总纲!$AM$4:$AM$83,$F227)</f>
        <v>54.110931329932889</v>
      </c>
      <c r="E227" s="75">
        <f>求节点(节奏总纲!$P$4:$P$163,节奏总纲!$O$4:$O$163,$D227)</f>
        <v>57.838035023028112</v>
      </c>
      <c r="F227" s="40">
        <v>34</v>
      </c>
      <c r="G227" s="85"/>
      <c r="H227" s="70" t="s">
        <v>711</v>
      </c>
      <c r="I227" s="63"/>
      <c r="J227" s="63"/>
      <c r="K227" s="63"/>
      <c r="M227" s="60">
        <f t="shared" si="109"/>
        <v>50</v>
      </c>
      <c r="N227" s="60">
        <f t="shared" si="110"/>
        <v>50</v>
      </c>
      <c r="O227" s="60">
        <f t="shared" si="111"/>
        <v>0</v>
      </c>
      <c r="P227" s="60">
        <f t="shared" si="112"/>
        <v>0</v>
      </c>
      <c r="Q227" s="60">
        <f t="shared" si="113"/>
        <v>15</v>
      </c>
      <c r="R227" s="60">
        <f t="shared" si="114"/>
        <v>15</v>
      </c>
      <c r="S227" s="60">
        <f t="shared" si="115"/>
        <v>240000</v>
      </c>
      <c r="T227" s="60">
        <f t="shared" si="116"/>
        <v>240000</v>
      </c>
      <c r="U227" s="60">
        <f t="shared" si="117"/>
        <v>0</v>
      </c>
      <c r="V227" s="60">
        <f t="shared" si="118"/>
        <v>0</v>
      </c>
      <c r="W227" s="60">
        <f t="shared" si="119"/>
        <v>0</v>
      </c>
      <c r="X227" s="60">
        <f t="shared" si="120"/>
        <v>0</v>
      </c>
      <c r="Y227" s="60">
        <f t="shared" si="121"/>
        <v>70000</v>
      </c>
      <c r="Z227" s="60">
        <f t="shared" si="122"/>
        <v>70000</v>
      </c>
      <c r="AA227" s="42"/>
      <c r="AB227" s="42"/>
      <c r="AC227" s="60">
        <f t="shared" si="123"/>
        <v>0</v>
      </c>
      <c r="AD227" s="60">
        <f t="shared" si="124"/>
        <v>0</v>
      </c>
      <c r="AE227" s="42"/>
      <c r="AF227" s="42"/>
      <c r="AG227" s="60">
        <f t="shared" si="126"/>
        <v>5</v>
      </c>
      <c r="AH227" s="60">
        <f t="shared" si="125"/>
        <v>5</v>
      </c>
      <c r="AI227" s="19"/>
      <c r="AW227" s="19"/>
      <c r="AX227" s="19"/>
      <c r="AY227" s="19"/>
      <c r="AZ227" s="19"/>
      <c r="BA227" s="19"/>
      <c r="BB227" s="19"/>
      <c r="BC227" s="19"/>
      <c r="BD227" s="19"/>
      <c r="BE227" s="19"/>
    </row>
    <row r="228" spans="1:57" x14ac:dyDescent="0.15">
      <c r="A228" s="19"/>
      <c r="B228" s="79" t="str">
        <f t="shared" si="108"/>
        <v/>
      </c>
      <c r="C228" s="85"/>
      <c r="D228" s="75">
        <f>INDEX(节奏总纲!$AM$4:$AM$83,$F228)</f>
        <v>54.110931329932889</v>
      </c>
      <c r="E228" s="75">
        <f>求节点(节奏总纲!$P$4:$P$163,节奏总纲!$O$4:$O$163,$D228)</f>
        <v>57.838035023028112</v>
      </c>
      <c r="F228" s="40">
        <v>34</v>
      </c>
      <c r="G228" s="85"/>
      <c r="H228" s="63" t="s">
        <v>591</v>
      </c>
      <c r="I228" s="63"/>
      <c r="J228" s="63"/>
      <c r="K228" s="63"/>
      <c r="M228" s="60">
        <f t="shared" si="109"/>
        <v>50</v>
      </c>
      <c r="N228" s="60">
        <f t="shared" si="110"/>
        <v>50</v>
      </c>
      <c r="O228" s="60">
        <f t="shared" si="111"/>
        <v>0</v>
      </c>
      <c r="P228" s="60">
        <f t="shared" si="112"/>
        <v>0</v>
      </c>
      <c r="Q228" s="60">
        <f t="shared" si="113"/>
        <v>15</v>
      </c>
      <c r="R228" s="60">
        <f t="shared" si="114"/>
        <v>15</v>
      </c>
      <c r="S228" s="60">
        <f t="shared" si="115"/>
        <v>240000</v>
      </c>
      <c r="T228" s="60">
        <f t="shared" si="116"/>
        <v>240000</v>
      </c>
      <c r="U228" s="60">
        <f t="shared" si="117"/>
        <v>0</v>
      </c>
      <c r="V228" s="60">
        <f t="shared" si="118"/>
        <v>0</v>
      </c>
      <c r="W228" s="60">
        <f t="shared" si="119"/>
        <v>0</v>
      </c>
      <c r="X228" s="60">
        <f t="shared" si="120"/>
        <v>0</v>
      </c>
      <c r="Y228" s="60">
        <f t="shared" si="121"/>
        <v>70000</v>
      </c>
      <c r="Z228" s="60">
        <f t="shared" si="122"/>
        <v>70000</v>
      </c>
      <c r="AA228" s="42"/>
      <c r="AB228" s="42"/>
      <c r="AC228" s="60">
        <f t="shared" si="123"/>
        <v>0</v>
      </c>
      <c r="AD228" s="60">
        <f t="shared" si="124"/>
        <v>0</v>
      </c>
      <c r="AE228" s="42"/>
      <c r="AF228" s="42"/>
      <c r="AG228" s="60">
        <f t="shared" si="126"/>
        <v>5</v>
      </c>
      <c r="AH228" s="60">
        <f t="shared" si="125"/>
        <v>5</v>
      </c>
      <c r="AI228" s="19"/>
      <c r="AW228" s="19"/>
      <c r="AX228" s="19"/>
      <c r="AY228" s="19"/>
      <c r="AZ228" s="19"/>
      <c r="BA228" s="19"/>
      <c r="BB228" s="19"/>
      <c r="BC228" s="19"/>
      <c r="BD228" s="19"/>
      <c r="BE228" s="19"/>
    </row>
    <row r="229" spans="1:57" x14ac:dyDescent="0.15">
      <c r="A229" s="19"/>
      <c r="B229" s="79" t="str">
        <f t="shared" si="108"/>
        <v/>
      </c>
      <c r="C229" s="85"/>
      <c r="D229" s="75">
        <f>INDEX(节奏总纲!$AM$4:$AM$83,$F229)</f>
        <v>54.110931329932889</v>
      </c>
      <c r="E229" s="75">
        <f>求节点(节奏总纲!$P$4:$P$163,节奏总纲!$O$4:$O$163,$D229)</f>
        <v>57.838035023028112</v>
      </c>
      <c r="F229" s="40">
        <v>34</v>
      </c>
      <c r="G229" s="85"/>
      <c r="H229" s="63" t="s">
        <v>433</v>
      </c>
      <c r="I229" s="63"/>
      <c r="J229" s="63"/>
      <c r="K229" s="63"/>
      <c r="M229" s="60">
        <f t="shared" si="109"/>
        <v>50</v>
      </c>
      <c r="N229" s="60">
        <f t="shared" si="110"/>
        <v>50</v>
      </c>
      <c r="O229" s="60">
        <f t="shared" si="111"/>
        <v>0</v>
      </c>
      <c r="P229" s="60">
        <f t="shared" si="112"/>
        <v>0</v>
      </c>
      <c r="Q229" s="60">
        <f t="shared" si="113"/>
        <v>15</v>
      </c>
      <c r="R229" s="60">
        <f t="shared" si="114"/>
        <v>15</v>
      </c>
      <c r="S229" s="60">
        <f t="shared" si="115"/>
        <v>240000</v>
      </c>
      <c r="T229" s="60">
        <f t="shared" si="116"/>
        <v>240000</v>
      </c>
      <c r="U229" s="60">
        <f t="shared" si="117"/>
        <v>0</v>
      </c>
      <c r="V229" s="60">
        <f t="shared" si="118"/>
        <v>0</v>
      </c>
      <c r="W229" s="60">
        <f t="shared" si="119"/>
        <v>0</v>
      </c>
      <c r="X229" s="60">
        <f t="shared" si="120"/>
        <v>0</v>
      </c>
      <c r="Y229" s="60">
        <f t="shared" si="121"/>
        <v>70000</v>
      </c>
      <c r="Z229" s="60">
        <f t="shared" si="122"/>
        <v>70000</v>
      </c>
      <c r="AA229" s="42"/>
      <c r="AB229" s="42"/>
      <c r="AC229" s="60">
        <f t="shared" si="123"/>
        <v>0</v>
      </c>
      <c r="AD229" s="60">
        <f t="shared" si="124"/>
        <v>0</v>
      </c>
      <c r="AE229" s="42"/>
      <c r="AF229" s="42"/>
      <c r="AG229" s="60">
        <f t="shared" si="126"/>
        <v>5</v>
      </c>
      <c r="AH229" s="60">
        <f t="shared" si="125"/>
        <v>5</v>
      </c>
      <c r="AI229" s="19"/>
      <c r="AW229" s="19"/>
      <c r="AX229" s="19"/>
      <c r="AY229" s="19"/>
      <c r="AZ229" s="19"/>
      <c r="BA229" s="19"/>
      <c r="BB229" s="19"/>
      <c r="BC229" s="19"/>
      <c r="BD229" s="19"/>
      <c r="BE229" s="19"/>
    </row>
    <row r="230" spans="1:57" x14ac:dyDescent="0.15">
      <c r="A230" s="19"/>
      <c r="B230" s="79">
        <f t="shared" si="108"/>
        <v>8</v>
      </c>
      <c r="C230" s="85"/>
      <c r="D230" s="75">
        <f>INDEX(节奏总纲!$AM$4:$AM$83,$F230)</f>
        <v>63.5</v>
      </c>
      <c r="E230" s="75">
        <f>求节点(节奏总纲!$P$4:$P$163,节奏总纲!$O$4:$O$163,$D230)</f>
        <v>60.108849423225884</v>
      </c>
      <c r="F230" s="40">
        <v>35</v>
      </c>
      <c r="G230" s="85">
        <v>14</v>
      </c>
      <c r="H230" s="63" t="s">
        <v>443</v>
      </c>
      <c r="I230" s="63"/>
      <c r="J230" s="63" t="s">
        <v>521</v>
      </c>
      <c r="K230" s="63"/>
      <c r="M230" s="60">
        <f t="shared" si="109"/>
        <v>50</v>
      </c>
      <c r="N230" s="60">
        <f t="shared" si="110"/>
        <v>100</v>
      </c>
      <c r="O230" s="60">
        <f t="shared" si="111"/>
        <v>0</v>
      </c>
      <c r="P230" s="60">
        <f t="shared" si="112"/>
        <v>0</v>
      </c>
      <c r="Q230" s="60">
        <f t="shared" si="113"/>
        <v>15</v>
      </c>
      <c r="R230" s="60">
        <f t="shared" si="114"/>
        <v>30</v>
      </c>
      <c r="S230" s="60">
        <f t="shared" si="115"/>
        <v>250000</v>
      </c>
      <c r="T230" s="60">
        <f t="shared" si="116"/>
        <v>500000</v>
      </c>
      <c r="U230" s="60">
        <f t="shared" si="117"/>
        <v>0</v>
      </c>
      <c r="V230" s="60">
        <f t="shared" si="118"/>
        <v>0</v>
      </c>
      <c r="W230" s="60">
        <f t="shared" si="119"/>
        <v>0</v>
      </c>
      <c r="X230" s="60">
        <f t="shared" si="120"/>
        <v>0</v>
      </c>
      <c r="Y230" s="60">
        <f t="shared" si="121"/>
        <v>70000</v>
      </c>
      <c r="Z230" s="60">
        <f t="shared" si="122"/>
        <v>140000</v>
      </c>
      <c r="AA230" s="42"/>
      <c r="AB230" s="42"/>
      <c r="AC230" s="60">
        <f t="shared" si="123"/>
        <v>0</v>
      </c>
      <c r="AD230" s="60">
        <f t="shared" si="124"/>
        <v>0</v>
      </c>
      <c r="AE230" s="42"/>
      <c r="AF230" s="42"/>
      <c r="AG230" s="60">
        <f t="shared" si="126"/>
        <v>5</v>
      </c>
      <c r="AH230" s="60">
        <f t="shared" si="125"/>
        <v>10</v>
      </c>
      <c r="AI230" s="19"/>
      <c r="AW230" s="19"/>
      <c r="AX230" s="19"/>
      <c r="AY230" s="19"/>
      <c r="AZ230" s="19"/>
      <c r="BA230" s="19"/>
      <c r="BB230" s="19"/>
      <c r="BC230" s="19"/>
      <c r="BD230" s="19"/>
      <c r="BE230" s="19"/>
    </row>
    <row r="231" spans="1:57" x14ac:dyDescent="0.15">
      <c r="A231" s="19"/>
      <c r="B231" s="79" t="str">
        <f t="shared" si="108"/>
        <v/>
      </c>
      <c r="C231" s="85"/>
      <c r="D231" s="75">
        <f>INDEX(节奏总纲!$AM$4:$AM$83,$F231)</f>
        <v>63.5</v>
      </c>
      <c r="E231" s="75">
        <f>求节点(节奏总纲!$P$4:$P$163,节奏总纲!$O$4:$O$163,$D231)</f>
        <v>60.108849423225884</v>
      </c>
      <c r="F231" s="40">
        <v>35</v>
      </c>
      <c r="G231" s="85"/>
      <c r="H231" s="70" t="s">
        <v>712</v>
      </c>
      <c r="I231" s="63" t="s">
        <v>556</v>
      </c>
      <c r="J231" s="63" t="s">
        <v>561</v>
      </c>
      <c r="K231" s="63"/>
      <c r="M231" s="60">
        <f t="shared" si="109"/>
        <v>50</v>
      </c>
      <c r="N231" s="60">
        <f t="shared" si="110"/>
        <v>150</v>
      </c>
      <c r="O231" s="60">
        <f t="shared" si="111"/>
        <v>0</v>
      </c>
      <c r="P231" s="60">
        <f t="shared" si="112"/>
        <v>0</v>
      </c>
      <c r="Q231" s="60">
        <f t="shared" si="113"/>
        <v>15</v>
      </c>
      <c r="R231" s="60">
        <f t="shared" si="114"/>
        <v>45</v>
      </c>
      <c r="S231" s="60">
        <f t="shared" si="115"/>
        <v>250000</v>
      </c>
      <c r="T231" s="60">
        <f t="shared" si="116"/>
        <v>750000</v>
      </c>
      <c r="U231" s="60">
        <f t="shared" si="117"/>
        <v>0</v>
      </c>
      <c r="V231" s="60">
        <f t="shared" si="118"/>
        <v>0</v>
      </c>
      <c r="W231" s="60">
        <f t="shared" si="119"/>
        <v>0</v>
      </c>
      <c r="X231" s="60">
        <f t="shared" si="120"/>
        <v>0</v>
      </c>
      <c r="Y231" s="60">
        <f t="shared" si="121"/>
        <v>70000</v>
      </c>
      <c r="Z231" s="60">
        <f t="shared" si="122"/>
        <v>210000</v>
      </c>
      <c r="AA231" s="42"/>
      <c r="AB231" s="42"/>
      <c r="AC231" s="60">
        <f t="shared" si="123"/>
        <v>0</v>
      </c>
      <c r="AD231" s="60">
        <f t="shared" si="124"/>
        <v>0</v>
      </c>
      <c r="AE231" s="42"/>
      <c r="AF231" s="42"/>
      <c r="AG231" s="60">
        <f t="shared" si="126"/>
        <v>5</v>
      </c>
      <c r="AH231" s="60">
        <f t="shared" si="125"/>
        <v>15</v>
      </c>
      <c r="AI231" s="19"/>
      <c r="AW231" s="19"/>
      <c r="AX231" s="19"/>
      <c r="AY231" s="19"/>
      <c r="AZ231" s="19"/>
      <c r="BA231" s="19"/>
      <c r="BB231" s="19"/>
      <c r="BC231" s="19"/>
      <c r="BD231" s="19"/>
      <c r="BE231" s="19"/>
    </row>
    <row r="232" spans="1:57" x14ac:dyDescent="0.15">
      <c r="A232" s="19"/>
      <c r="B232" s="79" t="str">
        <f t="shared" si="108"/>
        <v/>
      </c>
      <c r="C232" s="85"/>
      <c r="D232" s="75">
        <f>INDEX(节奏总纲!$AM$4:$AM$83,$F232)</f>
        <v>63.5</v>
      </c>
      <c r="E232" s="75">
        <f>求节点(节奏总纲!$P$4:$P$163,节奏总纲!$O$4:$O$163,$D232)</f>
        <v>60.108849423225884</v>
      </c>
      <c r="F232" s="40">
        <v>35</v>
      </c>
      <c r="G232" s="85"/>
      <c r="H232" s="65" t="s">
        <v>644</v>
      </c>
      <c r="I232" s="63"/>
      <c r="J232" s="63" t="s">
        <v>522</v>
      </c>
      <c r="K232" s="63"/>
      <c r="M232" s="60">
        <f t="shared" si="109"/>
        <v>50</v>
      </c>
      <c r="N232" s="60">
        <f t="shared" si="110"/>
        <v>100</v>
      </c>
      <c r="O232" s="60">
        <f t="shared" si="111"/>
        <v>0</v>
      </c>
      <c r="P232" s="60">
        <f t="shared" si="112"/>
        <v>0</v>
      </c>
      <c r="Q232" s="60">
        <f t="shared" si="113"/>
        <v>15</v>
      </c>
      <c r="R232" s="60">
        <f t="shared" si="114"/>
        <v>30</v>
      </c>
      <c r="S232" s="60">
        <f t="shared" si="115"/>
        <v>250000</v>
      </c>
      <c r="T232" s="60">
        <f t="shared" si="116"/>
        <v>500000</v>
      </c>
      <c r="U232" s="60">
        <f t="shared" si="117"/>
        <v>0</v>
      </c>
      <c r="V232" s="60">
        <f t="shared" si="118"/>
        <v>0</v>
      </c>
      <c r="W232" s="60">
        <f t="shared" si="119"/>
        <v>0</v>
      </c>
      <c r="X232" s="60">
        <f t="shared" si="120"/>
        <v>0</v>
      </c>
      <c r="Y232" s="60">
        <f t="shared" si="121"/>
        <v>70000</v>
      </c>
      <c r="Z232" s="60">
        <f t="shared" si="122"/>
        <v>140000</v>
      </c>
      <c r="AA232" s="42"/>
      <c r="AB232" s="42"/>
      <c r="AC232" s="60">
        <f t="shared" si="123"/>
        <v>0</v>
      </c>
      <c r="AD232" s="60">
        <f t="shared" si="124"/>
        <v>0</v>
      </c>
      <c r="AE232" s="42"/>
      <c r="AF232" s="42"/>
      <c r="AG232" s="60">
        <f t="shared" si="126"/>
        <v>5</v>
      </c>
      <c r="AH232" s="60">
        <f t="shared" si="125"/>
        <v>10</v>
      </c>
      <c r="AI232" s="19"/>
      <c r="AW232" s="19"/>
      <c r="AX232" s="19"/>
      <c r="AY232" s="19"/>
      <c r="AZ232" s="19"/>
      <c r="BA232" s="19"/>
      <c r="BB232" s="19"/>
      <c r="BC232" s="19"/>
      <c r="BD232" s="19"/>
      <c r="BE232" s="19"/>
    </row>
    <row r="233" spans="1:57" x14ac:dyDescent="0.15">
      <c r="A233" s="19"/>
      <c r="B233" s="79" t="str">
        <f t="shared" si="108"/>
        <v/>
      </c>
      <c r="C233" s="85"/>
      <c r="D233" s="75">
        <f>INDEX(节奏总纲!$AM$4:$AM$83,$F233)</f>
        <v>63.5</v>
      </c>
      <c r="E233" s="75">
        <f>求节点(节奏总纲!$P$4:$P$163,节奏总纲!$O$4:$O$163,$D233)</f>
        <v>60.108849423225884</v>
      </c>
      <c r="F233" s="40">
        <v>35</v>
      </c>
      <c r="G233" s="85"/>
      <c r="H233" s="65" t="s">
        <v>548</v>
      </c>
      <c r="I233" s="63"/>
      <c r="J233" s="69"/>
      <c r="K233" s="63"/>
      <c r="M233" s="60">
        <f t="shared" si="109"/>
        <v>50</v>
      </c>
      <c r="N233" s="60">
        <f t="shared" si="110"/>
        <v>50</v>
      </c>
      <c r="O233" s="60">
        <f t="shared" si="111"/>
        <v>0</v>
      </c>
      <c r="P233" s="60">
        <f t="shared" si="112"/>
        <v>0</v>
      </c>
      <c r="Q233" s="60">
        <f t="shared" si="113"/>
        <v>15</v>
      </c>
      <c r="R233" s="60">
        <f t="shared" si="114"/>
        <v>15</v>
      </c>
      <c r="S233" s="60">
        <f t="shared" si="115"/>
        <v>250000</v>
      </c>
      <c r="T233" s="60">
        <f t="shared" si="116"/>
        <v>250000</v>
      </c>
      <c r="U233" s="60">
        <f t="shared" si="117"/>
        <v>0</v>
      </c>
      <c r="V233" s="60">
        <f t="shared" si="118"/>
        <v>0</v>
      </c>
      <c r="W233" s="60">
        <f t="shared" si="119"/>
        <v>0</v>
      </c>
      <c r="X233" s="60">
        <f t="shared" si="120"/>
        <v>0</v>
      </c>
      <c r="Y233" s="60">
        <f t="shared" si="121"/>
        <v>70000</v>
      </c>
      <c r="Z233" s="60">
        <f t="shared" si="122"/>
        <v>70000</v>
      </c>
      <c r="AA233" s="42"/>
      <c r="AB233" s="42"/>
      <c r="AC233" s="60">
        <f t="shared" si="123"/>
        <v>0</v>
      </c>
      <c r="AD233" s="60">
        <f t="shared" si="124"/>
        <v>0</v>
      </c>
      <c r="AE233" s="42"/>
      <c r="AF233" s="42"/>
      <c r="AG233" s="60">
        <f t="shared" si="126"/>
        <v>5</v>
      </c>
      <c r="AH233" s="60">
        <f t="shared" si="125"/>
        <v>5</v>
      </c>
      <c r="AI233" s="19"/>
      <c r="AW233" s="19"/>
      <c r="AX233" s="19"/>
      <c r="AY233" s="19"/>
      <c r="AZ233" s="19"/>
      <c r="BA233" s="19"/>
      <c r="BB233" s="19"/>
      <c r="BC233" s="19"/>
      <c r="BD233" s="19"/>
      <c r="BE233" s="19"/>
    </row>
    <row r="234" spans="1:57" x14ac:dyDescent="0.15">
      <c r="A234" s="19"/>
      <c r="B234" s="79">
        <f t="shared" si="108"/>
        <v>8</v>
      </c>
      <c r="C234" s="85" t="s">
        <v>97</v>
      </c>
      <c r="D234" s="75">
        <f>INDEX(节奏总纲!$AM$4:$AM$83,$F234)</f>
        <v>73.746861667008318</v>
      </c>
      <c r="E234" s="75">
        <f>求节点(节奏总纲!$P$4:$P$163,节奏总纲!$O$4:$O$163,$D234)</f>
        <v>62.233138599165841</v>
      </c>
      <c r="F234" s="40">
        <v>36</v>
      </c>
      <c r="G234" s="85">
        <v>1</v>
      </c>
      <c r="H234" s="70" t="s">
        <v>444</v>
      </c>
      <c r="I234" s="63"/>
      <c r="J234" s="69" t="s">
        <v>624</v>
      </c>
      <c r="K234" s="63"/>
      <c r="M234" s="60">
        <f t="shared" si="109"/>
        <v>50</v>
      </c>
      <c r="N234" s="60">
        <f t="shared" si="110"/>
        <v>100</v>
      </c>
      <c r="O234" s="60">
        <f t="shared" si="111"/>
        <v>0</v>
      </c>
      <c r="P234" s="60">
        <f t="shared" si="112"/>
        <v>0</v>
      </c>
      <c r="Q234" s="60">
        <f t="shared" si="113"/>
        <v>15</v>
      </c>
      <c r="R234" s="60">
        <f t="shared" si="114"/>
        <v>30</v>
      </c>
      <c r="S234" s="60">
        <f t="shared" si="115"/>
        <v>260000</v>
      </c>
      <c r="T234" s="60">
        <f t="shared" si="116"/>
        <v>520000</v>
      </c>
      <c r="U234" s="60">
        <f t="shared" si="117"/>
        <v>0</v>
      </c>
      <c r="V234" s="60">
        <f t="shared" si="118"/>
        <v>0</v>
      </c>
      <c r="W234" s="60">
        <f t="shared" si="119"/>
        <v>0</v>
      </c>
      <c r="X234" s="60">
        <f t="shared" si="120"/>
        <v>0</v>
      </c>
      <c r="Y234" s="60">
        <f t="shared" si="121"/>
        <v>70000</v>
      </c>
      <c r="Z234" s="60">
        <f t="shared" si="122"/>
        <v>140000</v>
      </c>
      <c r="AA234" s="42"/>
      <c r="AB234" s="42"/>
      <c r="AC234" s="60">
        <f t="shared" si="123"/>
        <v>0</v>
      </c>
      <c r="AD234" s="60">
        <f t="shared" si="124"/>
        <v>0</v>
      </c>
      <c r="AE234" s="42"/>
      <c r="AF234" s="42"/>
      <c r="AG234" s="60">
        <f t="shared" si="126"/>
        <v>5</v>
      </c>
      <c r="AH234" s="60">
        <f t="shared" si="125"/>
        <v>10</v>
      </c>
      <c r="AI234" s="19"/>
      <c r="AW234" s="19"/>
      <c r="AX234" s="19"/>
      <c r="AY234" s="19"/>
      <c r="AZ234" s="19"/>
      <c r="BA234" s="19"/>
      <c r="BB234" s="19"/>
      <c r="BC234" s="19"/>
      <c r="BD234" s="19"/>
      <c r="BE234" s="19"/>
    </row>
    <row r="235" spans="1:57" x14ac:dyDescent="0.15">
      <c r="A235" s="19"/>
      <c r="B235" s="79" t="str">
        <f t="shared" si="108"/>
        <v/>
      </c>
      <c r="C235" s="85"/>
      <c r="D235" s="75">
        <f>INDEX(节奏总纲!$AM$4:$AM$83,$F235)</f>
        <v>73.746861667008318</v>
      </c>
      <c r="E235" s="75">
        <f>求节点(节奏总纲!$P$4:$P$163,节奏总纲!$O$4:$O$163,$D235)</f>
        <v>62.233138599165841</v>
      </c>
      <c r="F235" s="40">
        <v>36</v>
      </c>
      <c r="G235" s="85"/>
      <c r="H235" s="70" t="s">
        <v>713</v>
      </c>
      <c r="I235" s="63"/>
      <c r="J235" s="69" t="s">
        <v>670</v>
      </c>
      <c r="K235" s="63"/>
      <c r="M235" s="60">
        <f t="shared" si="109"/>
        <v>50</v>
      </c>
      <c r="N235" s="60">
        <f t="shared" si="110"/>
        <v>100</v>
      </c>
      <c r="O235" s="60">
        <f t="shared" si="111"/>
        <v>0</v>
      </c>
      <c r="P235" s="60">
        <f t="shared" si="112"/>
        <v>0</v>
      </c>
      <c r="Q235" s="60">
        <f t="shared" si="113"/>
        <v>15</v>
      </c>
      <c r="R235" s="60">
        <f t="shared" si="114"/>
        <v>30</v>
      </c>
      <c r="S235" s="60">
        <f t="shared" si="115"/>
        <v>260000</v>
      </c>
      <c r="T235" s="60">
        <f t="shared" si="116"/>
        <v>520000</v>
      </c>
      <c r="U235" s="60">
        <f t="shared" si="117"/>
        <v>0</v>
      </c>
      <c r="V235" s="60">
        <f t="shared" si="118"/>
        <v>0</v>
      </c>
      <c r="W235" s="60">
        <f t="shared" si="119"/>
        <v>0</v>
      </c>
      <c r="X235" s="60">
        <f t="shared" si="120"/>
        <v>0</v>
      </c>
      <c r="Y235" s="60">
        <f t="shared" si="121"/>
        <v>70000</v>
      </c>
      <c r="Z235" s="60">
        <f t="shared" si="122"/>
        <v>140000</v>
      </c>
      <c r="AA235" s="42"/>
      <c r="AB235" s="42"/>
      <c r="AC235" s="60">
        <f t="shared" si="123"/>
        <v>0</v>
      </c>
      <c r="AD235" s="60">
        <f t="shared" si="124"/>
        <v>0</v>
      </c>
      <c r="AE235" s="42"/>
      <c r="AF235" s="42"/>
      <c r="AG235" s="60">
        <f t="shared" si="126"/>
        <v>5</v>
      </c>
      <c r="AH235" s="60">
        <f t="shared" si="125"/>
        <v>10</v>
      </c>
      <c r="AI235" s="19"/>
      <c r="AW235" s="19"/>
      <c r="AX235" s="19"/>
      <c r="AY235" s="19"/>
      <c r="AZ235" s="19"/>
      <c r="BA235" s="19"/>
      <c r="BB235" s="19"/>
      <c r="BC235" s="19"/>
      <c r="BD235" s="19"/>
      <c r="BE235" s="19"/>
    </row>
    <row r="236" spans="1:57" x14ac:dyDescent="0.15">
      <c r="A236" s="19"/>
      <c r="B236" s="79" t="str">
        <f t="shared" si="108"/>
        <v/>
      </c>
      <c r="C236" s="85"/>
      <c r="D236" s="75">
        <f>INDEX(节奏总纲!$AM$4:$AM$83,$F236)</f>
        <v>73.746861667008318</v>
      </c>
      <c r="E236" s="75">
        <f>求节点(节奏总纲!$P$4:$P$163,节奏总纲!$O$4:$O$163,$D236)</f>
        <v>62.233138599165841</v>
      </c>
      <c r="F236" s="40">
        <v>36</v>
      </c>
      <c r="G236" s="85"/>
      <c r="H236" s="65" t="s">
        <v>467</v>
      </c>
      <c r="I236" s="63"/>
      <c r="J236" s="69"/>
      <c r="K236" s="63"/>
      <c r="M236" s="60">
        <f t="shared" si="109"/>
        <v>50</v>
      </c>
      <c r="N236" s="60">
        <f t="shared" si="110"/>
        <v>50</v>
      </c>
      <c r="O236" s="60">
        <f t="shared" si="111"/>
        <v>0</v>
      </c>
      <c r="P236" s="60">
        <f t="shared" si="112"/>
        <v>0</v>
      </c>
      <c r="Q236" s="60">
        <f t="shared" si="113"/>
        <v>15</v>
      </c>
      <c r="R236" s="60">
        <f t="shared" si="114"/>
        <v>15</v>
      </c>
      <c r="S236" s="60">
        <f t="shared" si="115"/>
        <v>260000</v>
      </c>
      <c r="T236" s="60">
        <f t="shared" si="116"/>
        <v>260000</v>
      </c>
      <c r="U236" s="60">
        <f t="shared" si="117"/>
        <v>0</v>
      </c>
      <c r="V236" s="60">
        <f t="shared" si="118"/>
        <v>0</v>
      </c>
      <c r="W236" s="60">
        <f t="shared" si="119"/>
        <v>0</v>
      </c>
      <c r="X236" s="60">
        <f t="shared" si="120"/>
        <v>0</v>
      </c>
      <c r="Y236" s="60">
        <f t="shared" si="121"/>
        <v>70000</v>
      </c>
      <c r="Z236" s="60">
        <f t="shared" si="122"/>
        <v>70000</v>
      </c>
      <c r="AA236" s="42"/>
      <c r="AB236" s="42"/>
      <c r="AC236" s="60">
        <f t="shared" si="123"/>
        <v>0</v>
      </c>
      <c r="AD236" s="60">
        <f t="shared" si="124"/>
        <v>0</v>
      </c>
      <c r="AE236" s="42"/>
      <c r="AF236" s="42"/>
      <c r="AG236" s="60">
        <f t="shared" si="126"/>
        <v>5</v>
      </c>
      <c r="AH236" s="60">
        <f t="shared" si="125"/>
        <v>5</v>
      </c>
      <c r="AI236" s="19"/>
      <c r="AW236" s="19"/>
      <c r="AX236" s="19"/>
      <c r="AY236" s="19"/>
      <c r="AZ236" s="19"/>
      <c r="BA236" s="19"/>
      <c r="BB236" s="19"/>
      <c r="BC236" s="19"/>
      <c r="BD236" s="19"/>
      <c r="BE236" s="19"/>
    </row>
    <row r="237" spans="1:57" x14ac:dyDescent="0.15">
      <c r="A237" s="19"/>
      <c r="B237" s="79" t="str">
        <f t="shared" si="108"/>
        <v/>
      </c>
      <c r="C237" s="85"/>
      <c r="D237" s="75">
        <f>INDEX(节奏总纲!$AM$4:$AM$83,$F237)</f>
        <v>73.746861667008318</v>
      </c>
      <c r="E237" s="75">
        <f>求节点(节奏总纲!$P$4:$P$163,节奏总纲!$O$4:$O$163,$D237)</f>
        <v>62.233138599165841</v>
      </c>
      <c r="F237" s="40">
        <v>36</v>
      </c>
      <c r="G237" s="85"/>
      <c r="H237" s="70" t="s">
        <v>714</v>
      </c>
      <c r="I237" s="63"/>
      <c r="J237" s="69"/>
      <c r="K237" s="63"/>
      <c r="M237" s="60">
        <f t="shared" si="109"/>
        <v>50</v>
      </c>
      <c r="N237" s="60">
        <f t="shared" si="110"/>
        <v>50</v>
      </c>
      <c r="O237" s="60">
        <f t="shared" si="111"/>
        <v>0</v>
      </c>
      <c r="P237" s="60">
        <f t="shared" si="112"/>
        <v>0</v>
      </c>
      <c r="Q237" s="60">
        <f t="shared" si="113"/>
        <v>15</v>
      </c>
      <c r="R237" s="60">
        <f t="shared" si="114"/>
        <v>15</v>
      </c>
      <c r="S237" s="60">
        <f t="shared" si="115"/>
        <v>260000</v>
      </c>
      <c r="T237" s="60">
        <f t="shared" si="116"/>
        <v>260000</v>
      </c>
      <c r="U237" s="60">
        <f t="shared" si="117"/>
        <v>0</v>
      </c>
      <c r="V237" s="60">
        <f t="shared" si="118"/>
        <v>0</v>
      </c>
      <c r="W237" s="60">
        <f t="shared" si="119"/>
        <v>0</v>
      </c>
      <c r="X237" s="60">
        <f t="shared" si="120"/>
        <v>0</v>
      </c>
      <c r="Y237" s="60">
        <f t="shared" si="121"/>
        <v>70000</v>
      </c>
      <c r="Z237" s="60">
        <f t="shared" si="122"/>
        <v>70000</v>
      </c>
      <c r="AA237" s="42"/>
      <c r="AB237" s="42"/>
      <c r="AC237" s="60">
        <f t="shared" si="123"/>
        <v>0</v>
      </c>
      <c r="AD237" s="60">
        <f t="shared" si="124"/>
        <v>0</v>
      </c>
      <c r="AE237" s="42"/>
      <c r="AF237" s="42"/>
      <c r="AG237" s="60">
        <f t="shared" si="126"/>
        <v>5</v>
      </c>
      <c r="AH237" s="60">
        <f t="shared" si="125"/>
        <v>5</v>
      </c>
      <c r="AI237" s="19"/>
      <c r="AW237" s="19"/>
      <c r="AX237" s="19"/>
      <c r="AY237" s="19"/>
      <c r="AZ237" s="19"/>
      <c r="BA237" s="19"/>
      <c r="BB237" s="19"/>
      <c r="BC237" s="19"/>
      <c r="BD237" s="19"/>
      <c r="BE237" s="19"/>
    </row>
    <row r="238" spans="1:57" x14ac:dyDescent="0.15">
      <c r="A238" s="19"/>
      <c r="B238" s="79" t="str">
        <f t="shared" si="108"/>
        <v/>
      </c>
      <c r="C238" s="85"/>
      <c r="D238" s="75">
        <f>INDEX(节奏总纲!$AM$4:$AM$83,$F238)</f>
        <v>73.746861667008318</v>
      </c>
      <c r="E238" s="75">
        <f>求节点(节奏总纲!$P$4:$P$163,节奏总纲!$O$4:$O$163,$D238)</f>
        <v>62.233138599165841</v>
      </c>
      <c r="F238" s="40">
        <v>36</v>
      </c>
      <c r="G238" s="85"/>
      <c r="H238" s="70" t="s">
        <v>646</v>
      </c>
      <c r="I238" s="63"/>
      <c r="J238" s="69"/>
      <c r="K238" s="63"/>
      <c r="M238" s="60">
        <f t="shared" si="109"/>
        <v>50</v>
      </c>
      <c r="N238" s="60">
        <f t="shared" si="110"/>
        <v>50</v>
      </c>
      <c r="O238" s="60">
        <f t="shared" si="111"/>
        <v>0</v>
      </c>
      <c r="P238" s="60">
        <f t="shared" si="112"/>
        <v>0</v>
      </c>
      <c r="Q238" s="60">
        <f t="shared" si="113"/>
        <v>15</v>
      </c>
      <c r="R238" s="60">
        <f t="shared" si="114"/>
        <v>15</v>
      </c>
      <c r="S238" s="60">
        <f t="shared" si="115"/>
        <v>260000</v>
      </c>
      <c r="T238" s="60">
        <f t="shared" si="116"/>
        <v>260000</v>
      </c>
      <c r="U238" s="60">
        <f t="shared" si="117"/>
        <v>0</v>
      </c>
      <c r="V238" s="60">
        <f t="shared" si="118"/>
        <v>0</v>
      </c>
      <c r="W238" s="60">
        <f t="shared" si="119"/>
        <v>0</v>
      </c>
      <c r="X238" s="60">
        <f t="shared" si="120"/>
        <v>0</v>
      </c>
      <c r="Y238" s="60">
        <f t="shared" si="121"/>
        <v>70000</v>
      </c>
      <c r="Z238" s="60">
        <f t="shared" si="122"/>
        <v>70000</v>
      </c>
      <c r="AA238" s="42"/>
      <c r="AB238" s="42"/>
      <c r="AC238" s="60">
        <f t="shared" si="123"/>
        <v>0</v>
      </c>
      <c r="AD238" s="60">
        <f t="shared" si="124"/>
        <v>0</v>
      </c>
      <c r="AE238" s="42"/>
      <c r="AF238" s="42"/>
      <c r="AG238" s="60">
        <f t="shared" si="126"/>
        <v>5</v>
      </c>
      <c r="AH238" s="60">
        <f t="shared" si="125"/>
        <v>5</v>
      </c>
      <c r="AI238" s="19"/>
      <c r="AW238" s="19"/>
      <c r="AX238" s="19"/>
      <c r="AY238" s="19"/>
      <c r="AZ238" s="19"/>
      <c r="BA238" s="19"/>
      <c r="BB238" s="19"/>
      <c r="BC238" s="19"/>
      <c r="BD238" s="19"/>
      <c r="BE238" s="19"/>
    </row>
    <row r="239" spans="1:57" x14ac:dyDescent="0.15">
      <c r="A239" s="19"/>
      <c r="B239" s="79" t="str">
        <f t="shared" si="108"/>
        <v/>
      </c>
      <c r="C239" s="85"/>
      <c r="D239" s="75">
        <f>INDEX(节奏总纲!$AM$4:$AM$83,$F239)</f>
        <v>73.746861667008318</v>
      </c>
      <c r="E239" s="75">
        <f>求节点(节奏总纲!$P$4:$P$163,节奏总纲!$O$4:$O$163,$D239)</f>
        <v>62.233138599165841</v>
      </c>
      <c r="F239" s="40">
        <v>36</v>
      </c>
      <c r="G239" s="85"/>
      <c r="H239" s="65" t="s">
        <v>445</v>
      </c>
      <c r="I239" s="63"/>
      <c r="J239" s="69"/>
      <c r="K239" s="63"/>
      <c r="M239" s="60">
        <f t="shared" si="109"/>
        <v>50</v>
      </c>
      <c r="N239" s="60">
        <f t="shared" si="110"/>
        <v>50</v>
      </c>
      <c r="O239" s="60">
        <f t="shared" si="111"/>
        <v>0</v>
      </c>
      <c r="P239" s="60">
        <f t="shared" si="112"/>
        <v>0</v>
      </c>
      <c r="Q239" s="60">
        <f t="shared" si="113"/>
        <v>15</v>
      </c>
      <c r="R239" s="60">
        <f t="shared" si="114"/>
        <v>15</v>
      </c>
      <c r="S239" s="60">
        <f t="shared" si="115"/>
        <v>260000</v>
      </c>
      <c r="T239" s="60">
        <f t="shared" si="116"/>
        <v>260000</v>
      </c>
      <c r="U239" s="60">
        <f t="shared" si="117"/>
        <v>0</v>
      </c>
      <c r="V239" s="60">
        <f t="shared" si="118"/>
        <v>0</v>
      </c>
      <c r="W239" s="60">
        <f t="shared" si="119"/>
        <v>0</v>
      </c>
      <c r="X239" s="60">
        <f t="shared" si="120"/>
        <v>0</v>
      </c>
      <c r="Y239" s="60">
        <f t="shared" si="121"/>
        <v>70000</v>
      </c>
      <c r="Z239" s="60">
        <f t="shared" si="122"/>
        <v>70000</v>
      </c>
      <c r="AA239" s="42"/>
      <c r="AB239" s="42"/>
      <c r="AC239" s="60">
        <f t="shared" si="123"/>
        <v>0</v>
      </c>
      <c r="AD239" s="60">
        <f t="shared" si="124"/>
        <v>0</v>
      </c>
      <c r="AE239" s="42"/>
      <c r="AF239" s="42"/>
      <c r="AG239" s="60">
        <f t="shared" si="126"/>
        <v>5</v>
      </c>
      <c r="AH239" s="60">
        <f t="shared" si="125"/>
        <v>5</v>
      </c>
      <c r="AI239" s="19"/>
      <c r="AW239" s="19"/>
      <c r="AX239" s="19"/>
      <c r="AY239" s="19"/>
      <c r="AZ239" s="19"/>
      <c r="BA239" s="19"/>
      <c r="BB239" s="19"/>
      <c r="BC239" s="19"/>
      <c r="BD239" s="19"/>
      <c r="BE239" s="19"/>
    </row>
    <row r="240" spans="1:57" x14ac:dyDescent="0.15">
      <c r="A240" s="19"/>
      <c r="B240" s="79">
        <f t="shared" si="108"/>
        <v>4</v>
      </c>
      <c r="C240" s="85"/>
      <c r="D240" s="75">
        <f>INDEX(节奏总纲!$AM$4:$AM$83,$F240)</f>
        <v>85.62747641525452</v>
      </c>
      <c r="E240" s="75">
        <f>求节点(节奏总纲!$P$4:$P$163,节奏总纲!$O$4:$O$163,$D240)</f>
        <v>64.359497111737156</v>
      </c>
      <c r="F240" s="40">
        <v>37</v>
      </c>
      <c r="G240" s="85">
        <v>2</v>
      </c>
      <c r="H240" s="63" t="s">
        <v>446</v>
      </c>
      <c r="I240" s="63"/>
      <c r="J240" s="69"/>
      <c r="K240" s="63"/>
      <c r="M240" s="60">
        <f t="shared" si="109"/>
        <v>50</v>
      </c>
      <c r="N240" s="60">
        <f t="shared" si="110"/>
        <v>50</v>
      </c>
      <c r="O240" s="60">
        <f t="shared" si="111"/>
        <v>0</v>
      </c>
      <c r="P240" s="60">
        <f t="shared" si="112"/>
        <v>0</v>
      </c>
      <c r="Q240" s="60">
        <f t="shared" si="113"/>
        <v>16</v>
      </c>
      <c r="R240" s="60">
        <f t="shared" si="114"/>
        <v>16</v>
      </c>
      <c r="S240" s="60">
        <f t="shared" si="115"/>
        <v>270000</v>
      </c>
      <c r="T240" s="60">
        <f t="shared" si="116"/>
        <v>270000</v>
      </c>
      <c r="U240" s="60">
        <f t="shared" si="117"/>
        <v>0</v>
      </c>
      <c r="V240" s="60">
        <f t="shared" si="118"/>
        <v>0</v>
      </c>
      <c r="W240" s="60">
        <f t="shared" si="119"/>
        <v>0</v>
      </c>
      <c r="X240" s="60">
        <f t="shared" si="120"/>
        <v>0</v>
      </c>
      <c r="Y240" s="60">
        <f t="shared" si="121"/>
        <v>80000</v>
      </c>
      <c r="Z240" s="60">
        <f t="shared" si="122"/>
        <v>80000</v>
      </c>
      <c r="AA240" s="42"/>
      <c r="AB240" s="42"/>
      <c r="AC240" s="60">
        <f t="shared" si="123"/>
        <v>0</v>
      </c>
      <c r="AD240" s="60">
        <f t="shared" si="124"/>
        <v>0</v>
      </c>
      <c r="AE240" s="42"/>
      <c r="AF240" s="42"/>
      <c r="AG240" s="60">
        <f t="shared" si="126"/>
        <v>5</v>
      </c>
      <c r="AH240" s="60">
        <f t="shared" si="125"/>
        <v>5</v>
      </c>
      <c r="AI240" s="19"/>
      <c r="AL240" s="58"/>
      <c r="AM240" s="58"/>
      <c r="AN240" s="58"/>
      <c r="AO240" s="58"/>
      <c r="AP240" s="58"/>
      <c r="AQ240" s="58"/>
      <c r="AR240" s="58"/>
      <c r="AS240" s="58"/>
      <c r="AT240" s="58"/>
      <c r="AU240" s="58"/>
      <c r="AV240" s="58"/>
      <c r="AW240" s="58"/>
      <c r="AX240" s="58"/>
      <c r="AY240" s="58"/>
      <c r="AZ240" s="58"/>
      <c r="BA240" s="58"/>
      <c r="BB240" s="58"/>
      <c r="BC240" s="58"/>
      <c r="BD240" s="58"/>
      <c r="BE240" s="58"/>
    </row>
    <row r="241" spans="1:58" x14ac:dyDescent="0.15">
      <c r="A241" s="19"/>
      <c r="B241" s="79" t="str">
        <f t="shared" si="108"/>
        <v/>
      </c>
      <c r="C241" s="85"/>
      <c r="D241" s="75">
        <f>INDEX(节奏总纲!$AM$4:$AM$83,$F241)</f>
        <v>85.62747641525452</v>
      </c>
      <c r="E241" s="75">
        <f>求节点(节奏总纲!$P$4:$P$163,节奏总纲!$O$4:$O$163,$D241)</f>
        <v>64.359497111737156</v>
      </c>
      <c r="F241" s="40">
        <v>37</v>
      </c>
      <c r="G241" s="85"/>
      <c r="H241" s="63" t="s">
        <v>599</v>
      </c>
      <c r="I241" s="63"/>
      <c r="J241" s="69"/>
      <c r="K241" s="63"/>
      <c r="M241" s="60">
        <f t="shared" si="109"/>
        <v>50</v>
      </c>
      <c r="N241" s="60">
        <f t="shared" si="110"/>
        <v>50</v>
      </c>
      <c r="O241" s="60">
        <f t="shared" si="111"/>
        <v>0</v>
      </c>
      <c r="P241" s="60">
        <f t="shared" si="112"/>
        <v>0</v>
      </c>
      <c r="Q241" s="60">
        <f t="shared" si="113"/>
        <v>16</v>
      </c>
      <c r="R241" s="60">
        <f t="shared" si="114"/>
        <v>16</v>
      </c>
      <c r="S241" s="60">
        <f t="shared" si="115"/>
        <v>270000</v>
      </c>
      <c r="T241" s="60">
        <f t="shared" si="116"/>
        <v>270000</v>
      </c>
      <c r="U241" s="60">
        <f t="shared" si="117"/>
        <v>0</v>
      </c>
      <c r="V241" s="60">
        <f t="shared" si="118"/>
        <v>0</v>
      </c>
      <c r="W241" s="60">
        <f t="shared" si="119"/>
        <v>0</v>
      </c>
      <c r="X241" s="60">
        <f t="shared" si="120"/>
        <v>0</v>
      </c>
      <c r="Y241" s="60">
        <f t="shared" si="121"/>
        <v>80000</v>
      </c>
      <c r="Z241" s="60">
        <f t="shared" si="122"/>
        <v>80000</v>
      </c>
      <c r="AA241" s="42"/>
      <c r="AB241" s="42"/>
      <c r="AC241" s="60">
        <f t="shared" si="123"/>
        <v>0</v>
      </c>
      <c r="AD241" s="60">
        <f t="shared" si="124"/>
        <v>0</v>
      </c>
      <c r="AE241" s="42"/>
      <c r="AF241" s="42"/>
      <c r="AG241" s="60">
        <f t="shared" si="126"/>
        <v>5</v>
      </c>
      <c r="AH241" s="60">
        <f t="shared" si="125"/>
        <v>5</v>
      </c>
      <c r="AI241" s="19"/>
      <c r="AW241" s="19"/>
      <c r="AX241" s="19"/>
      <c r="AY241" s="19"/>
      <c r="AZ241" s="19"/>
      <c r="BA241" s="19"/>
      <c r="BB241" s="19"/>
      <c r="BC241" s="19"/>
      <c r="BD241" s="19"/>
      <c r="BE241" s="19"/>
    </row>
    <row r="242" spans="1:58" x14ac:dyDescent="0.15">
      <c r="A242" s="19"/>
      <c r="B242" s="79" t="str">
        <f t="shared" si="108"/>
        <v/>
      </c>
      <c r="C242" s="85"/>
      <c r="D242" s="75">
        <f>INDEX(节奏总纲!$AM$4:$AM$83,$F242)</f>
        <v>85.62747641525452</v>
      </c>
      <c r="E242" s="75">
        <f>求节点(节奏总纲!$P$4:$P$163,节奏总纲!$O$4:$O$163,$D242)</f>
        <v>64.359497111737156</v>
      </c>
      <c r="F242" s="40">
        <v>37</v>
      </c>
      <c r="G242" s="85"/>
      <c r="H242" s="70" t="s">
        <v>715</v>
      </c>
      <c r="I242" s="63"/>
      <c r="J242" s="69"/>
      <c r="K242" s="63"/>
      <c r="M242" s="60">
        <f t="shared" si="109"/>
        <v>50</v>
      </c>
      <c r="N242" s="60">
        <f t="shared" si="110"/>
        <v>50</v>
      </c>
      <c r="O242" s="60">
        <f t="shared" si="111"/>
        <v>0</v>
      </c>
      <c r="P242" s="60">
        <f t="shared" si="112"/>
        <v>0</v>
      </c>
      <c r="Q242" s="60">
        <f t="shared" si="113"/>
        <v>16</v>
      </c>
      <c r="R242" s="60">
        <f t="shared" si="114"/>
        <v>16</v>
      </c>
      <c r="S242" s="60">
        <f t="shared" si="115"/>
        <v>270000</v>
      </c>
      <c r="T242" s="60">
        <f t="shared" si="116"/>
        <v>270000</v>
      </c>
      <c r="U242" s="60">
        <f t="shared" si="117"/>
        <v>0</v>
      </c>
      <c r="V242" s="60">
        <f t="shared" si="118"/>
        <v>0</v>
      </c>
      <c r="W242" s="60">
        <f t="shared" si="119"/>
        <v>0</v>
      </c>
      <c r="X242" s="60">
        <f t="shared" si="120"/>
        <v>0</v>
      </c>
      <c r="Y242" s="60">
        <f t="shared" si="121"/>
        <v>80000</v>
      </c>
      <c r="Z242" s="60">
        <f t="shared" si="122"/>
        <v>80000</v>
      </c>
      <c r="AA242" s="42"/>
      <c r="AB242" s="42"/>
      <c r="AC242" s="60">
        <f t="shared" si="123"/>
        <v>0</v>
      </c>
      <c r="AD242" s="60">
        <f t="shared" si="124"/>
        <v>0</v>
      </c>
      <c r="AE242" s="42"/>
      <c r="AF242" s="42"/>
      <c r="AG242" s="60">
        <f t="shared" si="126"/>
        <v>5</v>
      </c>
      <c r="AH242" s="60">
        <f t="shared" si="125"/>
        <v>5</v>
      </c>
      <c r="AI242" s="19"/>
      <c r="AW242" s="19"/>
      <c r="AX242" s="19"/>
      <c r="AY242" s="19"/>
      <c r="AZ242" s="19"/>
      <c r="BA242" s="19"/>
      <c r="BB242" s="19"/>
      <c r="BC242" s="19"/>
      <c r="BD242" s="19"/>
      <c r="BE242" s="19"/>
    </row>
    <row r="243" spans="1:58" x14ac:dyDescent="0.15">
      <c r="A243" s="19"/>
      <c r="B243" s="79" t="str">
        <f t="shared" si="108"/>
        <v/>
      </c>
      <c r="C243" s="85"/>
      <c r="D243" s="75">
        <f>INDEX(节奏总纲!$AM$4:$AM$83,$F243)</f>
        <v>85.62747641525452</v>
      </c>
      <c r="E243" s="75">
        <f>求节点(节奏总纲!$P$4:$P$163,节奏总纲!$O$4:$O$163,$D243)</f>
        <v>64.359497111737156</v>
      </c>
      <c r="F243" s="40">
        <v>37</v>
      </c>
      <c r="G243" s="85"/>
      <c r="H243" s="63" t="s">
        <v>447</v>
      </c>
      <c r="I243" s="63"/>
      <c r="J243" s="69"/>
      <c r="K243" s="63"/>
      <c r="M243" s="60">
        <f t="shared" si="109"/>
        <v>50</v>
      </c>
      <c r="N243" s="60">
        <f t="shared" si="110"/>
        <v>50</v>
      </c>
      <c r="O243" s="60">
        <f t="shared" si="111"/>
        <v>0</v>
      </c>
      <c r="P243" s="60">
        <f t="shared" si="112"/>
        <v>0</v>
      </c>
      <c r="Q243" s="60">
        <f t="shared" si="113"/>
        <v>16</v>
      </c>
      <c r="R243" s="60">
        <f t="shared" si="114"/>
        <v>16</v>
      </c>
      <c r="S243" s="60">
        <f t="shared" si="115"/>
        <v>270000</v>
      </c>
      <c r="T243" s="60">
        <f t="shared" si="116"/>
        <v>270000</v>
      </c>
      <c r="U243" s="60">
        <f t="shared" si="117"/>
        <v>0</v>
      </c>
      <c r="V243" s="60">
        <f t="shared" si="118"/>
        <v>0</v>
      </c>
      <c r="W243" s="60">
        <f t="shared" si="119"/>
        <v>0</v>
      </c>
      <c r="X243" s="60">
        <f t="shared" si="120"/>
        <v>0</v>
      </c>
      <c r="Y243" s="60">
        <f t="shared" si="121"/>
        <v>80000</v>
      </c>
      <c r="Z243" s="60">
        <f t="shared" si="122"/>
        <v>80000</v>
      </c>
      <c r="AA243" s="42"/>
      <c r="AB243" s="42"/>
      <c r="AC243" s="60">
        <f t="shared" si="123"/>
        <v>0</v>
      </c>
      <c r="AD243" s="60">
        <f t="shared" si="124"/>
        <v>0</v>
      </c>
      <c r="AE243" s="42"/>
      <c r="AF243" s="42"/>
      <c r="AG243" s="60">
        <f t="shared" si="126"/>
        <v>5</v>
      </c>
      <c r="AH243" s="60">
        <f t="shared" si="125"/>
        <v>5</v>
      </c>
      <c r="AI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58"/>
    </row>
    <row r="244" spans="1:58" s="58" customFormat="1" x14ac:dyDescent="0.15">
      <c r="B244" s="79" t="str">
        <f t="shared" si="108"/>
        <v/>
      </c>
      <c r="C244" s="85"/>
      <c r="D244" s="75">
        <f>INDEX(节奏总纲!$AM$4:$AM$83,$F244)</f>
        <v>85.62747641525452</v>
      </c>
      <c r="E244" s="75">
        <f>求节点(节奏总纲!$P$4:$P$163,节奏总纲!$O$4:$O$163,$D244)</f>
        <v>64.359497111737156</v>
      </c>
      <c r="F244" s="62">
        <v>37</v>
      </c>
      <c r="G244" s="85"/>
      <c r="H244" s="63"/>
      <c r="I244" s="63"/>
      <c r="J244" s="69"/>
      <c r="K244" s="63"/>
      <c r="M244" s="60">
        <f t="shared" si="109"/>
        <v>50</v>
      </c>
      <c r="N244" s="60">
        <f t="shared" si="110"/>
        <v>0</v>
      </c>
      <c r="O244" s="60">
        <f t="shared" si="111"/>
        <v>0</v>
      </c>
      <c r="P244" s="60">
        <f t="shared" si="112"/>
        <v>0</v>
      </c>
      <c r="Q244" s="60">
        <f t="shared" si="113"/>
        <v>16</v>
      </c>
      <c r="R244" s="60">
        <f t="shared" si="114"/>
        <v>0</v>
      </c>
      <c r="S244" s="60">
        <f t="shared" si="115"/>
        <v>270000</v>
      </c>
      <c r="T244" s="60">
        <f t="shared" si="116"/>
        <v>0</v>
      </c>
      <c r="U244" s="60">
        <f t="shared" si="117"/>
        <v>0</v>
      </c>
      <c r="V244" s="60">
        <f t="shared" si="118"/>
        <v>0</v>
      </c>
      <c r="W244" s="60">
        <f t="shared" si="119"/>
        <v>0</v>
      </c>
      <c r="X244" s="60">
        <f t="shared" si="120"/>
        <v>0</v>
      </c>
      <c r="Y244" s="60">
        <f t="shared" si="121"/>
        <v>80000</v>
      </c>
      <c r="Z244" s="60">
        <f t="shared" si="122"/>
        <v>0</v>
      </c>
      <c r="AC244" s="60">
        <f t="shared" si="123"/>
        <v>0</v>
      </c>
      <c r="AD244" s="60">
        <f t="shared" si="124"/>
        <v>0</v>
      </c>
      <c r="AG244" s="60">
        <f t="shared" si="126"/>
        <v>5</v>
      </c>
      <c r="AH244" s="60">
        <f t="shared" si="125"/>
        <v>0</v>
      </c>
      <c r="AJ244" s="22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</row>
    <row r="245" spans="1:58" x14ac:dyDescent="0.15">
      <c r="A245" s="19"/>
      <c r="B245" s="79">
        <f t="shared" si="108"/>
        <v>8</v>
      </c>
      <c r="C245" s="85"/>
      <c r="D245" s="75">
        <f>INDEX(节奏总纲!$AM$4:$AM$83,$F245)</f>
        <v>99.401036064365428</v>
      </c>
      <c r="E245" s="75">
        <f>求节点(节奏总纲!$P$4:$P$163,节奏总纲!$O$4:$O$163,$D245)</f>
        <v>66.487641207576758</v>
      </c>
      <c r="F245" s="40">
        <v>38</v>
      </c>
      <c r="G245" s="85">
        <v>3</v>
      </c>
      <c r="H245" s="63" t="s">
        <v>448</v>
      </c>
      <c r="I245" s="63"/>
      <c r="J245" s="69"/>
      <c r="K245" s="63"/>
      <c r="M245" s="60">
        <f t="shared" si="109"/>
        <v>50</v>
      </c>
      <c r="N245" s="60">
        <f t="shared" si="110"/>
        <v>50</v>
      </c>
      <c r="O245" s="60">
        <f t="shared" si="111"/>
        <v>0</v>
      </c>
      <c r="P245" s="60">
        <f t="shared" si="112"/>
        <v>0</v>
      </c>
      <c r="Q245" s="60">
        <f t="shared" si="113"/>
        <v>16</v>
      </c>
      <c r="R245" s="60">
        <f t="shared" si="114"/>
        <v>16</v>
      </c>
      <c r="S245" s="60">
        <f t="shared" si="115"/>
        <v>280000</v>
      </c>
      <c r="T245" s="60">
        <f t="shared" si="116"/>
        <v>280000</v>
      </c>
      <c r="U245" s="60">
        <f t="shared" si="117"/>
        <v>0</v>
      </c>
      <c r="V245" s="60">
        <f t="shared" si="118"/>
        <v>0</v>
      </c>
      <c r="W245" s="60">
        <f t="shared" si="119"/>
        <v>0</v>
      </c>
      <c r="X245" s="60">
        <f t="shared" si="120"/>
        <v>0</v>
      </c>
      <c r="Y245" s="60">
        <f t="shared" si="121"/>
        <v>80000</v>
      </c>
      <c r="Z245" s="60">
        <f t="shared" si="122"/>
        <v>80000</v>
      </c>
      <c r="AA245" s="58"/>
      <c r="AB245" s="58"/>
      <c r="AC245" s="60">
        <f t="shared" si="123"/>
        <v>0</v>
      </c>
      <c r="AD245" s="60">
        <f t="shared" si="124"/>
        <v>0</v>
      </c>
      <c r="AE245" s="58"/>
      <c r="AF245" s="58"/>
      <c r="AG245" s="60">
        <f t="shared" si="126"/>
        <v>5</v>
      </c>
      <c r="AH245" s="60">
        <f t="shared" si="125"/>
        <v>5</v>
      </c>
      <c r="AI245" s="19"/>
      <c r="AW245" s="19"/>
      <c r="AX245" s="19"/>
      <c r="AY245" s="19"/>
      <c r="AZ245" s="19"/>
      <c r="BA245" s="19"/>
      <c r="BB245" s="19"/>
      <c r="BC245" s="19"/>
      <c r="BD245" s="19"/>
      <c r="BE245" s="19"/>
    </row>
    <row r="246" spans="1:58" x14ac:dyDescent="0.15">
      <c r="A246" s="19"/>
      <c r="B246" s="79" t="str">
        <f t="shared" si="108"/>
        <v/>
      </c>
      <c r="C246" s="85"/>
      <c r="D246" s="75">
        <f>INDEX(节奏总纲!$AM$4:$AM$83,$F246)</f>
        <v>99.401036064365428</v>
      </c>
      <c r="E246" s="75">
        <f>求节点(节奏总纲!$P$4:$P$163,节奏总纲!$O$4:$O$163,$D246)</f>
        <v>66.487641207576758</v>
      </c>
      <c r="F246" s="40">
        <v>38</v>
      </c>
      <c r="G246" s="85"/>
      <c r="H246" s="63" t="s">
        <v>584</v>
      </c>
      <c r="I246" s="63"/>
      <c r="J246" s="69"/>
      <c r="K246" s="63"/>
      <c r="M246" s="60">
        <f t="shared" si="109"/>
        <v>50</v>
      </c>
      <c r="N246" s="60">
        <f t="shared" si="110"/>
        <v>50</v>
      </c>
      <c r="O246" s="60">
        <f t="shared" si="111"/>
        <v>0</v>
      </c>
      <c r="P246" s="60">
        <f t="shared" si="112"/>
        <v>0</v>
      </c>
      <c r="Q246" s="60">
        <f t="shared" si="113"/>
        <v>16</v>
      </c>
      <c r="R246" s="60">
        <f t="shared" si="114"/>
        <v>16</v>
      </c>
      <c r="S246" s="60">
        <f t="shared" si="115"/>
        <v>280000</v>
      </c>
      <c r="T246" s="60">
        <f t="shared" si="116"/>
        <v>280000</v>
      </c>
      <c r="U246" s="60">
        <f t="shared" si="117"/>
        <v>0</v>
      </c>
      <c r="V246" s="60">
        <f t="shared" si="118"/>
        <v>0</v>
      </c>
      <c r="W246" s="60">
        <f t="shared" si="119"/>
        <v>0</v>
      </c>
      <c r="X246" s="60">
        <f t="shared" si="120"/>
        <v>0</v>
      </c>
      <c r="Y246" s="60">
        <f t="shared" si="121"/>
        <v>80000</v>
      </c>
      <c r="Z246" s="60">
        <f t="shared" si="122"/>
        <v>80000</v>
      </c>
      <c r="AA246" s="58"/>
      <c r="AB246" s="58"/>
      <c r="AC246" s="60">
        <f t="shared" si="123"/>
        <v>0</v>
      </c>
      <c r="AD246" s="60">
        <f t="shared" si="124"/>
        <v>0</v>
      </c>
      <c r="AE246" s="58"/>
      <c r="AF246" s="58"/>
      <c r="AG246" s="60">
        <f t="shared" si="126"/>
        <v>5</v>
      </c>
      <c r="AH246" s="60">
        <f t="shared" si="125"/>
        <v>5</v>
      </c>
      <c r="AI246" s="19"/>
      <c r="AW246" s="19"/>
      <c r="AX246" s="19"/>
      <c r="AY246" s="19"/>
      <c r="AZ246" s="19"/>
      <c r="BA246" s="19"/>
      <c r="BB246" s="19"/>
      <c r="BC246" s="19"/>
      <c r="BD246" s="19"/>
      <c r="BE246" s="19"/>
    </row>
    <row r="247" spans="1:58" x14ac:dyDescent="0.15">
      <c r="A247" s="19"/>
      <c r="B247" s="79" t="str">
        <f t="shared" si="108"/>
        <v/>
      </c>
      <c r="C247" s="85"/>
      <c r="D247" s="75">
        <f>INDEX(节奏总纲!$AM$4:$AM$83,$F247)</f>
        <v>99.401036064365428</v>
      </c>
      <c r="E247" s="75">
        <f>求节点(节奏总纲!$P$4:$P$163,节奏总纲!$O$4:$O$163,$D247)</f>
        <v>66.487641207576758</v>
      </c>
      <c r="F247" s="40">
        <v>38</v>
      </c>
      <c r="G247" s="85"/>
      <c r="H247" s="63"/>
      <c r="I247" s="63"/>
      <c r="J247" s="69"/>
      <c r="K247" s="63"/>
      <c r="M247" s="60">
        <f t="shared" si="109"/>
        <v>50</v>
      </c>
      <c r="N247" s="60">
        <f t="shared" si="110"/>
        <v>0</v>
      </c>
      <c r="O247" s="60">
        <f t="shared" si="111"/>
        <v>0</v>
      </c>
      <c r="P247" s="60">
        <f t="shared" si="112"/>
        <v>0</v>
      </c>
      <c r="Q247" s="60">
        <f t="shared" si="113"/>
        <v>16</v>
      </c>
      <c r="R247" s="60">
        <f t="shared" si="114"/>
        <v>0</v>
      </c>
      <c r="S247" s="60">
        <f t="shared" si="115"/>
        <v>280000</v>
      </c>
      <c r="T247" s="60">
        <f t="shared" si="116"/>
        <v>0</v>
      </c>
      <c r="U247" s="60">
        <f t="shared" si="117"/>
        <v>0</v>
      </c>
      <c r="V247" s="60">
        <f t="shared" si="118"/>
        <v>0</v>
      </c>
      <c r="W247" s="60">
        <f t="shared" si="119"/>
        <v>0</v>
      </c>
      <c r="X247" s="60">
        <f t="shared" si="120"/>
        <v>0</v>
      </c>
      <c r="Y247" s="60">
        <f t="shared" si="121"/>
        <v>80000</v>
      </c>
      <c r="Z247" s="60">
        <f t="shared" si="122"/>
        <v>0</v>
      </c>
      <c r="AA247" s="58"/>
      <c r="AB247" s="58"/>
      <c r="AC247" s="60">
        <f t="shared" si="123"/>
        <v>0</v>
      </c>
      <c r="AD247" s="60">
        <f t="shared" si="124"/>
        <v>0</v>
      </c>
      <c r="AE247" s="58"/>
      <c r="AF247" s="58"/>
      <c r="AG247" s="60">
        <f t="shared" si="126"/>
        <v>5</v>
      </c>
      <c r="AH247" s="60">
        <f t="shared" si="125"/>
        <v>0</v>
      </c>
      <c r="AI247" s="19"/>
      <c r="AW247" s="19"/>
      <c r="AX247" s="19"/>
      <c r="AY247" s="19"/>
      <c r="AZ247" s="19"/>
      <c r="BA247" s="19"/>
      <c r="BB247" s="19"/>
      <c r="BC247" s="19"/>
      <c r="BD247" s="19"/>
      <c r="BE247" s="19"/>
    </row>
    <row r="248" spans="1:58" x14ac:dyDescent="0.15">
      <c r="A248" s="19"/>
      <c r="B248" s="79" t="str">
        <f t="shared" si="108"/>
        <v/>
      </c>
      <c r="C248" s="85"/>
      <c r="D248" s="75">
        <f>INDEX(节奏总纲!$AM$4:$AM$83,$F248)</f>
        <v>99.401036064365428</v>
      </c>
      <c r="E248" s="75">
        <f>求节点(节奏总纲!$P$4:$P$163,节奏总纲!$O$4:$O$163,$D248)</f>
        <v>66.487641207576758</v>
      </c>
      <c r="F248" s="40">
        <v>38</v>
      </c>
      <c r="G248" s="85"/>
      <c r="H248" s="63" t="s">
        <v>592</v>
      </c>
      <c r="I248" s="63"/>
      <c r="J248" s="69" t="s">
        <v>523</v>
      </c>
      <c r="K248" s="63"/>
      <c r="M248" s="60">
        <f t="shared" si="109"/>
        <v>50</v>
      </c>
      <c r="N248" s="60">
        <f t="shared" si="110"/>
        <v>100</v>
      </c>
      <c r="O248" s="60">
        <f t="shared" si="111"/>
        <v>0</v>
      </c>
      <c r="P248" s="60">
        <f t="shared" si="112"/>
        <v>0</v>
      </c>
      <c r="Q248" s="60">
        <f t="shared" si="113"/>
        <v>16</v>
      </c>
      <c r="R248" s="60">
        <f t="shared" si="114"/>
        <v>32</v>
      </c>
      <c r="S248" s="60">
        <f t="shared" si="115"/>
        <v>280000</v>
      </c>
      <c r="T248" s="60">
        <f t="shared" si="116"/>
        <v>560000</v>
      </c>
      <c r="U248" s="60">
        <f t="shared" si="117"/>
        <v>0</v>
      </c>
      <c r="V248" s="60">
        <f t="shared" si="118"/>
        <v>0</v>
      </c>
      <c r="W248" s="60">
        <f t="shared" si="119"/>
        <v>0</v>
      </c>
      <c r="X248" s="60">
        <f t="shared" si="120"/>
        <v>0</v>
      </c>
      <c r="Y248" s="60">
        <f t="shared" si="121"/>
        <v>80000</v>
      </c>
      <c r="Z248" s="60">
        <f t="shared" si="122"/>
        <v>160000</v>
      </c>
      <c r="AA248" s="58"/>
      <c r="AB248" s="58"/>
      <c r="AC248" s="60">
        <f t="shared" si="123"/>
        <v>0</v>
      </c>
      <c r="AD248" s="60">
        <f t="shared" si="124"/>
        <v>0</v>
      </c>
      <c r="AE248" s="58"/>
      <c r="AF248" s="58"/>
      <c r="AG248" s="60">
        <f t="shared" si="126"/>
        <v>5</v>
      </c>
      <c r="AH248" s="60">
        <f t="shared" si="125"/>
        <v>10</v>
      </c>
      <c r="AI248" s="19"/>
      <c r="AW248" s="19"/>
      <c r="AX248" s="19"/>
      <c r="AY248" s="19"/>
      <c r="AZ248" s="19"/>
      <c r="BA248" s="19"/>
      <c r="BB248" s="19"/>
      <c r="BC248" s="19"/>
      <c r="BD248" s="19"/>
      <c r="BE248" s="19"/>
    </row>
    <row r="249" spans="1:58" x14ac:dyDescent="0.15">
      <c r="A249" s="19"/>
      <c r="B249" s="79" t="str">
        <f t="shared" si="108"/>
        <v/>
      </c>
      <c r="C249" s="85"/>
      <c r="D249" s="75">
        <f>INDEX(节奏总纲!$AM$4:$AM$83,$F249)</f>
        <v>99.401036064365428</v>
      </c>
      <c r="E249" s="75">
        <f>求节点(节奏总纲!$P$4:$P$163,节奏总纲!$O$4:$O$163,$D249)</f>
        <v>66.487641207576758</v>
      </c>
      <c r="F249" s="40">
        <v>38</v>
      </c>
      <c r="G249" s="85"/>
      <c r="H249" s="65" t="s">
        <v>645</v>
      </c>
      <c r="I249" s="63"/>
      <c r="J249" s="69" t="s">
        <v>524</v>
      </c>
      <c r="K249" s="63"/>
      <c r="M249" s="60">
        <f t="shared" si="109"/>
        <v>50</v>
      </c>
      <c r="N249" s="60">
        <f t="shared" si="110"/>
        <v>100</v>
      </c>
      <c r="O249" s="60">
        <f t="shared" si="111"/>
        <v>0</v>
      </c>
      <c r="P249" s="60">
        <f t="shared" si="112"/>
        <v>0</v>
      </c>
      <c r="Q249" s="60">
        <f t="shared" si="113"/>
        <v>16</v>
      </c>
      <c r="R249" s="60">
        <f t="shared" si="114"/>
        <v>32</v>
      </c>
      <c r="S249" s="60">
        <f t="shared" si="115"/>
        <v>280000</v>
      </c>
      <c r="T249" s="60">
        <f t="shared" si="116"/>
        <v>560000</v>
      </c>
      <c r="U249" s="60">
        <f t="shared" si="117"/>
        <v>0</v>
      </c>
      <c r="V249" s="60">
        <f t="shared" si="118"/>
        <v>0</v>
      </c>
      <c r="W249" s="60">
        <f t="shared" si="119"/>
        <v>0</v>
      </c>
      <c r="X249" s="60">
        <f t="shared" si="120"/>
        <v>0</v>
      </c>
      <c r="Y249" s="60">
        <f t="shared" si="121"/>
        <v>80000</v>
      </c>
      <c r="Z249" s="60">
        <f t="shared" si="122"/>
        <v>160000</v>
      </c>
      <c r="AA249" s="42"/>
      <c r="AB249" s="42"/>
      <c r="AC249" s="60">
        <f t="shared" si="123"/>
        <v>0</v>
      </c>
      <c r="AD249" s="60">
        <f t="shared" si="124"/>
        <v>0</v>
      </c>
      <c r="AE249" s="42"/>
      <c r="AF249" s="42"/>
      <c r="AG249" s="60">
        <f t="shared" si="126"/>
        <v>5</v>
      </c>
      <c r="AH249" s="60">
        <f t="shared" si="125"/>
        <v>10</v>
      </c>
      <c r="AI249" s="19"/>
      <c r="AW249" s="19"/>
      <c r="AX249" s="19"/>
      <c r="AY249" s="19"/>
      <c r="AZ249" s="19"/>
      <c r="BA249" s="19"/>
      <c r="BB249" s="19"/>
      <c r="BC249" s="19"/>
      <c r="BD249" s="19"/>
      <c r="BE249" s="19"/>
    </row>
    <row r="250" spans="1:58" x14ac:dyDescent="0.15">
      <c r="A250" s="19"/>
      <c r="B250" s="79" t="str">
        <f t="shared" si="108"/>
        <v/>
      </c>
      <c r="C250" s="85"/>
      <c r="D250" s="75">
        <f>INDEX(节奏总纲!$AM$4:$AM$83,$F250)</f>
        <v>99.401036064365428</v>
      </c>
      <c r="E250" s="75">
        <f>求节点(节奏总纲!$P$4:$P$163,节奏总纲!$O$4:$O$163,$D250)</f>
        <v>66.487641207576758</v>
      </c>
      <c r="F250" s="40">
        <v>38</v>
      </c>
      <c r="G250" s="85"/>
      <c r="H250" s="70" t="s">
        <v>716</v>
      </c>
      <c r="I250" s="63"/>
      <c r="J250" s="69" t="s">
        <v>525</v>
      </c>
      <c r="K250" s="63"/>
      <c r="M250" s="60">
        <f t="shared" si="109"/>
        <v>50</v>
      </c>
      <c r="N250" s="60">
        <f t="shared" si="110"/>
        <v>100</v>
      </c>
      <c r="O250" s="60">
        <f t="shared" si="111"/>
        <v>0</v>
      </c>
      <c r="P250" s="60">
        <f t="shared" si="112"/>
        <v>0</v>
      </c>
      <c r="Q250" s="60">
        <f t="shared" si="113"/>
        <v>16</v>
      </c>
      <c r="R250" s="60">
        <f t="shared" si="114"/>
        <v>32</v>
      </c>
      <c r="S250" s="60">
        <f t="shared" si="115"/>
        <v>280000</v>
      </c>
      <c r="T250" s="60">
        <f t="shared" si="116"/>
        <v>560000</v>
      </c>
      <c r="U250" s="60">
        <f t="shared" si="117"/>
        <v>0</v>
      </c>
      <c r="V250" s="60">
        <f t="shared" si="118"/>
        <v>0</v>
      </c>
      <c r="W250" s="60">
        <f t="shared" si="119"/>
        <v>0</v>
      </c>
      <c r="X250" s="60">
        <f t="shared" si="120"/>
        <v>0</v>
      </c>
      <c r="Y250" s="60">
        <f t="shared" si="121"/>
        <v>80000</v>
      </c>
      <c r="Z250" s="60">
        <f t="shared" si="122"/>
        <v>160000</v>
      </c>
      <c r="AA250" s="42"/>
      <c r="AB250" s="42"/>
      <c r="AC250" s="60">
        <f t="shared" si="123"/>
        <v>0</v>
      </c>
      <c r="AD250" s="60">
        <f t="shared" si="124"/>
        <v>0</v>
      </c>
      <c r="AE250" s="42"/>
      <c r="AF250" s="42"/>
      <c r="AG250" s="60">
        <f t="shared" si="126"/>
        <v>5</v>
      </c>
      <c r="AH250" s="60">
        <f t="shared" si="125"/>
        <v>10</v>
      </c>
      <c r="AI250" s="19"/>
      <c r="AW250" s="19"/>
      <c r="AX250" s="19"/>
      <c r="AY250" s="19"/>
      <c r="AZ250" s="19"/>
      <c r="BA250" s="19"/>
      <c r="BB250" s="19"/>
      <c r="BC250" s="19"/>
      <c r="BD250" s="19"/>
      <c r="BE250" s="19"/>
    </row>
    <row r="251" spans="1:58" x14ac:dyDescent="0.15">
      <c r="A251" s="19"/>
      <c r="B251" s="79">
        <f t="shared" si="108"/>
        <v>5</v>
      </c>
      <c r="C251" s="85"/>
      <c r="D251" s="75">
        <f>INDEX(节奏总纲!$AM$4:$AM$83,$F251)</f>
        <v>115.36769098598003</v>
      </c>
      <c r="E251" s="75">
        <f>求节点(节奏总纲!$P$4:$P$163,节奏总纲!$O$4:$O$163,$D251)</f>
        <v>68.617325920549462</v>
      </c>
      <c r="F251" s="40">
        <v>39</v>
      </c>
      <c r="G251" s="85">
        <v>4</v>
      </c>
      <c r="H251" s="63" t="s">
        <v>450</v>
      </c>
      <c r="I251" s="63"/>
      <c r="J251" s="69"/>
      <c r="K251" s="63"/>
      <c r="M251" s="60">
        <f t="shared" si="109"/>
        <v>50</v>
      </c>
      <c r="N251" s="60">
        <f t="shared" si="110"/>
        <v>50</v>
      </c>
      <c r="O251" s="60">
        <f t="shared" si="111"/>
        <v>0</v>
      </c>
      <c r="P251" s="60">
        <f t="shared" si="112"/>
        <v>0</v>
      </c>
      <c r="Q251" s="60">
        <f t="shared" si="113"/>
        <v>16</v>
      </c>
      <c r="R251" s="60">
        <f t="shared" si="114"/>
        <v>16</v>
      </c>
      <c r="S251" s="60">
        <f t="shared" si="115"/>
        <v>290000</v>
      </c>
      <c r="T251" s="60">
        <f t="shared" si="116"/>
        <v>290000</v>
      </c>
      <c r="U251" s="60">
        <f t="shared" si="117"/>
        <v>0</v>
      </c>
      <c r="V251" s="60">
        <f t="shared" si="118"/>
        <v>0</v>
      </c>
      <c r="W251" s="60">
        <f t="shared" si="119"/>
        <v>0</v>
      </c>
      <c r="X251" s="60">
        <f t="shared" si="120"/>
        <v>0</v>
      </c>
      <c r="Y251" s="60">
        <f t="shared" si="121"/>
        <v>80000</v>
      </c>
      <c r="Z251" s="60">
        <f t="shared" si="122"/>
        <v>80000</v>
      </c>
      <c r="AA251" s="42"/>
      <c r="AB251" s="42"/>
      <c r="AC251" s="60">
        <f t="shared" si="123"/>
        <v>0</v>
      </c>
      <c r="AD251" s="60">
        <f t="shared" si="124"/>
        <v>0</v>
      </c>
      <c r="AE251" s="42"/>
      <c r="AF251" s="42"/>
      <c r="AG251" s="60">
        <f t="shared" si="126"/>
        <v>5</v>
      </c>
      <c r="AH251" s="60">
        <f t="shared" si="125"/>
        <v>5</v>
      </c>
      <c r="AI251" s="19"/>
      <c r="AW251" s="19"/>
      <c r="AX251" s="19"/>
      <c r="AY251" s="19"/>
      <c r="AZ251" s="19"/>
      <c r="BA251" s="19"/>
      <c r="BB251" s="19"/>
      <c r="BC251" s="19"/>
      <c r="BD251" s="19"/>
      <c r="BE251" s="19"/>
    </row>
    <row r="252" spans="1:58" x14ac:dyDescent="0.15">
      <c r="A252" s="19"/>
      <c r="B252" s="79" t="str">
        <f t="shared" si="108"/>
        <v/>
      </c>
      <c r="C252" s="85"/>
      <c r="D252" s="75">
        <f>INDEX(节奏总纲!$AM$4:$AM$83,$F252)</f>
        <v>115.36769098598003</v>
      </c>
      <c r="E252" s="75">
        <f>求节点(节奏总纲!$P$4:$P$163,节奏总纲!$O$4:$O$163,$D252)</f>
        <v>68.617325920549462</v>
      </c>
      <c r="F252" s="40">
        <v>39</v>
      </c>
      <c r="G252" s="85"/>
      <c r="H252" s="70" t="s">
        <v>717</v>
      </c>
      <c r="I252" s="63"/>
      <c r="J252" s="69" t="s">
        <v>625</v>
      </c>
      <c r="K252" s="63"/>
      <c r="M252" s="60">
        <f t="shared" si="109"/>
        <v>50</v>
      </c>
      <c r="N252" s="60">
        <f t="shared" si="110"/>
        <v>100</v>
      </c>
      <c r="O252" s="60">
        <f t="shared" si="111"/>
        <v>0</v>
      </c>
      <c r="P252" s="60">
        <f t="shared" si="112"/>
        <v>0</v>
      </c>
      <c r="Q252" s="60">
        <f t="shared" si="113"/>
        <v>16</v>
      </c>
      <c r="R252" s="60">
        <f t="shared" si="114"/>
        <v>32</v>
      </c>
      <c r="S252" s="60">
        <f t="shared" si="115"/>
        <v>290000</v>
      </c>
      <c r="T252" s="60">
        <f t="shared" si="116"/>
        <v>580000</v>
      </c>
      <c r="U252" s="60">
        <f t="shared" si="117"/>
        <v>0</v>
      </c>
      <c r="V252" s="60">
        <f t="shared" si="118"/>
        <v>0</v>
      </c>
      <c r="W252" s="60">
        <f t="shared" si="119"/>
        <v>0</v>
      </c>
      <c r="X252" s="60">
        <f t="shared" si="120"/>
        <v>0</v>
      </c>
      <c r="Y252" s="60">
        <f t="shared" si="121"/>
        <v>80000</v>
      </c>
      <c r="Z252" s="60">
        <f t="shared" si="122"/>
        <v>160000</v>
      </c>
      <c r="AA252" s="42"/>
      <c r="AB252" s="42"/>
      <c r="AC252" s="60">
        <f t="shared" si="123"/>
        <v>0</v>
      </c>
      <c r="AD252" s="60">
        <f t="shared" si="124"/>
        <v>0</v>
      </c>
      <c r="AE252" s="42"/>
      <c r="AF252" s="42"/>
      <c r="AG252" s="60">
        <f t="shared" si="126"/>
        <v>5</v>
      </c>
      <c r="AH252" s="60">
        <f t="shared" si="125"/>
        <v>10</v>
      </c>
      <c r="AI252" s="19"/>
      <c r="AW252" s="19"/>
      <c r="AX252" s="19"/>
      <c r="AY252" s="19"/>
      <c r="AZ252" s="19"/>
      <c r="BA252" s="19"/>
      <c r="BB252" s="19"/>
      <c r="BC252" s="19"/>
      <c r="BD252" s="19"/>
      <c r="BE252" s="19"/>
    </row>
    <row r="253" spans="1:58" x14ac:dyDescent="0.15">
      <c r="A253" s="19"/>
      <c r="B253" s="79" t="str">
        <f t="shared" si="108"/>
        <v/>
      </c>
      <c r="C253" s="85"/>
      <c r="D253" s="75">
        <f>INDEX(节奏总纲!$AM$4:$AM$83,$F253)</f>
        <v>115.36769098598003</v>
      </c>
      <c r="E253" s="75">
        <f>求节点(节奏总纲!$P$4:$P$163,节奏总纲!$O$4:$O$163,$D253)</f>
        <v>68.617325920549462</v>
      </c>
      <c r="F253" s="40">
        <v>39</v>
      </c>
      <c r="G253" s="85"/>
      <c r="H253" s="63" t="s">
        <v>549</v>
      </c>
      <c r="I253" s="63"/>
      <c r="J253" s="69" t="s">
        <v>671</v>
      </c>
      <c r="K253" s="63"/>
      <c r="M253" s="60">
        <f t="shared" si="109"/>
        <v>50</v>
      </c>
      <c r="N253" s="60">
        <f t="shared" si="110"/>
        <v>100</v>
      </c>
      <c r="O253" s="60">
        <f t="shared" si="111"/>
        <v>0</v>
      </c>
      <c r="P253" s="60">
        <f t="shared" si="112"/>
        <v>0</v>
      </c>
      <c r="Q253" s="60">
        <f t="shared" si="113"/>
        <v>16</v>
      </c>
      <c r="R253" s="60">
        <f t="shared" si="114"/>
        <v>32</v>
      </c>
      <c r="S253" s="60">
        <f t="shared" si="115"/>
        <v>290000</v>
      </c>
      <c r="T253" s="60">
        <f t="shared" si="116"/>
        <v>580000</v>
      </c>
      <c r="U253" s="60">
        <f t="shared" si="117"/>
        <v>0</v>
      </c>
      <c r="V253" s="60">
        <f t="shared" si="118"/>
        <v>0</v>
      </c>
      <c r="W253" s="60">
        <f t="shared" si="119"/>
        <v>0</v>
      </c>
      <c r="X253" s="60">
        <f t="shared" si="120"/>
        <v>0</v>
      </c>
      <c r="Y253" s="60">
        <f t="shared" si="121"/>
        <v>80000</v>
      </c>
      <c r="Z253" s="60">
        <f t="shared" si="122"/>
        <v>160000</v>
      </c>
      <c r="AA253" s="42"/>
      <c r="AB253" s="42"/>
      <c r="AC253" s="60">
        <f t="shared" si="123"/>
        <v>0</v>
      </c>
      <c r="AD253" s="60">
        <f t="shared" si="124"/>
        <v>0</v>
      </c>
      <c r="AE253" s="42"/>
      <c r="AF253" s="42"/>
      <c r="AG253" s="60">
        <f t="shared" si="126"/>
        <v>5</v>
      </c>
      <c r="AH253" s="60">
        <f t="shared" si="125"/>
        <v>10</v>
      </c>
      <c r="AI253" s="19"/>
      <c r="AW253" s="19"/>
      <c r="AX253" s="19"/>
      <c r="AY253" s="19"/>
      <c r="AZ253" s="19"/>
      <c r="BA253" s="19"/>
      <c r="BB253" s="19"/>
      <c r="BC253" s="19"/>
      <c r="BD253" s="19"/>
      <c r="BE253" s="19"/>
    </row>
    <row r="254" spans="1:58" x14ac:dyDescent="0.15">
      <c r="A254" s="19"/>
      <c r="B254" s="79">
        <f t="shared" si="108"/>
        <v>10</v>
      </c>
      <c r="C254" s="85"/>
      <c r="D254" s="75">
        <f>INDEX(节奏总纲!$AM$4:$AM$83,$F254)</f>
        <v>133.875</v>
      </c>
      <c r="E254" s="75">
        <f>求节点(节奏总纲!$P$4:$P$163,节奏总纲!$O$4:$O$163,$D254)</f>
        <v>70.748339784677938</v>
      </c>
      <c r="F254" s="40">
        <v>40</v>
      </c>
      <c r="G254" s="85">
        <v>5</v>
      </c>
      <c r="H254" s="63" t="s">
        <v>451</v>
      </c>
      <c r="I254" s="63" t="s">
        <v>557</v>
      </c>
      <c r="J254" s="69" t="s">
        <v>565</v>
      </c>
      <c r="K254" s="63"/>
      <c r="M254" s="60">
        <f t="shared" si="109"/>
        <v>50</v>
      </c>
      <c r="N254" s="60">
        <f t="shared" si="110"/>
        <v>150</v>
      </c>
      <c r="O254" s="60">
        <f t="shared" si="111"/>
        <v>0</v>
      </c>
      <c r="P254" s="60">
        <f t="shared" si="112"/>
        <v>0</v>
      </c>
      <c r="Q254" s="60">
        <f t="shared" si="113"/>
        <v>16</v>
      </c>
      <c r="R254" s="60">
        <f t="shared" si="114"/>
        <v>48</v>
      </c>
      <c r="S254" s="60">
        <f t="shared" si="115"/>
        <v>300000</v>
      </c>
      <c r="T254" s="60">
        <f t="shared" si="116"/>
        <v>900000</v>
      </c>
      <c r="U254" s="60">
        <f t="shared" si="117"/>
        <v>0</v>
      </c>
      <c r="V254" s="60">
        <f t="shared" si="118"/>
        <v>0</v>
      </c>
      <c r="W254" s="60">
        <f t="shared" si="119"/>
        <v>0</v>
      </c>
      <c r="X254" s="60">
        <f t="shared" si="120"/>
        <v>0</v>
      </c>
      <c r="Y254" s="60">
        <f t="shared" si="121"/>
        <v>80000</v>
      </c>
      <c r="Z254" s="60">
        <f t="shared" si="122"/>
        <v>240000</v>
      </c>
      <c r="AA254" s="42"/>
      <c r="AB254" s="42"/>
      <c r="AC254" s="60">
        <f t="shared" si="123"/>
        <v>0</v>
      </c>
      <c r="AD254" s="60">
        <f t="shared" si="124"/>
        <v>0</v>
      </c>
      <c r="AE254" s="42"/>
      <c r="AF254" s="42"/>
      <c r="AG254" s="60">
        <f t="shared" si="126"/>
        <v>5</v>
      </c>
      <c r="AH254" s="60">
        <f t="shared" si="125"/>
        <v>15</v>
      </c>
      <c r="AI254" s="19"/>
      <c r="AW254" s="19"/>
      <c r="AX254" s="19"/>
      <c r="AY254" s="19"/>
      <c r="AZ254" s="19"/>
      <c r="BA254" s="19"/>
      <c r="BB254" s="19"/>
      <c r="BC254" s="19"/>
      <c r="BD254" s="19"/>
      <c r="BE254" s="19"/>
    </row>
    <row r="255" spans="1:58" x14ac:dyDescent="0.15">
      <c r="A255" s="19"/>
      <c r="B255" s="79" t="str">
        <f t="shared" si="108"/>
        <v/>
      </c>
      <c r="C255" s="85"/>
      <c r="D255" s="75">
        <f>INDEX(节奏总纲!$AM$4:$AM$83,$F255)</f>
        <v>133.875</v>
      </c>
      <c r="E255" s="75">
        <f>求节点(节奏总纲!$P$4:$P$163,节奏总纲!$O$4:$O$163,$D255)</f>
        <v>70.748339784677938</v>
      </c>
      <c r="F255" s="40">
        <v>40</v>
      </c>
      <c r="G255" s="85"/>
      <c r="H255" s="70" t="s">
        <v>718</v>
      </c>
      <c r="I255" s="63"/>
      <c r="J255" s="69" t="s">
        <v>566</v>
      </c>
      <c r="K255" s="63"/>
      <c r="M255" s="60">
        <f t="shared" si="109"/>
        <v>50</v>
      </c>
      <c r="N255" s="60">
        <f t="shared" si="110"/>
        <v>100</v>
      </c>
      <c r="O255" s="60">
        <f t="shared" si="111"/>
        <v>0</v>
      </c>
      <c r="P255" s="60">
        <f t="shared" si="112"/>
        <v>0</v>
      </c>
      <c r="Q255" s="60">
        <f t="shared" si="113"/>
        <v>16</v>
      </c>
      <c r="R255" s="60">
        <f t="shared" si="114"/>
        <v>32</v>
      </c>
      <c r="S255" s="60">
        <f t="shared" si="115"/>
        <v>300000</v>
      </c>
      <c r="T255" s="60">
        <f t="shared" si="116"/>
        <v>600000</v>
      </c>
      <c r="U255" s="60">
        <f t="shared" si="117"/>
        <v>0</v>
      </c>
      <c r="V255" s="60">
        <f t="shared" si="118"/>
        <v>0</v>
      </c>
      <c r="W255" s="60">
        <f t="shared" si="119"/>
        <v>0</v>
      </c>
      <c r="X255" s="60">
        <f t="shared" si="120"/>
        <v>0</v>
      </c>
      <c r="Y255" s="60">
        <f t="shared" si="121"/>
        <v>80000</v>
      </c>
      <c r="Z255" s="60">
        <f t="shared" si="122"/>
        <v>160000</v>
      </c>
      <c r="AA255" s="42"/>
      <c r="AB255" s="42"/>
      <c r="AC255" s="60">
        <f t="shared" si="123"/>
        <v>0</v>
      </c>
      <c r="AD255" s="60">
        <f t="shared" si="124"/>
        <v>0</v>
      </c>
      <c r="AE255" s="42"/>
      <c r="AF255" s="42"/>
      <c r="AG255" s="60">
        <f t="shared" si="126"/>
        <v>5</v>
      </c>
      <c r="AH255" s="60">
        <f t="shared" si="125"/>
        <v>10</v>
      </c>
      <c r="AI255" s="19"/>
      <c r="AW255" s="19"/>
      <c r="AX255" s="19"/>
      <c r="AY255" s="19"/>
      <c r="AZ255" s="19"/>
      <c r="BA255" s="19"/>
      <c r="BB255" s="19"/>
      <c r="BC255" s="19"/>
      <c r="BD255" s="19"/>
      <c r="BE255" s="19"/>
    </row>
    <row r="256" spans="1:58" x14ac:dyDescent="0.15">
      <c r="A256" s="19"/>
      <c r="B256" s="79" t="str">
        <f t="shared" si="108"/>
        <v/>
      </c>
      <c r="C256" s="85"/>
      <c r="D256" s="75">
        <f>INDEX(节奏总纲!$AM$4:$AM$83,$F256)</f>
        <v>133.875</v>
      </c>
      <c r="E256" s="75">
        <f>求节点(节奏总纲!$P$4:$P$163,节奏总纲!$O$4:$O$163,$D256)</f>
        <v>70.748339784677938</v>
      </c>
      <c r="F256" s="40">
        <v>40</v>
      </c>
      <c r="G256" s="85"/>
      <c r="H256" s="70" t="s">
        <v>475</v>
      </c>
      <c r="I256" s="63"/>
      <c r="J256" s="69" t="s">
        <v>567</v>
      </c>
      <c r="K256" s="63"/>
      <c r="M256" s="60">
        <f t="shared" si="109"/>
        <v>50</v>
      </c>
      <c r="N256" s="60">
        <f t="shared" si="110"/>
        <v>100</v>
      </c>
      <c r="O256" s="60">
        <f t="shared" si="111"/>
        <v>0</v>
      </c>
      <c r="P256" s="60">
        <f t="shared" si="112"/>
        <v>0</v>
      </c>
      <c r="Q256" s="60">
        <f t="shared" si="113"/>
        <v>16</v>
      </c>
      <c r="R256" s="60">
        <f t="shared" si="114"/>
        <v>32</v>
      </c>
      <c r="S256" s="60">
        <f t="shared" si="115"/>
        <v>300000</v>
      </c>
      <c r="T256" s="60">
        <f t="shared" si="116"/>
        <v>600000</v>
      </c>
      <c r="U256" s="60">
        <f t="shared" si="117"/>
        <v>0</v>
      </c>
      <c r="V256" s="60">
        <f t="shared" si="118"/>
        <v>0</v>
      </c>
      <c r="W256" s="60">
        <f t="shared" si="119"/>
        <v>0</v>
      </c>
      <c r="X256" s="60">
        <f t="shared" si="120"/>
        <v>0</v>
      </c>
      <c r="Y256" s="60">
        <f t="shared" si="121"/>
        <v>80000</v>
      </c>
      <c r="Z256" s="60">
        <f t="shared" si="122"/>
        <v>160000</v>
      </c>
      <c r="AA256" s="42"/>
      <c r="AB256" s="42"/>
      <c r="AC256" s="60">
        <f t="shared" si="123"/>
        <v>0</v>
      </c>
      <c r="AD256" s="60">
        <f t="shared" si="124"/>
        <v>0</v>
      </c>
      <c r="AE256" s="42"/>
      <c r="AF256" s="42"/>
      <c r="AG256" s="60">
        <f t="shared" si="126"/>
        <v>5</v>
      </c>
      <c r="AH256" s="60">
        <f t="shared" si="125"/>
        <v>10</v>
      </c>
      <c r="AI256" s="19"/>
      <c r="AW256" s="19"/>
      <c r="AX256" s="19"/>
      <c r="AY256" s="19"/>
      <c r="AZ256" s="19"/>
      <c r="BA256" s="19"/>
      <c r="BB256" s="19"/>
      <c r="BC256" s="19"/>
      <c r="BD256" s="19"/>
      <c r="BE256" s="19"/>
    </row>
    <row r="257" spans="1:57" s="19" customFormat="1" x14ac:dyDescent="0.15">
      <c r="B257" s="79" t="str">
        <f t="shared" si="108"/>
        <v/>
      </c>
      <c r="C257" s="85"/>
      <c r="D257" s="75">
        <f>INDEX(节奏总纲!$AM$4:$AM$83,$F257)</f>
        <v>133.875</v>
      </c>
      <c r="E257" s="75">
        <f>求节点(节奏总纲!$P$4:$P$163,节奏总纲!$O$4:$O$163,$D257)</f>
        <v>70.748339784677938</v>
      </c>
      <c r="F257" s="40">
        <v>40</v>
      </c>
      <c r="G257" s="85"/>
      <c r="H257" s="70" t="s">
        <v>719</v>
      </c>
      <c r="I257" s="63"/>
      <c r="J257" s="69"/>
      <c r="K257" s="63"/>
      <c r="L257" s="40"/>
      <c r="M257" s="60">
        <f t="shared" si="109"/>
        <v>50</v>
      </c>
      <c r="N257" s="60">
        <f t="shared" si="110"/>
        <v>50</v>
      </c>
      <c r="O257" s="60">
        <f t="shared" si="111"/>
        <v>0</v>
      </c>
      <c r="P257" s="60">
        <f t="shared" si="112"/>
        <v>0</v>
      </c>
      <c r="Q257" s="60">
        <f t="shared" si="113"/>
        <v>16</v>
      </c>
      <c r="R257" s="60">
        <f t="shared" si="114"/>
        <v>16</v>
      </c>
      <c r="S257" s="60">
        <f t="shared" si="115"/>
        <v>300000</v>
      </c>
      <c r="T257" s="60">
        <f t="shared" si="116"/>
        <v>300000</v>
      </c>
      <c r="U257" s="60">
        <f t="shared" si="117"/>
        <v>0</v>
      </c>
      <c r="V257" s="60">
        <f t="shared" si="118"/>
        <v>0</v>
      </c>
      <c r="W257" s="60">
        <f t="shared" si="119"/>
        <v>0</v>
      </c>
      <c r="X257" s="60">
        <f t="shared" si="120"/>
        <v>0</v>
      </c>
      <c r="Y257" s="60">
        <f t="shared" si="121"/>
        <v>80000</v>
      </c>
      <c r="Z257" s="60">
        <f t="shared" si="122"/>
        <v>80000</v>
      </c>
      <c r="AA257" s="42"/>
      <c r="AB257" s="42"/>
      <c r="AC257" s="60">
        <f t="shared" si="123"/>
        <v>0</v>
      </c>
      <c r="AD257" s="60">
        <f t="shared" si="124"/>
        <v>0</v>
      </c>
      <c r="AE257" s="42"/>
      <c r="AF257" s="42"/>
      <c r="AG257" s="60">
        <f t="shared" si="126"/>
        <v>5</v>
      </c>
      <c r="AH257" s="60">
        <f t="shared" si="125"/>
        <v>5</v>
      </c>
      <c r="AJ257" s="22"/>
    </row>
    <row r="258" spans="1:57" x14ac:dyDescent="0.15">
      <c r="A258" s="19"/>
      <c r="B258" s="79" t="str">
        <f t="shared" si="108"/>
        <v/>
      </c>
      <c r="C258" s="85"/>
      <c r="D258" s="75">
        <f>INDEX(节奏总纲!$AM$4:$AM$83,$F258)</f>
        <v>133.875</v>
      </c>
      <c r="E258" s="75">
        <f>求节点(节奏总纲!$P$4:$P$163,节奏总纲!$O$4:$O$163,$D258)</f>
        <v>70.748339784677938</v>
      </c>
      <c r="F258" s="40">
        <v>40</v>
      </c>
      <c r="G258" s="85"/>
      <c r="H258" s="70"/>
      <c r="I258" s="63"/>
      <c r="J258" s="69"/>
      <c r="K258" s="63"/>
      <c r="M258" s="60">
        <f t="shared" si="109"/>
        <v>50</v>
      </c>
      <c r="N258" s="60">
        <f t="shared" si="110"/>
        <v>0</v>
      </c>
      <c r="O258" s="60">
        <f t="shared" si="111"/>
        <v>0</v>
      </c>
      <c r="P258" s="60">
        <f t="shared" si="112"/>
        <v>0</v>
      </c>
      <c r="Q258" s="60">
        <f t="shared" si="113"/>
        <v>16</v>
      </c>
      <c r="R258" s="60">
        <f t="shared" si="114"/>
        <v>0</v>
      </c>
      <c r="S258" s="60">
        <f t="shared" si="115"/>
        <v>300000</v>
      </c>
      <c r="T258" s="60">
        <f t="shared" si="116"/>
        <v>0</v>
      </c>
      <c r="U258" s="60">
        <f t="shared" si="117"/>
        <v>0</v>
      </c>
      <c r="V258" s="60">
        <f t="shared" si="118"/>
        <v>0</v>
      </c>
      <c r="W258" s="60">
        <f t="shared" si="119"/>
        <v>0</v>
      </c>
      <c r="X258" s="60">
        <f t="shared" si="120"/>
        <v>0</v>
      </c>
      <c r="Y258" s="60">
        <f t="shared" si="121"/>
        <v>80000</v>
      </c>
      <c r="Z258" s="60">
        <f t="shared" si="122"/>
        <v>0</v>
      </c>
      <c r="AA258" s="42"/>
      <c r="AB258" s="42"/>
      <c r="AC258" s="60">
        <f t="shared" si="123"/>
        <v>0</v>
      </c>
      <c r="AD258" s="60">
        <f t="shared" si="124"/>
        <v>0</v>
      </c>
      <c r="AE258" s="42"/>
      <c r="AF258" s="42"/>
      <c r="AG258" s="60">
        <f t="shared" si="126"/>
        <v>5</v>
      </c>
      <c r="AH258" s="60">
        <f t="shared" si="125"/>
        <v>0</v>
      </c>
      <c r="AI258" s="19"/>
      <c r="AW258" s="19"/>
      <c r="AX258" s="19"/>
      <c r="AY258" s="19"/>
      <c r="AZ258" s="19"/>
      <c r="BA258" s="19"/>
      <c r="BB258" s="19"/>
      <c r="BC258" s="19"/>
      <c r="BD258" s="19"/>
      <c r="BE258" s="19"/>
    </row>
    <row r="259" spans="1:57" s="19" customFormat="1" x14ac:dyDescent="0.15">
      <c r="B259" s="79" t="str">
        <f t="shared" si="108"/>
        <v/>
      </c>
      <c r="C259" s="85"/>
      <c r="D259" s="75">
        <f>INDEX(节奏总纲!$AM$4:$AM$83,$F259)</f>
        <v>133.875</v>
      </c>
      <c r="E259" s="75">
        <f>求节点(节奏总纲!$P$4:$P$163,节奏总纲!$O$4:$O$163,$D259)</f>
        <v>70.748339784677938</v>
      </c>
      <c r="F259" s="40">
        <v>40</v>
      </c>
      <c r="G259" s="85"/>
      <c r="H259" s="70" t="s">
        <v>720</v>
      </c>
      <c r="I259" s="63"/>
      <c r="J259" s="69"/>
      <c r="K259" s="63"/>
      <c r="L259" s="40"/>
      <c r="M259" s="60">
        <f t="shared" si="109"/>
        <v>50</v>
      </c>
      <c r="N259" s="60">
        <f t="shared" si="110"/>
        <v>50</v>
      </c>
      <c r="O259" s="60">
        <f t="shared" si="111"/>
        <v>0</v>
      </c>
      <c r="P259" s="60">
        <f t="shared" si="112"/>
        <v>0</v>
      </c>
      <c r="Q259" s="60">
        <f t="shared" si="113"/>
        <v>16</v>
      </c>
      <c r="R259" s="60">
        <f t="shared" si="114"/>
        <v>16</v>
      </c>
      <c r="S259" s="60">
        <f t="shared" si="115"/>
        <v>300000</v>
      </c>
      <c r="T259" s="60">
        <f t="shared" si="116"/>
        <v>300000</v>
      </c>
      <c r="U259" s="60">
        <f t="shared" si="117"/>
        <v>0</v>
      </c>
      <c r="V259" s="60">
        <f t="shared" si="118"/>
        <v>0</v>
      </c>
      <c r="W259" s="60">
        <f t="shared" si="119"/>
        <v>0</v>
      </c>
      <c r="X259" s="60">
        <f t="shared" si="120"/>
        <v>0</v>
      </c>
      <c r="Y259" s="60">
        <f t="shared" si="121"/>
        <v>80000</v>
      </c>
      <c r="Z259" s="60">
        <f t="shared" si="122"/>
        <v>80000</v>
      </c>
      <c r="AA259" s="42"/>
      <c r="AB259" s="42"/>
      <c r="AC259" s="60">
        <f t="shared" si="123"/>
        <v>0</v>
      </c>
      <c r="AD259" s="60">
        <f t="shared" si="124"/>
        <v>0</v>
      </c>
      <c r="AE259" s="42"/>
      <c r="AF259" s="42"/>
      <c r="AG259" s="60">
        <f t="shared" si="126"/>
        <v>5</v>
      </c>
      <c r="AH259" s="60">
        <f t="shared" si="125"/>
        <v>5</v>
      </c>
      <c r="AJ259" s="22"/>
    </row>
    <row r="260" spans="1:57" s="19" customFormat="1" x14ac:dyDescent="0.15">
      <c r="B260" s="79" t="str">
        <f t="shared" si="108"/>
        <v/>
      </c>
      <c r="C260" s="85"/>
      <c r="D260" s="75">
        <f>INDEX(节奏总纲!$AM$4:$AM$83,$F260)</f>
        <v>133.875</v>
      </c>
      <c r="E260" s="75">
        <f>求节点(节奏总纲!$P$4:$P$163,节奏总纲!$O$4:$O$163,$D260)</f>
        <v>70.748339784677938</v>
      </c>
      <c r="F260" s="40">
        <v>40</v>
      </c>
      <c r="G260" s="85"/>
      <c r="H260" s="70" t="s">
        <v>454</v>
      </c>
      <c r="I260" s="63"/>
      <c r="J260" s="69"/>
      <c r="K260" s="63"/>
      <c r="L260" s="40"/>
      <c r="M260" s="60">
        <f t="shared" si="109"/>
        <v>50</v>
      </c>
      <c r="N260" s="60">
        <f t="shared" si="110"/>
        <v>50</v>
      </c>
      <c r="O260" s="60">
        <f t="shared" si="111"/>
        <v>0</v>
      </c>
      <c r="P260" s="60">
        <f t="shared" si="112"/>
        <v>0</v>
      </c>
      <c r="Q260" s="60">
        <f t="shared" si="113"/>
        <v>16</v>
      </c>
      <c r="R260" s="60">
        <f t="shared" si="114"/>
        <v>16</v>
      </c>
      <c r="S260" s="60">
        <f t="shared" si="115"/>
        <v>300000</v>
      </c>
      <c r="T260" s="60">
        <f t="shared" si="116"/>
        <v>300000</v>
      </c>
      <c r="U260" s="60">
        <f t="shared" si="117"/>
        <v>0</v>
      </c>
      <c r="V260" s="60">
        <f t="shared" si="118"/>
        <v>0</v>
      </c>
      <c r="W260" s="60">
        <f t="shared" si="119"/>
        <v>0</v>
      </c>
      <c r="X260" s="60">
        <f t="shared" si="120"/>
        <v>0</v>
      </c>
      <c r="Y260" s="60">
        <f t="shared" si="121"/>
        <v>80000</v>
      </c>
      <c r="Z260" s="60">
        <f t="shared" si="122"/>
        <v>80000</v>
      </c>
      <c r="AA260" s="42"/>
      <c r="AB260" s="42"/>
      <c r="AC260" s="60">
        <f t="shared" si="123"/>
        <v>0</v>
      </c>
      <c r="AD260" s="60">
        <f t="shared" si="124"/>
        <v>0</v>
      </c>
      <c r="AE260" s="42"/>
      <c r="AF260" s="42"/>
      <c r="AG260" s="60">
        <f t="shared" si="126"/>
        <v>5</v>
      </c>
      <c r="AH260" s="60">
        <f t="shared" si="125"/>
        <v>5</v>
      </c>
      <c r="AJ260" s="22"/>
    </row>
    <row r="261" spans="1:57" s="19" customFormat="1" x14ac:dyDescent="0.15">
      <c r="B261" s="79">
        <f t="shared" si="108"/>
        <v>3</v>
      </c>
      <c r="C261" s="85"/>
      <c r="D261" s="75">
        <f>INDEX(节奏总纲!$AM$4:$AM$83,$F261)</f>
        <v>155.32539280599755</v>
      </c>
      <c r="E261" s="75">
        <f>求节点(节奏总纲!$P$4:$P$163,节奏总纲!$O$4:$O$163,$D261)</f>
        <v>72.880500265925534</v>
      </c>
      <c r="F261" s="40">
        <v>41</v>
      </c>
      <c r="G261" s="85">
        <v>6</v>
      </c>
      <c r="H261" s="63" t="s">
        <v>455</v>
      </c>
      <c r="I261" s="63"/>
      <c r="J261" s="69"/>
      <c r="K261" s="63"/>
      <c r="L261" s="40"/>
      <c r="M261" s="60">
        <f t="shared" si="109"/>
        <v>50</v>
      </c>
      <c r="N261" s="60">
        <f t="shared" si="110"/>
        <v>50</v>
      </c>
      <c r="O261" s="60">
        <f t="shared" si="111"/>
        <v>0</v>
      </c>
      <c r="P261" s="60">
        <f t="shared" si="112"/>
        <v>0</v>
      </c>
      <c r="Q261" s="60">
        <f t="shared" si="113"/>
        <v>17</v>
      </c>
      <c r="R261" s="60">
        <f t="shared" si="114"/>
        <v>17</v>
      </c>
      <c r="S261" s="60">
        <f t="shared" si="115"/>
        <v>320000</v>
      </c>
      <c r="T261" s="60">
        <f t="shared" si="116"/>
        <v>320000</v>
      </c>
      <c r="U261" s="60">
        <f t="shared" si="117"/>
        <v>0</v>
      </c>
      <c r="V261" s="60">
        <f t="shared" si="118"/>
        <v>0</v>
      </c>
      <c r="W261" s="60">
        <f t="shared" si="119"/>
        <v>0</v>
      </c>
      <c r="X261" s="60">
        <f t="shared" si="120"/>
        <v>0</v>
      </c>
      <c r="Y261" s="60">
        <f t="shared" si="121"/>
        <v>80000</v>
      </c>
      <c r="Z261" s="60">
        <f t="shared" si="122"/>
        <v>80000</v>
      </c>
      <c r="AA261" s="42"/>
      <c r="AB261" s="42"/>
      <c r="AC261" s="60">
        <f t="shared" si="123"/>
        <v>0</v>
      </c>
      <c r="AD261" s="60">
        <f t="shared" si="124"/>
        <v>0</v>
      </c>
      <c r="AE261" s="42"/>
      <c r="AF261" s="42"/>
      <c r="AG261" s="60">
        <f t="shared" si="126"/>
        <v>5</v>
      </c>
      <c r="AH261" s="60">
        <f t="shared" si="125"/>
        <v>5</v>
      </c>
      <c r="AJ261" s="22"/>
    </row>
    <row r="262" spans="1:57" s="19" customFormat="1" x14ac:dyDescent="0.15">
      <c r="B262" s="79" t="str">
        <f t="shared" si="108"/>
        <v/>
      </c>
      <c r="C262" s="85"/>
      <c r="D262" s="75">
        <f>INDEX(节奏总纲!$AM$4:$AM$83,$F262)</f>
        <v>155.32539280599755</v>
      </c>
      <c r="E262" s="75">
        <f>求节点(节奏总纲!$P$4:$P$163,节奏总纲!$O$4:$O$163,$D262)</f>
        <v>72.880500265925534</v>
      </c>
      <c r="F262" s="40">
        <v>41</v>
      </c>
      <c r="G262" s="85"/>
      <c r="H262" s="63" t="s">
        <v>456</v>
      </c>
      <c r="I262" s="63"/>
      <c r="J262" s="69"/>
      <c r="K262" s="63"/>
      <c r="L262" s="40"/>
      <c r="M262" s="60">
        <f t="shared" si="109"/>
        <v>50</v>
      </c>
      <c r="N262" s="60">
        <f t="shared" si="110"/>
        <v>50</v>
      </c>
      <c r="O262" s="60">
        <f t="shared" si="111"/>
        <v>0</v>
      </c>
      <c r="P262" s="60">
        <f t="shared" si="112"/>
        <v>0</v>
      </c>
      <c r="Q262" s="60">
        <f t="shared" si="113"/>
        <v>17</v>
      </c>
      <c r="R262" s="60">
        <f t="shared" si="114"/>
        <v>17</v>
      </c>
      <c r="S262" s="60">
        <f t="shared" si="115"/>
        <v>320000</v>
      </c>
      <c r="T262" s="60">
        <f t="shared" si="116"/>
        <v>320000</v>
      </c>
      <c r="U262" s="60">
        <f t="shared" si="117"/>
        <v>0</v>
      </c>
      <c r="V262" s="60">
        <f t="shared" si="118"/>
        <v>0</v>
      </c>
      <c r="W262" s="60">
        <f t="shared" si="119"/>
        <v>0</v>
      </c>
      <c r="X262" s="60">
        <f t="shared" si="120"/>
        <v>0</v>
      </c>
      <c r="Y262" s="60">
        <f t="shared" si="121"/>
        <v>80000</v>
      </c>
      <c r="Z262" s="60">
        <f t="shared" si="122"/>
        <v>80000</v>
      </c>
      <c r="AA262" s="42"/>
      <c r="AB262" s="42"/>
      <c r="AC262" s="60">
        <f t="shared" si="123"/>
        <v>0</v>
      </c>
      <c r="AD262" s="60">
        <f t="shared" si="124"/>
        <v>0</v>
      </c>
      <c r="AE262" s="42"/>
      <c r="AF262" s="42"/>
      <c r="AG262" s="60">
        <f t="shared" si="126"/>
        <v>5</v>
      </c>
      <c r="AH262" s="60">
        <f t="shared" si="125"/>
        <v>5</v>
      </c>
      <c r="AJ262" s="22"/>
    </row>
    <row r="263" spans="1:57" s="19" customFormat="1" x14ac:dyDescent="0.15">
      <c r="B263" s="79" t="str">
        <f t="shared" si="108"/>
        <v/>
      </c>
      <c r="C263" s="85"/>
      <c r="D263" s="75">
        <f>INDEX(节奏总纲!$AM$4:$AM$83,$F263)</f>
        <v>155.32539280599755</v>
      </c>
      <c r="E263" s="75">
        <f>求节点(节奏总纲!$P$4:$P$163,节奏总纲!$O$4:$O$163,$D263)</f>
        <v>72.880500265925534</v>
      </c>
      <c r="F263" s="40">
        <v>41</v>
      </c>
      <c r="G263" s="85"/>
      <c r="H263" s="70" t="s">
        <v>721</v>
      </c>
      <c r="I263" s="63"/>
      <c r="J263" s="69"/>
      <c r="K263" s="63"/>
      <c r="L263" s="40"/>
      <c r="M263" s="60">
        <f t="shared" si="109"/>
        <v>50</v>
      </c>
      <c r="N263" s="60">
        <f t="shared" si="110"/>
        <v>50</v>
      </c>
      <c r="O263" s="60">
        <f t="shared" si="111"/>
        <v>0</v>
      </c>
      <c r="P263" s="60">
        <f t="shared" si="112"/>
        <v>0</v>
      </c>
      <c r="Q263" s="60">
        <f t="shared" si="113"/>
        <v>17</v>
      </c>
      <c r="R263" s="60">
        <f t="shared" si="114"/>
        <v>17</v>
      </c>
      <c r="S263" s="60">
        <f t="shared" si="115"/>
        <v>320000</v>
      </c>
      <c r="T263" s="60">
        <f t="shared" si="116"/>
        <v>320000</v>
      </c>
      <c r="U263" s="60">
        <f t="shared" si="117"/>
        <v>0</v>
      </c>
      <c r="V263" s="60">
        <f t="shared" si="118"/>
        <v>0</v>
      </c>
      <c r="W263" s="60">
        <f t="shared" si="119"/>
        <v>0</v>
      </c>
      <c r="X263" s="60">
        <f t="shared" si="120"/>
        <v>0</v>
      </c>
      <c r="Y263" s="60">
        <f t="shared" si="121"/>
        <v>80000</v>
      </c>
      <c r="Z263" s="60">
        <f t="shared" si="122"/>
        <v>80000</v>
      </c>
      <c r="AA263" s="42"/>
      <c r="AB263" s="42"/>
      <c r="AC263" s="60">
        <f t="shared" si="123"/>
        <v>0</v>
      </c>
      <c r="AD263" s="60">
        <f t="shared" si="124"/>
        <v>0</v>
      </c>
      <c r="AE263" s="42"/>
      <c r="AF263" s="42"/>
      <c r="AG263" s="60">
        <f t="shared" si="126"/>
        <v>5</v>
      </c>
      <c r="AH263" s="60">
        <f t="shared" si="125"/>
        <v>5</v>
      </c>
      <c r="AJ263" s="22"/>
    </row>
    <row r="264" spans="1:57" s="19" customFormat="1" x14ac:dyDescent="0.15">
      <c r="B264" s="79">
        <f t="shared" si="108"/>
        <v>9</v>
      </c>
      <c r="C264" s="85"/>
      <c r="D264" s="75">
        <f>INDEX(节奏总纲!$AM$4:$AM$83,$F264)</f>
        <v>180.18480345945557</v>
      </c>
      <c r="E264" s="75">
        <f>求节点(节奏总纲!$P$4:$P$163,节奏总纲!$O$4:$O$163,$D264)</f>
        <v>75.012735728019962</v>
      </c>
      <c r="F264" s="40">
        <v>42</v>
      </c>
      <c r="G264" s="85">
        <v>7</v>
      </c>
      <c r="H264" s="70" t="s">
        <v>457</v>
      </c>
      <c r="I264" s="63"/>
      <c r="J264" s="69" t="s">
        <v>626</v>
      </c>
      <c r="K264" s="63"/>
      <c r="L264" s="40"/>
      <c r="M264" s="60">
        <f t="shared" si="109"/>
        <v>50</v>
      </c>
      <c r="N264" s="60">
        <f t="shared" si="110"/>
        <v>100</v>
      </c>
      <c r="O264" s="60">
        <f t="shared" si="111"/>
        <v>0</v>
      </c>
      <c r="P264" s="60">
        <f t="shared" si="112"/>
        <v>0</v>
      </c>
      <c r="Q264" s="60">
        <f t="shared" si="113"/>
        <v>17</v>
      </c>
      <c r="R264" s="60">
        <f t="shared" si="114"/>
        <v>34</v>
      </c>
      <c r="S264" s="60">
        <f t="shared" si="115"/>
        <v>330000</v>
      </c>
      <c r="T264" s="60">
        <f t="shared" si="116"/>
        <v>660000</v>
      </c>
      <c r="U264" s="60">
        <f t="shared" si="117"/>
        <v>0</v>
      </c>
      <c r="V264" s="60">
        <f t="shared" si="118"/>
        <v>0</v>
      </c>
      <c r="W264" s="60">
        <f t="shared" si="119"/>
        <v>0</v>
      </c>
      <c r="X264" s="60">
        <f t="shared" si="120"/>
        <v>0</v>
      </c>
      <c r="Y264" s="60">
        <f t="shared" si="121"/>
        <v>80000</v>
      </c>
      <c r="Z264" s="60">
        <f t="shared" si="122"/>
        <v>160000</v>
      </c>
      <c r="AA264" s="42"/>
      <c r="AB264" s="42"/>
      <c r="AC264" s="60">
        <f t="shared" si="123"/>
        <v>0</v>
      </c>
      <c r="AD264" s="60">
        <f t="shared" si="124"/>
        <v>0</v>
      </c>
      <c r="AE264" s="42"/>
      <c r="AF264" s="42"/>
      <c r="AG264" s="60">
        <f t="shared" si="126"/>
        <v>5</v>
      </c>
      <c r="AH264" s="60">
        <f t="shared" si="125"/>
        <v>10</v>
      </c>
      <c r="AJ264" s="22"/>
    </row>
    <row r="265" spans="1:57" s="19" customFormat="1" x14ac:dyDescent="0.15">
      <c r="B265" s="79" t="str">
        <f t="shared" ref="B265:B328" si="127">IF(F265&lt;&gt;F264,COUNTIFS($F$8:$F$999,$F265,$H$8:$H$999,"&lt;&gt;")+COUNTIFS($F$8:$F$999,$F265,$I$8:$I$999,"&lt;&gt;")+COUNTIFS($F$8:$F$999,$F265,$J$8:$J$999,"&lt;&gt;"),"")</f>
        <v/>
      </c>
      <c r="C265" s="85"/>
      <c r="D265" s="75">
        <f>INDEX(节奏总纲!$AM$4:$AM$83,$F265)</f>
        <v>180.18480345945557</v>
      </c>
      <c r="E265" s="75">
        <f>求节点(节奏总纲!$P$4:$P$163,节奏总纲!$O$4:$O$163,$D265)</f>
        <v>75.012735728019962</v>
      </c>
      <c r="F265" s="40">
        <v>42</v>
      </c>
      <c r="G265" s="85"/>
      <c r="H265" s="63" t="s">
        <v>585</v>
      </c>
      <c r="I265" s="63"/>
      <c r="J265" s="69" t="s">
        <v>661</v>
      </c>
      <c r="K265" s="63"/>
      <c r="L265" s="40"/>
      <c r="M265" s="60">
        <f t="shared" si="109"/>
        <v>50</v>
      </c>
      <c r="N265" s="60">
        <f t="shared" si="110"/>
        <v>100</v>
      </c>
      <c r="O265" s="60">
        <f t="shared" si="111"/>
        <v>0</v>
      </c>
      <c r="P265" s="60">
        <f t="shared" si="112"/>
        <v>0</v>
      </c>
      <c r="Q265" s="60">
        <f t="shared" si="113"/>
        <v>17</v>
      </c>
      <c r="R265" s="60">
        <f t="shared" si="114"/>
        <v>34</v>
      </c>
      <c r="S265" s="60">
        <f t="shared" si="115"/>
        <v>330000</v>
      </c>
      <c r="T265" s="60">
        <f t="shared" si="116"/>
        <v>660000</v>
      </c>
      <c r="U265" s="60">
        <f t="shared" si="117"/>
        <v>0</v>
      </c>
      <c r="V265" s="60">
        <f t="shared" si="118"/>
        <v>0</v>
      </c>
      <c r="W265" s="60">
        <f t="shared" si="119"/>
        <v>0</v>
      </c>
      <c r="X265" s="60">
        <f t="shared" si="120"/>
        <v>0</v>
      </c>
      <c r="Y265" s="60">
        <f t="shared" si="121"/>
        <v>80000</v>
      </c>
      <c r="Z265" s="60">
        <f t="shared" si="122"/>
        <v>160000</v>
      </c>
      <c r="AA265" s="42"/>
      <c r="AB265" s="42"/>
      <c r="AC265" s="60">
        <f t="shared" si="123"/>
        <v>0</v>
      </c>
      <c r="AD265" s="60">
        <f t="shared" si="124"/>
        <v>0</v>
      </c>
      <c r="AE265" s="42"/>
      <c r="AF265" s="42"/>
      <c r="AG265" s="60">
        <f t="shared" si="126"/>
        <v>5</v>
      </c>
      <c r="AH265" s="60">
        <f t="shared" si="125"/>
        <v>10</v>
      </c>
      <c r="AJ265" s="22"/>
    </row>
    <row r="266" spans="1:57" s="19" customFormat="1" x14ac:dyDescent="0.15">
      <c r="B266" s="79" t="str">
        <f t="shared" si="127"/>
        <v/>
      </c>
      <c r="C266" s="85"/>
      <c r="D266" s="75">
        <f>INDEX(节奏总纲!$AM$4:$AM$83,$F266)</f>
        <v>180.18480345945557</v>
      </c>
      <c r="E266" s="75">
        <f>求节点(节奏总纲!$P$4:$P$163,节奏总纲!$O$4:$O$163,$D266)</f>
        <v>75.012735728019962</v>
      </c>
      <c r="F266" s="40">
        <v>42</v>
      </c>
      <c r="G266" s="85"/>
      <c r="H266" s="63" t="s">
        <v>507</v>
      </c>
      <c r="I266" s="63"/>
      <c r="J266" s="69"/>
      <c r="K266" s="63"/>
      <c r="L266" s="40"/>
      <c r="M266" s="60">
        <f t="shared" si="109"/>
        <v>50</v>
      </c>
      <c r="N266" s="60">
        <f t="shared" si="110"/>
        <v>50</v>
      </c>
      <c r="O266" s="60">
        <f t="shared" si="111"/>
        <v>0</v>
      </c>
      <c r="P266" s="60">
        <f t="shared" si="112"/>
        <v>0</v>
      </c>
      <c r="Q266" s="60">
        <f t="shared" si="113"/>
        <v>17</v>
      </c>
      <c r="R266" s="60">
        <f t="shared" si="114"/>
        <v>17</v>
      </c>
      <c r="S266" s="60">
        <f t="shared" si="115"/>
        <v>330000</v>
      </c>
      <c r="T266" s="60">
        <f t="shared" si="116"/>
        <v>330000</v>
      </c>
      <c r="U266" s="60">
        <f t="shared" si="117"/>
        <v>0</v>
      </c>
      <c r="V266" s="60">
        <f t="shared" si="118"/>
        <v>0</v>
      </c>
      <c r="W266" s="60">
        <f t="shared" si="119"/>
        <v>0</v>
      </c>
      <c r="X266" s="60">
        <f t="shared" si="120"/>
        <v>0</v>
      </c>
      <c r="Y266" s="60">
        <f t="shared" si="121"/>
        <v>80000</v>
      </c>
      <c r="Z266" s="60">
        <f t="shared" si="122"/>
        <v>80000</v>
      </c>
      <c r="AA266" s="42"/>
      <c r="AB266" s="42"/>
      <c r="AC266" s="60">
        <f t="shared" si="123"/>
        <v>0</v>
      </c>
      <c r="AD266" s="60">
        <f t="shared" si="124"/>
        <v>0</v>
      </c>
      <c r="AE266" s="42"/>
      <c r="AF266" s="42"/>
      <c r="AG266" s="60">
        <f t="shared" si="126"/>
        <v>5</v>
      </c>
      <c r="AH266" s="60">
        <f t="shared" si="125"/>
        <v>5</v>
      </c>
      <c r="AJ266" s="22"/>
    </row>
    <row r="267" spans="1:57" s="19" customFormat="1" x14ac:dyDescent="0.15">
      <c r="B267" s="79" t="str">
        <f t="shared" si="127"/>
        <v/>
      </c>
      <c r="C267" s="85"/>
      <c r="D267" s="75">
        <f>INDEX(节奏总纲!$AM$4:$AM$83,$F267)</f>
        <v>180.18480345945557</v>
      </c>
      <c r="E267" s="75">
        <f>求节点(节奏总纲!$P$4:$P$163,节奏总纲!$O$4:$O$163,$D267)</f>
        <v>75.012735728019962</v>
      </c>
      <c r="F267" s="40">
        <v>42</v>
      </c>
      <c r="G267" s="85"/>
      <c r="H267" s="63" t="s">
        <v>593</v>
      </c>
      <c r="I267" s="63"/>
      <c r="J267" s="69"/>
      <c r="K267" s="63"/>
      <c r="L267" s="40"/>
      <c r="M267" s="60">
        <f t="shared" si="109"/>
        <v>50</v>
      </c>
      <c r="N267" s="60">
        <f t="shared" si="110"/>
        <v>50</v>
      </c>
      <c r="O267" s="60">
        <f t="shared" si="111"/>
        <v>0</v>
      </c>
      <c r="P267" s="60">
        <f t="shared" si="112"/>
        <v>0</v>
      </c>
      <c r="Q267" s="60">
        <f t="shared" si="113"/>
        <v>17</v>
      </c>
      <c r="R267" s="60">
        <f t="shared" si="114"/>
        <v>17</v>
      </c>
      <c r="S267" s="60">
        <f t="shared" si="115"/>
        <v>330000</v>
      </c>
      <c r="T267" s="60">
        <f t="shared" si="116"/>
        <v>330000</v>
      </c>
      <c r="U267" s="60">
        <f t="shared" si="117"/>
        <v>0</v>
      </c>
      <c r="V267" s="60">
        <f t="shared" si="118"/>
        <v>0</v>
      </c>
      <c r="W267" s="60">
        <f t="shared" si="119"/>
        <v>0</v>
      </c>
      <c r="X267" s="60">
        <f t="shared" si="120"/>
        <v>0</v>
      </c>
      <c r="Y267" s="60">
        <f t="shared" si="121"/>
        <v>80000</v>
      </c>
      <c r="Z267" s="60">
        <f t="shared" si="122"/>
        <v>80000</v>
      </c>
      <c r="AA267" s="42"/>
      <c r="AB267" s="42"/>
      <c r="AC267" s="60">
        <f t="shared" si="123"/>
        <v>0</v>
      </c>
      <c r="AD267" s="60">
        <f t="shared" si="124"/>
        <v>0</v>
      </c>
      <c r="AE267" s="42"/>
      <c r="AF267" s="42"/>
      <c r="AG267" s="60">
        <f t="shared" si="126"/>
        <v>5</v>
      </c>
      <c r="AH267" s="60">
        <f t="shared" si="125"/>
        <v>5</v>
      </c>
      <c r="AJ267" s="22"/>
    </row>
    <row r="268" spans="1:57" s="19" customFormat="1" x14ac:dyDescent="0.15">
      <c r="B268" s="79" t="str">
        <f t="shared" si="127"/>
        <v/>
      </c>
      <c r="C268" s="85"/>
      <c r="D268" s="75">
        <f>INDEX(节奏总纲!$AM$4:$AM$83,$F268)</f>
        <v>180.18480345945557</v>
      </c>
      <c r="E268" s="75">
        <f>求节点(节奏总纲!$P$4:$P$163,节奏总纲!$O$4:$O$163,$D268)</f>
        <v>75.012735728019962</v>
      </c>
      <c r="F268" s="40">
        <v>42</v>
      </c>
      <c r="G268" s="85"/>
      <c r="H268" s="65" t="s">
        <v>647</v>
      </c>
      <c r="I268" s="63"/>
      <c r="J268" s="69"/>
      <c r="K268" s="63"/>
      <c r="L268" s="40"/>
      <c r="M268" s="60">
        <f t="shared" si="109"/>
        <v>50</v>
      </c>
      <c r="N268" s="60">
        <f t="shared" si="110"/>
        <v>50</v>
      </c>
      <c r="O268" s="60">
        <f t="shared" si="111"/>
        <v>0</v>
      </c>
      <c r="P268" s="60">
        <f t="shared" si="112"/>
        <v>0</v>
      </c>
      <c r="Q268" s="60">
        <f t="shared" si="113"/>
        <v>17</v>
      </c>
      <c r="R268" s="60">
        <f t="shared" si="114"/>
        <v>17</v>
      </c>
      <c r="S268" s="60">
        <f t="shared" si="115"/>
        <v>330000</v>
      </c>
      <c r="T268" s="60">
        <f t="shared" si="116"/>
        <v>330000</v>
      </c>
      <c r="U268" s="60">
        <f t="shared" si="117"/>
        <v>0</v>
      </c>
      <c r="V268" s="60">
        <f t="shared" si="118"/>
        <v>0</v>
      </c>
      <c r="W268" s="60">
        <f t="shared" si="119"/>
        <v>0</v>
      </c>
      <c r="X268" s="60">
        <f t="shared" si="120"/>
        <v>0</v>
      </c>
      <c r="Y268" s="60">
        <f t="shared" si="121"/>
        <v>80000</v>
      </c>
      <c r="Z268" s="60">
        <f t="shared" si="122"/>
        <v>80000</v>
      </c>
      <c r="AA268" s="42"/>
      <c r="AB268" s="42"/>
      <c r="AC268" s="60">
        <f t="shared" si="123"/>
        <v>0</v>
      </c>
      <c r="AD268" s="60">
        <f t="shared" si="124"/>
        <v>0</v>
      </c>
      <c r="AE268" s="42"/>
      <c r="AF268" s="42"/>
      <c r="AG268" s="60">
        <f t="shared" si="126"/>
        <v>5</v>
      </c>
      <c r="AH268" s="60">
        <f t="shared" si="125"/>
        <v>5</v>
      </c>
      <c r="AJ268" s="22"/>
    </row>
    <row r="269" spans="1:57" s="19" customFormat="1" x14ac:dyDescent="0.15">
      <c r="B269" s="79" t="str">
        <f t="shared" si="127"/>
        <v/>
      </c>
      <c r="C269" s="85"/>
      <c r="D269" s="75">
        <f>INDEX(节奏总纲!$AM$4:$AM$83,$F269)</f>
        <v>180.18480345945557</v>
      </c>
      <c r="E269" s="75">
        <f>求节点(节奏总纲!$P$4:$P$163,节奏总纲!$O$4:$O$163,$D269)</f>
        <v>75.012735728019962</v>
      </c>
      <c r="F269" s="40">
        <v>42</v>
      </c>
      <c r="G269" s="85"/>
      <c r="H269" s="65" t="s">
        <v>452</v>
      </c>
      <c r="I269" s="63"/>
      <c r="J269" s="69"/>
      <c r="K269" s="63"/>
      <c r="L269" s="40"/>
      <c r="M269" s="60">
        <f t="shared" ref="M269:M334" si="128">ROUNDUP((M$2*$F269^M$1+M$3)/M$4,0)*M$4</f>
        <v>50</v>
      </c>
      <c r="N269" s="60">
        <f t="shared" ref="N269:N309" si="129">M269*COUNTA($H269:$K269)</f>
        <v>50</v>
      </c>
      <c r="O269" s="60">
        <f t="shared" ref="O269:O334" si="130">ROUNDUP((O$2*$F269^O$1+O$3)/O$4,0)*O$4</f>
        <v>0</v>
      </c>
      <c r="P269" s="60">
        <f t="shared" ref="P269:P309" si="131">O269*COUNTA($H269:$K269)</f>
        <v>0</v>
      </c>
      <c r="Q269" s="60">
        <f t="shared" ref="Q269:Q334" si="132">ROUNDUP((Q$2*$F269^Q$1+Q$3)/Q$4,0)*Q$4</f>
        <v>17</v>
      </c>
      <c r="R269" s="60">
        <f t="shared" ref="R269:R309" si="133">Q269*COUNTA($H269:$K269)</f>
        <v>17</v>
      </c>
      <c r="S269" s="60">
        <f t="shared" ref="S269:S334" si="134">ROUNDUP((S$2*$F269^S$1+S$3)/S$4,0)*S$4</f>
        <v>330000</v>
      </c>
      <c r="T269" s="60">
        <f t="shared" ref="T269:T309" si="135">S269*COUNTA($H269:$K269)</f>
        <v>330000</v>
      </c>
      <c r="U269" s="60">
        <f t="shared" ref="U269:U334" si="136">ROUNDUP((U$2*$F269^U$1+U$3)/U$4,0)*U$4</f>
        <v>0</v>
      </c>
      <c r="V269" s="60">
        <f t="shared" ref="V269:V309" si="137">U269*COUNTA($H269:$K269)</f>
        <v>0</v>
      </c>
      <c r="W269" s="60">
        <f t="shared" ref="W269:W309" si="138">IF(F269&lt;28,0,ROUNDUP((W$2*$F269^W$1+W$3)/W$4,0)*W$4)</f>
        <v>0</v>
      </c>
      <c r="X269" s="60">
        <f t="shared" ref="X269:X309" si="139">W269*COUNTA($H269:$K269)</f>
        <v>0</v>
      </c>
      <c r="Y269" s="60">
        <f t="shared" ref="Y269:Y309" si="140">IF(F269&lt;28,0,ROUNDUP((Y$2*$F269^Y$1+Y$3)/Y$4,0)*Y$4)</f>
        <v>80000</v>
      </c>
      <c r="Z269" s="60">
        <f t="shared" ref="Z269:Z309" si="141">Y269*COUNTA($H269:$K269)</f>
        <v>80000</v>
      </c>
      <c r="AA269" s="42"/>
      <c r="AB269" s="42"/>
      <c r="AC269" s="60">
        <f t="shared" ref="AC269:AC332" si="142">ROUNDUP((AC$2*$F269^AC$1+AC$3)/AC$4,0)*AC$4</f>
        <v>0</v>
      </c>
      <c r="AD269" s="60">
        <f t="shared" ref="AD269:AD309" si="143">AC269*COUNTA($H269:$K269)</f>
        <v>0</v>
      </c>
      <c r="AE269" s="42"/>
      <c r="AF269" s="42"/>
      <c r="AG269" s="60">
        <f t="shared" si="126"/>
        <v>5</v>
      </c>
      <c r="AH269" s="60">
        <f t="shared" ref="AH269:AH309" si="144">AG269*COUNTA($H269:$K269)</f>
        <v>5</v>
      </c>
      <c r="AJ269" s="22"/>
    </row>
    <row r="270" spans="1:57" s="19" customFormat="1" x14ac:dyDescent="0.15">
      <c r="B270" s="79" t="str">
        <f t="shared" si="127"/>
        <v/>
      </c>
      <c r="C270" s="85"/>
      <c r="D270" s="75">
        <f>INDEX(节奏总纲!$AM$4:$AM$83,$F270)</f>
        <v>180.18480345945557</v>
      </c>
      <c r="E270" s="75">
        <f>求节点(节奏总纲!$P$4:$P$163,节奏总纲!$O$4:$O$163,$D270)</f>
        <v>75.012735728019962</v>
      </c>
      <c r="F270" s="40">
        <v>42</v>
      </c>
      <c r="G270" s="85"/>
      <c r="H270" s="63" t="s">
        <v>458</v>
      </c>
      <c r="I270" s="63"/>
      <c r="J270" s="69"/>
      <c r="K270" s="63"/>
      <c r="L270" s="40"/>
      <c r="M270" s="60">
        <f t="shared" si="128"/>
        <v>50</v>
      </c>
      <c r="N270" s="60">
        <f t="shared" si="129"/>
        <v>50</v>
      </c>
      <c r="O270" s="60">
        <f t="shared" si="130"/>
        <v>0</v>
      </c>
      <c r="P270" s="60">
        <f t="shared" si="131"/>
        <v>0</v>
      </c>
      <c r="Q270" s="60">
        <f t="shared" si="132"/>
        <v>17</v>
      </c>
      <c r="R270" s="60">
        <f t="shared" si="133"/>
        <v>17</v>
      </c>
      <c r="S270" s="60">
        <f t="shared" si="134"/>
        <v>330000</v>
      </c>
      <c r="T270" s="60">
        <f t="shared" si="135"/>
        <v>330000</v>
      </c>
      <c r="U270" s="60">
        <f t="shared" si="136"/>
        <v>0</v>
      </c>
      <c r="V270" s="60">
        <f t="shared" si="137"/>
        <v>0</v>
      </c>
      <c r="W270" s="60">
        <f t="shared" si="138"/>
        <v>0</v>
      </c>
      <c r="X270" s="60">
        <f t="shared" si="139"/>
        <v>0</v>
      </c>
      <c r="Y270" s="60">
        <f t="shared" si="140"/>
        <v>80000</v>
      </c>
      <c r="Z270" s="60">
        <f t="shared" si="141"/>
        <v>80000</v>
      </c>
      <c r="AA270" s="42"/>
      <c r="AB270" s="42"/>
      <c r="AC270" s="60">
        <f t="shared" si="142"/>
        <v>0</v>
      </c>
      <c r="AD270" s="60">
        <f t="shared" si="143"/>
        <v>0</v>
      </c>
      <c r="AE270" s="42"/>
      <c r="AF270" s="42"/>
      <c r="AG270" s="60">
        <f t="shared" si="126"/>
        <v>5</v>
      </c>
      <c r="AH270" s="60">
        <f t="shared" si="144"/>
        <v>5</v>
      </c>
      <c r="AJ270" s="22"/>
    </row>
    <row r="271" spans="1:57" s="19" customFormat="1" x14ac:dyDescent="0.15">
      <c r="B271" s="79">
        <f t="shared" si="127"/>
        <v>3</v>
      </c>
      <c r="C271" s="85"/>
      <c r="D271" s="75">
        <f>INDEX(节奏总纲!$AM$4:$AM$83,$F271)</f>
        <v>208.99265815439742</v>
      </c>
      <c r="E271" s="75">
        <f>求节点(节奏总纲!$P$4:$P$163,节奏总纲!$O$4:$O$163,$D271)</f>
        <v>77.137764615612369</v>
      </c>
      <c r="F271" s="40">
        <v>43</v>
      </c>
      <c r="G271" s="85">
        <v>8</v>
      </c>
      <c r="H271" s="63" t="s">
        <v>459</v>
      </c>
      <c r="I271" s="63"/>
      <c r="J271" s="69"/>
      <c r="K271" s="63"/>
      <c r="L271" s="40"/>
      <c r="M271" s="60">
        <f t="shared" si="128"/>
        <v>50</v>
      </c>
      <c r="N271" s="60">
        <f t="shared" si="129"/>
        <v>50</v>
      </c>
      <c r="O271" s="60">
        <f t="shared" si="130"/>
        <v>0</v>
      </c>
      <c r="P271" s="60">
        <f t="shared" si="131"/>
        <v>0</v>
      </c>
      <c r="Q271" s="60">
        <f t="shared" si="132"/>
        <v>17</v>
      </c>
      <c r="R271" s="60">
        <f t="shared" si="133"/>
        <v>17</v>
      </c>
      <c r="S271" s="60">
        <f t="shared" si="134"/>
        <v>340000</v>
      </c>
      <c r="T271" s="60">
        <f t="shared" si="135"/>
        <v>340000</v>
      </c>
      <c r="U271" s="60">
        <f t="shared" si="136"/>
        <v>0</v>
      </c>
      <c r="V271" s="60">
        <f t="shared" si="137"/>
        <v>0</v>
      </c>
      <c r="W271" s="60">
        <f t="shared" si="138"/>
        <v>0</v>
      </c>
      <c r="X271" s="60">
        <f t="shared" si="139"/>
        <v>0</v>
      </c>
      <c r="Y271" s="60">
        <f t="shared" si="140"/>
        <v>90000</v>
      </c>
      <c r="Z271" s="60">
        <f t="shared" si="141"/>
        <v>90000</v>
      </c>
      <c r="AA271" s="42"/>
      <c r="AB271" s="42"/>
      <c r="AC271" s="60">
        <f t="shared" si="142"/>
        <v>0</v>
      </c>
      <c r="AD271" s="60">
        <f t="shared" si="143"/>
        <v>0</v>
      </c>
      <c r="AE271" s="42"/>
      <c r="AF271" s="42"/>
      <c r="AG271" s="60">
        <f t="shared" si="126"/>
        <v>5</v>
      </c>
      <c r="AH271" s="60">
        <f t="shared" si="144"/>
        <v>5</v>
      </c>
      <c r="AJ271" s="22"/>
    </row>
    <row r="272" spans="1:57" s="19" customFormat="1" x14ac:dyDescent="0.15">
      <c r="B272" s="79" t="str">
        <f t="shared" si="127"/>
        <v/>
      </c>
      <c r="C272" s="85"/>
      <c r="D272" s="75">
        <f>INDEX(节奏总纲!$AM$4:$AM$83,$F272)</f>
        <v>208.99265815439742</v>
      </c>
      <c r="E272" s="75">
        <f>求节点(节奏总纲!$P$4:$P$163,节奏总纲!$O$4:$O$163,$D272)</f>
        <v>77.137764615612369</v>
      </c>
      <c r="F272" s="40">
        <v>43</v>
      </c>
      <c r="G272" s="85"/>
      <c r="H272" s="63" t="s">
        <v>600</v>
      </c>
      <c r="I272" s="63"/>
      <c r="J272" s="69"/>
      <c r="K272" s="63"/>
      <c r="L272" s="40"/>
      <c r="M272" s="60">
        <f t="shared" si="128"/>
        <v>50</v>
      </c>
      <c r="N272" s="60">
        <f t="shared" si="129"/>
        <v>50</v>
      </c>
      <c r="O272" s="60">
        <f t="shared" si="130"/>
        <v>0</v>
      </c>
      <c r="P272" s="60">
        <f t="shared" si="131"/>
        <v>0</v>
      </c>
      <c r="Q272" s="60">
        <f t="shared" si="132"/>
        <v>17</v>
      </c>
      <c r="R272" s="60">
        <f t="shared" si="133"/>
        <v>17</v>
      </c>
      <c r="S272" s="60">
        <f t="shared" si="134"/>
        <v>340000</v>
      </c>
      <c r="T272" s="60">
        <f t="shared" si="135"/>
        <v>340000</v>
      </c>
      <c r="U272" s="60">
        <f t="shared" si="136"/>
        <v>0</v>
      </c>
      <c r="V272" s="60">
        <f t="shared" si="137"/>
        <v>0</v>
      </c>
      <c r="W272" s="60">
        <f t="shared" si="138"/>
        <v>0</v>
      </c>
      <c r="X272" s="60">
        <f t="shared" si="139"/>
        <v>0</v>
      </c>
      <c r="Y272" s="60">
        <f t="shared" si="140"/>
        <v>90000</v>
      </c>
      <c r="Z272" s="60">
        <f t="shared" si="141"/>
        <v>90000</v>
      </c>
      <c r="AA272" s="42"/>
      <c r="AB272" s="42"/>
      <c r="AC272" s="60">
        <f t="shared" si="142"/>
        <v>0</v>
      </c>
      <c r="AD272" s="60">
        <f t="shared" si="143"/>
        <v>0</v>
      </c>
      <c r="AE272" s="42"/>
      <c r="AF272" s="42"/>
      <c r="AG272" s="60">
        <f t="shared" si="126"/>
        <v>5</v>
      </c>
      <c r="AH272" s="60">
        <f t="shared" si="144"/>
        <v>5</v>
      </c>
      <c r="AJ272" s="22"/>
    </row>
    <row r="273" spans="2:36" s="19" customFormat="1" x14ac:dyDescent="0.15">
      <c r="B273" s="79" t="str">
        <f t="shared" si="127"/>
        <v/>
      </c>
      <c r="C273" s="85"/>
      <c r="D273" s="75">
        <f>INDEX(节奏总纲!$AM$4:$AM$83,$F273)</f>
        <v>208.99265815439742</v>
      </c>
      <c r="E273" s="75">
        <f>求节点(节奏总纲!$P$4:$P$163,节奏总纲!$O$4:$O$163,$D273)</f>
        <v>77.137764615612369</v>
      </c>
      <c r="F273" s="40">
        <v>43</v>
      </c>
      <c r="G273" s="85"/>
      <c r="H273" s="70" t="s">
        <v>722</v>
      </c>
      <c r="I273" s="63"/>
      <c r="J273" s="69"/>
      <c r="K273" s="63"/>
      <c r="L273" s="40"/>
      <c r="M273" s="60">
        <f t="shared" si="128"/>
        <v>50</v>
      </c>
      <c r="N273" s="60">
        <f t="shared" si="129"/>
        <v>50</v>
      </c>
      <c r="O273" s="60">
        <f t="shared" si="130"/>
        <v>0</v>
      </c>
      <c r="P273" s="60">
        <f t="shared" si="131"/>
        <v>0</v>
      </c>
      <c r="Q273" s="60">
        <f t="shared" si="132"/>
        <v>17</v>
      </c>
      <c r="R273" s="60">
        <f t="shared" si="133"/>
        <v>17</v>
      </c>
      <c r="S273" s="60">
        <f t="shared" si="134"/>
        <v>340000</v>
      </c>
      <c r="T273" s="60">
        <f t="shared" si="135"/>
        <v>340000</v>
      </c>
      <c r="U273" s="60">
        <f t="shared" si="136"/>
        <v>0</v>
      </c>
      <c r="V273" s="60">
        <f t="shared" si="137"/>
        <v>0</v>
      </c>
      <c r="W273" s="60">
        <f t="shared" si="138"/>
        <v>0</v>
      </c>
      <c r="X273" s="60">
        <f t="shared" si="139"/>
        <v>0</v>
      </c>
      <c r="Y273" s="60">
        <f t="shared" si="140"/>
        <v>90000</v>
      </c>
      <c r="Z273" s="60">
        <f t="shared" si="141"/>
        <v>90000</v>
      </c>
      <c r="AA273" s="42"/>
      <c r="AB273" s="42"/>
      <c r="AC273" s="60">
        <f t="shared" si="142"/>
        <v>0</v>
      </c>
      <c r="AD273" s="60">
        <f t="shared" si="143"/>
        <v>0</v>
      </c>
      <c r="AE273" s="42"/>
      <c r="AF273" s="42"/>
      <c r="AG273" s="60">
        <f t="shared" si="126"/>
        <v>5</v>
      </c>
      <c r="AH273" s="60">
        <f t="shared" si="144"/>
        <v>5</v>
      </c>
      <c r="AJ273" s="22"/>
    </row>
    <row r="274" spans="2:36" s="19" customFormat="1" x14ac:dyDescent="0.15">
      <c r="B274" s="79">
        <f t="shared" si="127"/>
        <v>6</v>
      </c>
      <c r="C274" s="85"/>
      <c r="D274" s="75">
        <f>INDEX(节奏总纲!$AM$4:$AM$83,$F274)</f>
        <v>242.37342918215046</v>
      </c>
      <c r="E274" s="75">
        <f>求节点(节奏总纲!$P$4:$P$163,节奏总纲!$O$4:$O$163,$D274)</f>
        <v>79.263479982320931</v>
      </c>
      <c r="F274" s="40">
        <v>44</v>
      </c>
      <c r="G274" s="85">
        <v>9</v>
      </c>
      <c r="H274" s="63" t="s">
        <v>460</v>
      </c>
      <c r="I274" s="63"/>
      <c r="J274" s="69"/>
      <c r="K274" s="63"/>
      <c r="L274" s="40"/>
      <c r="M274" s="60">
        <f t="shared" si="128"/>
        <v>50</v>
      </c>
      <c r="N274" s="60">
        <f t="shared" si="129"/>
        <v>50</v>
      </c>
      <c r="O274" s="60">
        <f t="shared" si="130"/>
        <v>0</v>
      </c>
      <c r="P274" s="60">
        <f t="shared" si="131"/>
        <v>0</v>
      </c>
      <c r="Q274" s="60">
        <f t="shared" si="132"/>
        <v>17</v>
      </c>
      <c r="R274" s="60">
        <f t="shared" si="133"/>
        <v>17</v>
      </c>
      <c r="S274" s="60">
        <f t="shared" si="134"/>
        <v>350000</v>
      </c>
      <c r="T274" s="60">
        <f t="shared" si="135"/>
        <v>350000</v>
      </c>
      <c r="U274" s="60">
        <f t="shared" si="136"/>
        <v>0</v>
      </c>
      <c r="V274" s="60">
        <f t="shared" si="137"/>
        <v>0</v>
      </c>
      <c r="W274" s="60">
        <f t="shared" si="138"/>
        <v>0</v>
      </c>
      <c r="X274" s="60">
        <f t="shared" si="139"/>
        <v>0</v>
      </c>
      <c r="Y274" s="60">
        <f t="shared" si="140"/>
        <v>90000</v>
      </c>
      <c r="Z274" s="60">
        <f t="shared" si="141"/>
        <v>90000</v>
      </c>
      <c r="AA274" s="42"/>
      <c r="AB274" s="42"/>
      <c r="AC274" s="60">
        <f t="shared" si="142"/>
        <v>0</v>
      </c>
      <c r="AD274" s="60">
        <f t="shared" si="143"/>
        <v>0</v>
      </c>
      <c r="AE274" s="42"/>
      <c r="AF274" s="42"/>
      <c r="AG274" s="60">
        <f t="shared" si="126"/>
        <v>5</v>
      </c>
      <c r="AH274" s="60">
        <f t="shared" si="144"/>
        <v>5</v>
      </c>
      <c r="AJ274" s="22"/>
    </row>
    <row r="275" spans="2:36" s="19" customFormat="1" x14ac:dyDescent="0.15">
      <c r="B275" s="79" t="str">
        <f t="shared" si="127"/>
        <v/>
      </c>
      <c r="C275" s="85"/>
      <c r="D275" s="75">
        <f>INDEX(节奏总纲!$AM$4:$AM$83,$F275)</f>
        <v>242.37342918215046</v>
      </c>
      <c r="E275" s="75">
        <f>求节点(节奏总纲!$P$4:$P$163,节奏总纲!$O$4:$O$163,$D275)</f>
        <v>79.263479982320931</v>
      </c>
      <c r="F275" s="40">
        <v>44</v>
      </c>
      <c r="G275" s="85"/>
      <c r="H275" s="70" t="s">
        <v>723</v>
      </c>
      <c r="I275" s="63"/>
      <c r="J275" s="69"/>
      <c r="K275" s="63"/>
      <c r="L275" s="40"/>
      <c r="M275" s="60">
        <f t="shared" si="128"/>
        <v>50</v>
      </c>
      <c r="N275" s="60">
        <f t="shared" si="129"/>
        <v>50</v>
      </c>
      <c r="O275" s="60">
        <f t="shared" si="130"/>
        <v>0</v>
      </c>
      <c r="P275" s="60">
        <f t="shared" si="131"/>
        <v>0</v>
      </c>
      <c r="Q275" s="60">
        <f t="shared" si="132"/>
        <v>17</v>
      </c>
      <c r="R275" s="60">
        <f t="shared" si="133"/>
        <v>17</v>
      </c>
      <c r="S275" s="60">
        <f t="shared" si="134"/>
        <v>350000</v>
      </c>
      <c r="T275" s="60">
        <f t="shared" si="135"/>
        <v>350000</v>
      </c>
      <c r="U275" s="60">
        <f t="shared" si="136"/>
        <v>0</v>
      </c>
      <c r="V275" s="60">
        <f t="shared" si="137"/>
        <v>0</v>
      </c>
      <c r="W275" s="60">
        <f t="shared" si="138"/>
        <v>0</v>
      </c>
      <c r="X275" s="60">
        <f t="shared" si="139"/>
        <v>0</v>
      </c>
      <c r="Y275" s="60">
        <f t="shared" si="140"/>
        <v>90000</v>
      </c>
      <c r="Z275" s="60">
        <f t="shared" si="141"/>
        <v>90000</v>
      </c>
      <c r="AA275" s="42"/>
      <c r="AB275" s="42"/>
      <c r="AC275" s="60">
        <f t="shared" si="142"/>
        <v>0</v>
      </c>
      <c r="AD275" s="60">
        <f t="shared" si="143"/>
        <v>0</v>
      </c>
      <c r="AE275" s="42"/>
      <c r="AF275" s="42"/>
      <c r="AG275" s="60">
        <f t="shared" si="126"/>
        <v>5</v>
      </c>
      <c r="AH275" s="60">
        <f t="shared" si="144"/>
        <v>5</v>
      </c>
      <c r="AJ275" s="22"/>
    </row>
    <row r="276" spans="2:36" s="19" customFormat="1" x14ac:dyDescent="0.15">
      <c r="B276" s="79" t="str">
        <f t="shared" si="127"/>
        <v/>
      </c>
      <c r="C276" s="85"/>
      <c r="D276" s="75">
        <f>INDEX(节奏总纲!$AM$4:$AM$83,$F276)</f>
        <v>242.37342918215046</v>
      </c>
      <c r="E276" s="75">
        <f>求节点(节奏总纲!$P$4:$P$163,节奏总纲!$O$4:$O$163,$D276)</f>
        <v>79.263479982320931</v>
      </c>
      <c r="F276" s="40">
        <v>44</v>
      </c>
      <c r="G276" s="85"/>
      <c r="H276" s="70" t="s">
        <v>508</v>
      </c>
      <c r="I276" s="63"/>
      <c r="J276" s="69"/>
      <c r="K276" s="63"/>
      <c r="L276" s="40"/>
      <c r="M276" s="60">
        <f t="shared" si="128"/>
        <v>50</v>
      </c>
      <c r="N276" s="60">
        <f t="shared" si="129"/>
        <v>50</v>
      </c>
      <c r="O276" s="60">
        <f t="shared" si="130"/>
        <v>0</v>
      </c>
      <c r="P276" s="60">
        <f t="shared" si="131"/>
        <v>0</v>
      </c>
      <c r="Q276" s="60">
        <f t="shared" si="132"/>
        <v>17</v>
      </c>
      <c r="R276" s="60">
        <f t="shared" si="133"/>
        <v>17</v>
      </c>
      <c r="S276" s="60">
        <f t="shared" si="134"/>
        <v>350000</v>
      </c>
      <c r="T276" s="60">
        <f t="shared" si="135"/>
        <v>350000</v>
      </c>
      <c r="U276" s="60">
        <f t="shared" si="136"/>
        <v>0</v>
      </c>
      <c r="V276" s="60">
        <f t="shared" si="137"/>
        <v>0</v>
      </c>
      <c r="W276" s="60">
        <f t="shared" si="138"/>
        <v>0</v>
      </c>
      <c r="X276" s="60">
        <f t="shared" si="139"/>
        <v>0</v>
      </c>
      <c r="Y276" s="60">
        <f t="shared" si="140"/>
        <v>90000</v>
      </c>
      <c r="Z276" s="60">
        <f t="shared" si="141"/>
        <v>90000</v>
      </c>
      <c r="AA276" s="42"/>
      <c r="AB276" s="42"/>
      <c r="AC276" s="60">
        <f t="shared" si="142"/>
        <v>0</v>
      </c>
      <c r="AD276" s="60">
        <f t="shared" si="143"/>
        <v>0</v>
      </c>
      <c r="AE276" s="42"/>
      <c r="AF276" s="42"/>
      <c r="AG276" s="60">
        <f t="shared" si="126"/>
        <v>5</v>
      </c>
      <c r="AH276" s="60">
        <f t="shared" si="144"/>
        <v>5</v>
      </c>
      <c r="AJ276" s="22"/>
    </row>
    <row r="277" spans="2:36" s="19" customFormat="1" x14ac:dyDescent="0.15">
      <c r="B277" s="79" t="str">
        <f t="shared" si="127"/>
        <v/>
      </c>
      <c r="C277" s="85"/>
      <c r="D277" s="75">
        <f>INDEX(节奏总纲!$AM$4:$AM$83,$F277)</f>
        <v>242.37342918215046</v>
      </c>
      <c r="E277" s="75">
        <f>求节点(节奏总纲!$P$4:$P$163,节奏总纲!$O$4:$O$163,$D277)</f>
        <v>79.263479982320931</v>
      </c>
      <c r="F277" s="40">
        <v>44</v>
      </c>
      <c r="G277" s="85"/>
      <c r="H277" s="70" t="s">
        <v>724</v>
      </c>
      <c r="I277" s="63"/>
      <c r="J277" s="69"/>
      <c r="K277" s="63"/>
      <c r="L277" s="40"/>
      <c r="M277" s="60">
        <f t="shared" si="128"/>
        <v>50</v>
      </c>
      <c r="N277" s="60">
        <f t="shared" si="129"/>
        <v>50</v>
      </c>
      <c r="O277" s="60">
        <f t="shared" si="130"/>
        <v>0</v>
      </c>
      <c r="P277" s="60">
        <f t="shared" si="131"/>
        <v>0</v>
      </c>
      <c r="Q277" s="60">
        <f t="shared" si="132"/>
        <v>17</v>
      </c>
      <c r="R277" s="60">
        <f t="shared" si="133"/>
        <v>17</v>
      </c>
      <c r="S277" s="60">
        <f t="shared" si="134"/>
        <v>350000</v>
      </c>
      <c r="T277" s="60">
        <f t="shared" si="135"/>
        <v>350000</v>
      </c>
      <c r="U277" s="60">
        <f t="shared" si="136"/>
        <v>0</v>
      </c>
      <c r="V277" s="60">
        <f t="shared" si="137"/>
        <v>0</v>
      </c>
      <c r="W277" s="60">
        <f t="shared" si="138"/>
        <v>0</v>
      </c>
      <c r="X277" s="60">
        <f t="shared" si="139"/>
        <v>0</v>
      </c>
      <c r="Y277" s="60">
        <f t="shared" si="140"/>
        <v>90000</v>
      </c>
      <c r="Z277" s="60">
        <f t="shared" si="141"/>
        <v>90000</v>
      </c>
      <c r="AA277" s="42"/>
      <c r="AB277" s="42"/>
      <c r="AC277" s="60">
        <f t="shared" si="142"/>
        <v>0</v>
      </c>
      <c r="AD277" s="60">
        <f t="shared" si="143"/>
        <v>0</v>
      </c>
      <c r="AE277" s="42"/>
      <c r="AF277" s="42"/>
      <c r="AG277" s="60">
        <f t="shared" si="126"/>
        <v>5</v>
      </c>
      <c r="AH277" s="60">
        <f t="shared" si="144"/>
        <v>5</v>
      </c>
      <c r="AJ277" s="22"/>
    </row>
    <row r="278" spans="2:36" s="19" customFormat="1" x14ac:dyDescent="0.15">
      <c r="B278" s="79" t="str">
        <f t="shared" si="127"/>
        <v/>
      </c>
      <c r="C278" s="85"/>
      <c r="D278" s="75">
        <f>INDEX(节奏总纲!$AM$4:$AM$83,$F278)</f>
        <v>242.37342918215046</v>
      </c>
      <c r="E278" s="75">
        <f>求节点(节奏总纲!$P$4:$P$163,节奏总纲!$O$4:$O$163,$D278)</f>
        <v>79.263479982320931</v>
      </c>
      <c r="F278" s="40">
        <v>44</v>
      </c>
      <c r="G278" s="85"/>
      <c r="H278" s="65" t="s">
        <v>651</v>
      </c>
      <c r="I278" s="63"/>
      <c r="J278" s="69"/>
      <c r="K278" s="63"/>
      <c r="L278" s="40"/>
      <c r="M278" s="60">
        <f t="shared" si="128"/>
        <v>50</v>
      </c>
      <c r="N278" s="60">
        <f t="shared" si="129"/>
        <v>50</v>
      </c>
      <c r="O278" s="60">
        <f t="shared" si="130"/>
        <v>0</v>
      </c>
      <c r="P278" s="60">
        <f t="shared" si="131"/>
        <v>0</v>
      </c>
      <c r="Q278" s="60">
        <f t="shared" si="132"/>
        <v>17</v>
      </c>
      <c r="R278" s="60">
        <f t="shared" si="133"/>
        <v>17</v>
      </c>
      <c r="S278" s="60">
        <f t="shared" si="134"/>
        <v>350000</v>
      </c>
      <c r="T278" s="60">
        <f t="shared" si="135"/>
        <v>350000</v>
      </c>
      <c r="U278" s="60">
        <f t="shared" si="136"/>
        <v>0</v>
      </c>
      <c r="V278" s="60">
        <f t="shared" si="137"/>
        <v>0</v>
      </c>
      <c r="W278" s="60">
        <f t="shared" si="138"/>
        <v>0</v>
      </c>
      <c r="X278" s="60">
        <f t="shared" si="139"/>
        <v>0</v>
      </c>
      <c r="Y278" s="60">
        <f t="shared" si="140"/>
        <v>90000</v>
      </c>
      <c r="Z278" s="60">
        <f t="shared" si="141"/>
        <v>90000</v>
      </c>
      <c r="AA278" s="42"/>
      <c r="AB278" s="42"/>
      <c r="AC278" s="60">
        <f t="shared" si="142"/>
        <v>0</v>
      </c>
      <c r="AD278" s="60">
        <f t="shared" si="143"/>
        <v>0</v>
      </c>
      <c r="AE278" s="42"/>
      <c r="AF278" s="42"/>
      <c r="AG278" s="60">
        <f t="shared" si="126"/>
        <v>5</v>
      </c>
      <c r="AH278" s="60">
        <f t="shared" si="144"/>
        <v>5</v>
      </c>
      <c r="AJ278" s="22"/>
    </row>
    <row r="279" spans="2:36" s="19" customFormat="1" x14ac:dyDescent="0.15">
      <c r="B279" s="79" t="str">
        <f t="shared" si="127"/>
        <v/>
      </c>
      <c r="C279" s="85"/>
      <c r="D279" s="75">
        <f>INDEX(节奏总纲!$AM$4:$AM$83,$F279)</f>
        <v>242.37342918215046</v>
      </c>
      <c r="E279" s="75">
        <f>求节点(节奏总纲!$P$4:$P$163,节奏总纲!$O$4:$O$163,$D279)</f>
        <v>79.263479982320931</v>
      </c>
      <c r="F279" s="40">
        <v>44</v>
      </c>
      <c r="G279" s="85"/>
      <c r="H279" s="63" t="s">
        <v>462</v>
      </c>
      <c r="I279" s="63"/>
      <c r="J279" s="69"/>
      <c r="K279" s="63"/>
      <c r="L279" s="40"/>
      <c r="M279" s="60">
        <f t="shared" si="128"/>
        <v>50</v>
      </c>
      <c r="N279" s="60">
        <f t="shared" si="129"/>
        <v>50</v>
      </c>
      <c r="O279" s="60">
        <f t="shared" si="130"/>
        <v>0</v>
      </c>
      <c r="P279" s="60">
        <f t="shared" si="131"/>
        <v>0</v>
      </c>
      <c r="Q279" s="60">
        <f t="shared" si="132"/>
        <v>17</v>
      </c>
      <c r="R279" s="60">
        <f t="shared" si="133"/>
        <v>17</v>
      </c>
      <c r="S279" s="60">
        <f t="shared" si="134"/>
        <v>350000</v>
      </c>
      <c r="T279" s="60">
        <f t="shared" si="135"/>
        <v>350000</v>
      </c>
      <c r="U279" s="60">
        <f t="shared" si="136"/>
        <v>0</v>
      </c>
      <c r="V279" s="60">
        <f t="shared" si="137"/>
        <v>0</v>
      </c>
      <c r="W279" s="60">
        <f t="shared" si="138"/>
        <v>0</v>
      </c>
      <c r="X279" s="60">
        <f t="shared" si="139"/>
        <v>0</v>
      </c>
      <c r="Y279" s="60">
        <f t="shared" si="140"/>
        <v>90000</v>
      </c>
      <c r="Z279" s="60">
        <f t="shared" si="141"/>
        <v>90000</v>
      </c>
      <c r="AA279" s="42"/>
      <c r="AB279" s="42"/>
      <c r="AC279" s="60">
        <f t="shared" si="142"/>
        <v>0</v>
      </c>
      <c r="AD279" s="60">
        <f t="shared" si="143"/>
        <v>0</v>
      </c>
      <c r="AE279" s="42"/>
      <c r="AF279" s="42"/>
      <c r="AG279" s="60">
        <f t="shared" si="126"/>
        <v>5</v>
      </c>
      <c r="AH279" s="60">
        <f t="shared" si="144"/>
        <v>5</v>
      </c>
      <c r="AJ279" s="22"/>
    </row>
    <row r="280" spans="2:36" s="19" customFormat="1" x14ac:dyDescent="0.15">
      <c r="B280" s="79">
        <f t="shared" si="127"/>
        <v>7</v>
      </c>
      <c r="C280" s="85"/>
      <c r="D280" s="75">
        <f>INDEX(节奏总纲!$AM$4:$AM$83,$F280)</f>
        <v>281.05</v>
      </c>
      <c r="E280" s="75">
        <f>求节点(节奏总纲!$P$4:$P$163,节奏总纲!$O$4:$O$163,$D280)</f>
        <v>81.389787349771211</v>
      </c>
      <c r="F280" s="40">
        <v>45</v>
      </c>
      <c r="G280" s="85">
        <v>10</v>
      </c>
      <c r="H280" s="63" t="s">
        <v>463</v>
      </c>
      <c r="I280" s="63" t="s">
        <v>736</v>
      </c>
      <c r="J280" s="69" t="s">
        <v>627</v>
      </c>
      <c r="K280" s="63"/>
      <c r="L280" s="40"/>
      <c r="M280" s="60">
        <f t="shared" si="128"/>
        <v>50</v>
      </c>
      <c r="N280" s="60">
        <f t="shared" si="129"/>
        <v>150</v>
      </c>
      <c r="O280" s="60">
        <f t="shared" si="130"/>
        <v>0</v>
      </c>
      <c r="P280" s="60">
        <f t="shared" si="131"/>
        <v>0</v>
      </c>
      <c r="Q280" s="60">
        <f t="shared" si="132"/>
        <v>17</v>
      </c>
      <c r="R280" s="60">
        <f t="shared" si="133"/>
        <v>51</v>
      </c>
      <c r="S280" s="60">
        <f t="shared" si="134"/>
        <v>370000</v>
      </c>
      <c r="T280" s="60">
        <f t="shared" si="135"/>
        <v>1110000</v>
      </c>
      <c r="U280" s="60">
        <f t="shared" si="136"/>
        <v>0</v>
      </c>
      <c r="V280" s="60">
        <f t="shared" si="137"/>
        <v>0</v>
      </c>
      <c r="W280" s="60">
        <f t="shared" si="138"/>
        <v>0</v>
      </c>
      <c r="X280" s="60">
        <f t="shared" si="139"/>
        <v>0</v>
      </c>
      <c r="Y280" s="60">
        <f t="shared" si="140"/>
        <v>90000</v>
      </c>
      <c r="Z280" s="60">
        <f t="shared" si="141"/>
        <v>270000</v>
      </c>
      <c r="AA280" s="42"/>
      <c r="AB280" s="42"/>
      <c r="AC280" s="60">
        <f t="shared" si="142"/>
        <v>0</v>
      </c>
      <c r="AD280" s="60">
        <f t="shared" si="143"/>
        <v>0</v>
      </c>
      <c r="AE280" s="42"/>
      <c r="AF280" s="42"/>
      <c r="AG280" s="60">
        <f t="shared" si="126"/>
        <v>5</v>
      </c>
      <c r="AH280" s="60">
        <f t="shared" si="144"/>
        <v>15</v>
      </c>
      <c r="AJ280" s="22"/>
    </row>
    <row r="281" spans="2:36" s="19" customFormat="1" x14ac:dyDescent="0.15">
      <c r="B281" s="79" t="str">
        <f t="shared" si="127"/>
        <v/>
      </c>
      <c r="C281" s="85"/>
      <c r="D281" s="75">
        <f>INDEX(节奏总纲!$AM$4:$AM$83,$F281)</f>
        <v>281.05</v>
      </c>
      <c r="E281" s="75">
        <f>求节点(节奏总纲!$P$4:$P$163,节奏总纲!$O$4:$O$163,$D281)</f>
        <v>81.389787349771211</v>
      </c>
      <c r="F281" s="40">
        <v>45</v>
      </c>
      <c r="G281" s="85"/>
      <c r="H281" s="70" t="s">
        <v>726</v>
      </c>
      <c r="I281" s="63"/>
      <c r="J281" s="69" t="s">
        <v>672</v>
      </c>
      <c r="K281" s="63"/>
      <c r="L281" s="40"/>
      <c r="M281" s="60">
        <f t="shared" si="128"/>
        <v>50</v>
      </c>
      <c r="N281" s="60">
        <f t="shared" si="129"/>
        <v>100</v>
      </c>
      <c r="O281" s="60">
        <f t="shared" si="130"/>
        <v>0</v>
      </c>
      <c r="P281" s="60">
        <f t="shared" si="131"/>
        <v>0</v>
      </c>
      <c r="Q281" s="60">
        <f t="shared" si="132"/>
        <v>17</v>
      </c>
      <c r="R281" s="60">
        <f t="shared" si="133"/>
        <v>34</v>
      </c>
      <c r="S281" s="60">
        <f t="shared" si="134"/>
        <v>370000</v>
      </c>
      <c r="T281" s="60">
        <f t="shared" si="135"/>
        <v>740000</v>
      </c>
      <c r="U281" s="60">
        <f t="shared" si="136"/>
        <v>0</v>
      </c>
      <c r="V281" s="60">
        <f t="shared" si="137"/>
        <v>0</v>
      </c>
      <c r="W281" s="60">
        <f t="shared" si="138"/>
        <v>0</v>
      </c>
      <c r="X281" s="60">
        <f t="shared" si="139"/>
        <v>0</v>
      </c>
      <c r="Y281" s="60">
        <f t="shared" si="140"/>
        <v>90000</v>
      </c>
      <c r="Z281" s="60">
        <f t="shared" si="141"/>
        <v>180000</v>
      </c>
      <c r="AA281" s="42"/>
      <c r="AB281" s="42"/>
      <c r="AC281" s="60">
        <f t="shared" si="142"/>
        <v>0</v>
      </c>
      <c r="AD281" s="60">
        <f t="shared" si="143"/>
        <v>0</v>
      </c>
      <c r="AE281" s="42"/>
      <c r="AF281" s="42"/>
      <c r="AG281" s="60">
        <f t="shared" ref="AG281:AG344" si="145">ROUNDUP((AG$2*$F281^AG$1+AG$3)/AG$4,0)*AG$4</f>
        <v>5</v>
      </c>
      <c r="AH281" s="60">
        <f t="shared" si="144"/>
        <v>10</v>
      </c>
      <c r="AJ281" s="22"/>
    </row>
    <row r="282" spans="2:36" s="19" customFormat="1" x14ac:dyDescent="0.15">
      <c r="B282" s="79" t="str">
        <f t="shared" si="127"/>
        <v/>
      </c>
      <c r="C282" s="85"/>
      <c r="D282" s="75">
        <f>INDEX(节奏总纲!$AM$4:$AM$83,$F282)</f>
        <v>281.05</v>
      </c>
      <c r="E282" s="75">
        <f>求节点(节奏总纲!$P$4:$P$163,节奏总纲!$O$4:$O$163,$D282)</f>
        <v>81.389787349771211</v>
      </c>
      <c r="F282" s="40">
        <v>45</v>
      </c>
      <c r="G282" s="85"/>
      <c r="H282" s="70" t="s">
        <v>465</v>
      </c>
      <c r="I282" s="63"/>
      <c r="J282" s="69"/>
      <c r="K282" s="63"/>
      <c r="L282" s="40"/>
      <c r="M282" s="60">
        <f t="shared" si="128"/>
        <v>50</v>
      </c>
      <c r="N282" s="60">
        <f t="shared" si="129"/>
        <v>50</v>
      </c>
      <c r="O282" s="60">
        <f t="shared" si="130"/>
        <v>0</v>
      </c>
      <c r="P282" s="60">
        <f t="shared" si="131"/>
        <v>0</v>
      </c>
      <c r="Q282" s="60">
        <f t="shared" si="132"/>
        <v>17</v>
      </c>
      <c r="R282" s="60">
        <f t="shared" si="133"/>
        <v>17</v>
      </c>
      <c r="S282" s="60">
        <f t="shared" si="134"/>
        <v>370000</v>
      </c>
      <c r="T282" s="60">
        <f t="shared" si="135"/>
        <v>370000</v>
      </c>
      <c r="U282" s="60">
        <f t="shared" si="136"/>
        <v>0</v>
      </c>
      <c r="V282" s="60">
        <f t="shared" si="137"/>
        <v>0</v>
      </c>
      <c r="W282" s="60">
        <f t="shared" si="138"/>
        <v>0</v>
      </c>
      <c r="X282" s="60">
        <f t="shared" si="139"/>
        <v>0</v>
      </c>
      <c r="Y282" s="60">
        <f t="shared" si="140"/>
        <v>90000</v>
      </c>
      <c r="Z282" s="60">
        <f t="shared" si="141"/>
        <v>90000</v>
      </c>
      <c r="AA282" s="42"/>
      <c r="AB282" s="42"/>
      <c r="AC282" s="60">
        <f t="shared" si="142"/>
        <v>0</v>
      </c>
      <c r="AD282" s="60">
        <f t="shared" si="143"/>
        <v>0</v>
      </c>
      <c r="AE282" s="42"/>
      <c r="AF282" s="42"/>
      <c r="AG282" s="60">
        <f t="shared" si="145"/>
        <v>5</v>
      </c>
      <c r="AH282" s="60">
        <f t="shared" si="144"/>
        <v>5</v>
      </c>
      <c r="AJ282" s="22"/>
    </row>
    <row r="283" spans="2:36" s="19" customFormat="1" x14ac:dyDescent="0.15">
      <c r="B283" s="79" t="str">
        <f t="shared" si="127"/>
        <v/>
      </c>
      <c r="C283" s="85"/>
      <c r="D283" s="75">
        <f>INDEX(节奏总纲!$AM$4:$AM$83,$F283)</f>
        <v>281.05</v>
      </c>
      <c r="E283" s="75">
        <f>求节点(节奏总纲!$P$4:$P$163,节奏总纲!$O$4:$O$163,$D283)</f>
        <v>81.389787349771211</v>
      </c>
      <c r="F283" s="40">
        <v>45</v>
      </c>
      <c r="G283" s="85"/>
      <c r="H283" s="70" t="s">
        <v>725</v>
      </c>
      <c r="I283" s="63"/>
      <c r="J283" s="69"/>
      <c r="K283" s="63"/>
      <c r="L283" s="40"/>
      <c r="M283" s="60">
        <f t="shared" si="128"/>
        <v>50</v>
      </c>
      <c r="N283" s="60">
        <f t="shared" si="129"/>
        <v>50</v>
      </c>
      <c r="O283" s="60">
        <f t="shared" si="130"/>
        <v>0</v>
      </c>
      <c r="P283" s="60">
        <f t="shared" si="131"/>
        <v>0</v>
      </c>
      <c r="Q283" s="60">
        <f t="shared" si="132"/>
        <v>17</v>
      </c>
      <c r="R283" s="60">
        <f t="shared" si="133"/>
        <v>17</v>
      </c>
      <c r="S283" s="60">
        <f t="shared" si="134"/>
        <v>370000</v>
      </c>
      <c r="T283" s="60">
        <f t="shared" si="135"/>
        <v>370000</v>
      </c>
      <c r="U283" s="60">
        <f t="shared" si="136"/>
        <v>0</v>
      </c>
      <c r="V283" s="60">
        <f t="shared" si="137"/>
        <v>0</v>
      </c>
      <c r="W283" s="60">
        <f t="shared" si="138"/>
        <v>0</v>
      </c>
      <c r="X283" s="60">
        <f t="shared" si="139"/>
        <v>0</v>
      </c>
      <c r="Y283" s="60">
        <f t="shared" si="140"/>
        <v>90000</v>
      </c>
      <c r="Z283" s="60">
        <f t="shared" si="141"/>
        <v>90000</v>
      </c>
      <c r="AA283" s="42"/>
      <c r="AB283" s="42"/>
      <c r="AC283" s="60">
        <f t="shared" si="142"/>
        <v>0</v>
      </c>
      <c r="AD283" s="60">
        <f t="shared" si="143"/>
        <v>0</v>
      </c>
      <c r="AE283" s="42"/>
      <c r="AF283" s="42"/>
      <c r="AG283" s="60">
        <f t="shared" si="145"/>
        <v>5</v>
      </c>
      <c r="AH283" s="60">
        <f t="shared" si="144"/>
        <v>5</v>
      </c>
      <c r="AJ283" s="22"/>
    </row>
    <row r="284" spans="2:36" s="19" customFormat="1" x14ac:dyDescent="0.15">
      <c r="B284" s="79">
        <f t="shared" si="127"/>
        <v>6</v>
      </c>
      <c r="C284" s="85"/>
      <c r="D284" s="75">
        <f>INDEX(节奏总纲!$AM$4:$AM$83,$F284)</f>
        <v>325.85912455595718</v>
      </c>
      <c r="E284" s="75">
        <f>求节点(节奏总纲!$P$4:$P$163,节奏总纲!$O$4:$O$163,$D284)</f>
        <v>83.516605196495291</v>
      </c>
      <c r="F284" s="40">
        <v>46</v>
      </c>
      <c r="G284" s="85">
        <v>11</v>
      </c>
      <c r="H284" s="63" t="s">
        <v>466</v>
      </c>
      <c r="I284" s="63"/>
      <c r="J284" s="69"/>
      <c r="K284" s="63"/>
      <c r="L284" s="40"/>
      <c r="M284" s="60">
        <f t="shared" si="128"/>
        <v>50</v>
      </c>
      <c r="N284" s="60">
        <f t="shared" si="129"/>
        <v>50</v>
      </c>
      <c r="O284" s="60">
        <f t="shared" si="130"/>
        <v>0</v>
      </c>
      <c r="P284" s="60">
        <f t="shared" si="131"/>
        <v>0</v>
      </c>
      <c r="Q284" s="60">
        <f t="shared" si="132"/>
        <v>17</v>
      </c>
      <c r="R284" s="60">
        <f t="shared" si="133"/>
        <v>17</v>
      </c>
      <c r="S284" s="60">
        <f t="shared" si="134"/>
        <v>380000</v>
      </c>
      <c r="T284" s="60">
        <f t="shared" si="135"/>
        <v>380000</v>
      </c>
      <c r="U284" s="60">
        <f t="shared" si="136"/>
        <v>0</v>
      </c>
      <c r="V284" s="60">
        <f t="shared" si="137"/>
        <v>0</v>
      </c>
      <c r="W284" s="60">
        <f t="shared" si="138"/>
        <v>0</v>
      </c>
      <c r="X284" s="60">
        <f t="shared" si="139"/>
        <v>0</v>
      </c>
      <c r="Y284" s="60">
        <f t="shared" si="140"/>
        <v>90000</v>
      </c>
      <c r="Z284" s="60">
        <f t="shared" si="141"/>
        <v>90000</v>
      </c>
      <c r="AA284" s="42"/>
      <c r="AB284" s="42"/>
      <c r="AC284" s="60">
        <f t="shared" si="142"/>
        <v>0</v>
      </c>
      <c r="AD284" s="60">
        <f t="shared" si="143"/>
        <v>0</v>
      </c>
      <c r="AE284" s="42"/>
      <c r="AF284" s="42"/>
      <c r="AG284" s="60">
        <f t="shared" si="145"/>
        <v>5</v>
      </c>
      <c r="AH284" s="60">
        <f t="shared" si="144"/>
        <v>5</v>
      </c>
      <c r="AJ284" s="22"/>
    </row>
    <row r="285" spans="2:36" s="19" customFormat="1" x14ac:dyDescent="0.15">
      <c r="B285" s="79" t="str">
        <f t="shared" si="127"/>
        <v/>
      </c>
      <c r="C285" s="85"/>
      <c r="D285" s="75">
        <f>INDEX(节奏总纲!$AM$4:$AM$83,$F285)</f>
        <v>325.85912455595718</v>
      </c>
      <c r="E285" s="75">
        <f>求节点(节奏总纲!$P$4:$P$163,节奏总纲!$O$4:$O$163,$D285)</f>
        <v>83.516605196495291</v>
      </c>
      <c r="F285" s="40">
        <v>46</v>
      </c>
      <c r="G285" s="85"/>
      <c r="H285" s="63" t="s">
        <v>586</v>
      </c>
      <c r="I285" s="63"/>
      <c r="J285" s="69"/>
      <c r="K285" s="63"/>
      <c r="L285" s="40"/>
      <c r="M285" s="60">
        <f t="shared" si="128"/>
        <v>50</v>
      </c>
      <c r="N285" s="60">
        <f t="shared" si="129"/>
        <v>50</v>
      </c>
      <c r="O285" s="60">
        <f t="shared" si="130"/>
        <v>0</v>
      </c>
      <c r="P285" s="60">
        <f t="shared" si="131"/>
        <v>0</v>
      </c>
      <c r="Q285" s="60">
        <f t="shared" si="132"/>
        <v>17</v>
      </c>
      <c r="R285" s="60">
        <f t="shared" si="133"/>
        <v>17</v>
      </c>
      <c r="S285" s="60">
        <f t="shared" si="134"/>
        <v>380000</v>
      </c>
      <c r="T285" s="60">
        <f t="shared" si="135"/>
        <v>380000</v>
      </c>
      <c r="U285" s="60">
        <f t="shared" si="136"/>
        <v>0</v>
      </c>
      <c r="V285" s="60">
        <f t="shared" si="137"/>
        <v>0</v>
      </c>
      <c r="W285" s="60">
        <f t="shared" si="138"/>
        <v>0</v>
      </c>
      <c r="X285" s="60">
        <f t="shared" si="139"/>
        <v>0</v>
      </c>
      <c r="Y285" s="60">
        <f t="shared" si="140"/>
        <v>90000</v>
      </c>
      <c r="Z285" s="60">
        <f t="shared" si="141"/>
        <v>90000</v>
      </c>
      <c r="AA285" s="42"/>
      <c r="AB285" s="42"/>
      <c r="AC285" s="60">
        <f t="shared" si="142"/>
        <v>0</v>
      </c>
      <c r="AD285" s="60">
        <f t="shared" si="143"/>
        <v>0</v>
      </c>
      <c r="AE285" s="42"/>
      <c r="AF285" s="42"/>
      <c r="AG285" s="60">
        <f t="shared" si="145"/>
        <v>5</v>
      </c>
      <c r="AH285" s="60">
        <f t="shared" si="144"/>
        <v>5</v>
      </c>
      <c r="AJ285" s="22"/>
    </row>
    <row r="286" spans="2:36" s="19" customFormat="1" x14ac:dyDescent="0.15">
      <c r="B286" s="79" t="str">
        <f t="shared" si="127"/>
        <v/>
      </c>
      <c r="C286" s="85"/>
      <c r="D286" s="75">
        <f>INDEX(节奏总纲!$AM$4:$AM$83,$F286)</f>
        <v>325.85912455595718</v>
      </c>
      <c r="E286" s="75">
        <f>求节点(节奏总纲!$P$4:$P$163,节奏总纲!$O$4:$O$163,$D286)</f>
        <v>83.516605196495291</v>
      </c>
      <c r="F286" s="40">
        <v>46</v>
      </c>
      <c r="G286" s="85"/>
      <c r="H286" s="63" t="s">
        <v>510</v>
      </c>
      <c r="I286" s="63"/>
      <c r="J286" s="69"/>
      <c r="K286" s="63"/>
      <c r="L286" s="40"/>
      <c r="M286" s="60">
        <f t="shared" si="128"/>
        <v>50</v>
      </c>
      <c r="N286" s="60">
        <f t="shared" si="129"/>
        <v>50</v>
      </c>
      <c r="O286" s="60">
        <f t="shared" si="130"/>
        <v>0</v>
      </c>
      <c r="P286" s="60">
        <f t="shared" si="131"/>
        <v>0</v>
      </c>
      <c r="Q286" s="60">
        <f t="shared" si="132"/>
        <v>17</v>
      </c>
      <c r="R286" s="60">
        <f t="shared" si="133"/>
        <v>17</v>
      </c>
      <c r="S286" s="60">
        <f t="shared" si="134"/>
        <v>380000</v>
      </c>
      <c r="T286" s="60">
        <f t="shared" si="135"/>
        <v>380000</v>
      </c>
      <c r="U286" s="60">
        <f t="shared" si="136"/>
        <v>0</v>
      </c>
      <c r="V286" s="60">
        <f t="shared" si="137"/>
        <v>0</v>
      </c>
      <c r="W286" s="60">
        <f t="shared" si="138"/>
        <v>0</v>
      </c>
      <c r="X286" s="60">
        <f t="shared" si="139"/>
        <v>0</v>
      </c>
      <c r="Y286" s="60">
        <f t="shared" si="140"/>
        <v>90000</v>
      </c>
      <c r="Z286" s="60">
        <f t="shared" si="141"/>
        <v>90000</v>
      </c>
      <c r="AA286" s="42"/>
      <c r="AB286" s="42"/>
      <c r="AC286" s="60">
        <f t="shared" si="142"/>
        <v>0</v>
      </c>
      <c r="AD286" s="60">
        <f t="shared" si="143"/>
        <v>0</v>
      </c>
      <c r="AE286" s="42"/>
      <c r="AF286" s="42"/>
      <c r="AG286" s="60">
        <f t="shared" si="145"/>
        <v>5</v>
      </c>
      <c r="AH286" s="60">
        <f t="shared" si="144"/>
        <v>5</v>
      </c>
      <c r="AJ286" s="22"/>
    </row>
    <row r="287" spans="2:36" s="19" customFormat="1" x14ac:dyDescent="0.15">
      <c r="B287" s="79" t="str">
        <f t="shared" si="127"/>
        <v/>
      </c>
      <c r="C287" s="85"/>
      <c r="D287" s="75">
        <f>INDEX(节奏总纲!$AM$4:$AM$83,$F287)</f>
        <v>325.85912455595718</v>
      </c>
      <c r="E287" s="75">
        <f>求节点(节奏总纲!$P$4:$P$163,节奏总纲!$O$4:$O$163,$D287)</f>
        <v>83.516605196495291</v>
      </c>
      <c r="F287" s="40">
        <v>46</v>
      </c>
      <c r="G287" s="85"/>
      <c r="H287" s="70" t="s">
        <v>727</v>
      </c>
      <c r="I287" s="63"/>
      <c r="J287" s="69"/>
      <c r="K287" s="63"/>
      <c r="L287" s="40"/>
      <c r="M287" s="60">
        <f t="shared" si="128"/>
        <v>50</v>
      </c>
      <c r="N287" s="60">
        <f t="shared" si="129"/>
        <v>50</v>
      </c>
      <c r="O287" s="60">
        <f t="shared" si="130"/>
        <v>0</v>
      </c>
      <c r="P287" s="60">
        <f t="shared" si="131"/>
        <v>0</v>
      </c>
      <c r="Q287" s="60">
        <f t="shared" si="132"/>
        <v>17</v>
      </c>
      <c r="R287" s="60">
        <f t="shared" si="133"/>
        <v>17</v>
      </c>
      <c r="S287" s="60">
        <f t="shared" si="134"/>
        <v>380000</v>
      </c>
      <c r="T287" s="60">
        <f t="shared" si="135"/>
        <v>380000</v>
      </c>
      <c r="U287" s="60">
        <f t="shared" si="136"/>
        <v>0</v>
      </c>
      <c r="V287" s="60">
        <f t="shared" si="137"/>
        <v>0</v>
      </c>
      <c r="W287" s="60">
        <f t="shared" si="138"/>
        <v>0</v>
      </c>
      <c r="X287" s="60">
        <f t="shared" si="139"/>
        <v>0</v>
      </c>
      <c r="Y287" s="60">
        <f t="shared" si="140"/>
        <v>90000</v>
      </c>
      <c r="Z287" s="60">
        <f t="shared" si="141"/>
        <v>90000</v>
      </c>
      <c r="AA287" s="42"/>
      <c r="AB287" s="42"/>
      <c r="AC287" s="60">
        <f t="shared" si="142"/>
        <v>0</v>
      </c>
      <c r="AD287" s="60">
        <f t="shared" si="143"/>
        <v>0</v>
      </c>
      <c r="AE287" s="42"/>
      <c r="AF287" s="42"/>
      <c r="AG287" s="60">
        <f t="shared" si="145"/>
        <v>5</v>
      </c>
      <c r="AH287" s="60">
        <f t="shared" si="144"/>
        <v>5</v>
      </c>
      <c r="AJ287" s="22"/>
    </row>
    <row r="288" spans="2:36" s="19" customFormat="1" x14ac:dyDescent="0.15">
      <c r="B288" s="79" t="str">
        <f t="shared" si="127"/>
        <v/>
      </c>
      <c r="C288" s="85"/>
      <c r="D288" s="75">
        <f>INDEX(节奏总纲!$AM$4:$AM$83,$F288)</f>
        <v>325.85912455595718</v>
      </c>
      <c r="E288" s="75">
        <f>求节点(节奏总纲!$P$4:$P$163,节奏总纲!$O$4:$O$163,$D288)</f>
        <v>83.516605196495291</v>
      </c>
      <c r="F288" s="40">
        <v>46</v>
      </c>
      <c r="G288" s="85"/>
      <c r="H288" s="70" t="s">
        <v>594</v>
      </c>
      <c r="I288" s="63"/>
      <c r="J288" s="69"/>
      <c r="K288" s="63"/>
      <c r="L288" s="40"/>
      <c r="M288" s="60">
        <f t="shared" si="128"/>
        <v>50</v>
      </c>
      <c r="N288" s="60">
        <f t="shared" si="129"/>
        <v>50</v>
      </c>
      <c r="O288" s="60">
        <f t="shared" si="130"/>
        <v>0</v>
      </c>
      <c r="P288" s="60">
        <f t="shared" si="131"/>
        <v>0</v>
      </c>
      <c r="Q288" s="60">
        <f t="shared" si="132"/>
        <v>17</v>
      </c>
      <c r="R288" s="60">
        <f t="shared" si="133"/>
        <v>17</v>
      </c>
      <c r="S288" s="60">
        <f t="shared" si="134"/>
        <v>380000</v>
      </c>
      <c r="T288" s="60">
        <f t="shared" si="135"/>
        <v>380000</v>
      </c>
      <c r="U288" s="60">
        <f t="shared" si="136"/>
        <v>0</v>
      </c>
      <c r="V288" s="60">
        <f t="shared" si="137"/>
        <v>0</v>
      </c>
      <c r="W288" s="60">
        <f t="shared" si="138"/>
        <v>0</v>
      </c>
      <c r="X288" s="60">
        <f t="shared" si="139"/>
        <v>0</v>
      </c>
      <c r="Y288" s="60">
        <f t="shared" si="140"/>
        <v>90000</v>
      </c>
      <c r="Z288" s="60">
        <f t="shared" si="141"/>
        <v>90000</v>
      </c>
      <c r="AA288" s="42"/>
      <c r="AB288" s="42"/>
      <c r="AC288" s="60">
        <f t="shared" si="142"/>
        <v>0</v>
      </c>
      <c r="AD288" s="60">
        <f t="shared" si="143"/>
        <v>0</v>
      </c>
      <c r="AE288" s="42"/>
      <c r="AF288" s="42"/>
      <c r="AG288" s="60">
        <f t="shared" si="145"/>
        <v>5</v>
      </c>
      <c r="AH288" s="60">
        <f t="shared" si="144"/>
        <v>5</v>
      </c>
      <c r="AJ288" s="22"/>
    </row>
    <row r="289" spans="1:57" s="19" customFormat="1" x14ac:dyDescent="0.15">
      <c r="B289" s="79" t="str">
        <f t="shared" si="127"/>
        <v/>
      </c>
      <c r="C289" s="85"/>
      <c r="D289" s="75">
        <f>INDEX(节奏总纲!$AM$4:$AM$83,$F289)</f>
        <v>325.85912455595718</v>
      </c>
      <c r="E289" s="75">
        <f>求节点(节奏总纲!$P$4:$P$163,节奏总纲!$O$4:$O$163,$D289)</f>
        <v>83.516605196495291</v>
      </c>
      <c r="F289" s="40">
        <v>46</v>
      </c>
      <c r="G289" s="85"/>
      <c r="H289" s="63" t="s">
        <v>464</v>
      </c>
      <c r="I289" s="63"/>
      <c r="J289" s="69"/>
      <c r="K289" s="63"/>
      <c r="L289" s="40"/>
      <c r="M289" s="60">
        <f t="shared" si="128"/>
        <v>50</v>
      </c>
      <c r="N289" s="60">
        <f t="shared" si="129"/>
        <v>50</v>
      </c>
      <c r="O289" s="60">
        <f t="shared" si="130"/>
        <v>0</v>
      </c>
      <c r="P289" s="60">
        <f t="shared" si="131"/>
        <v>0</v>
      </c>
      <c r="Q289" s="60">
        <f t="shared" si="132"/>
        <v>17</v>
      </c>
      <c r="R289" s="60">
        <f t="shared" si="133"/>
        <v>17</v>
      </c>
      <c r="S289" s="60">
        <f t="shared" si="134"/>
        <v>380000</v>
      </c>
      <c r="T289" s="60">
        <f t="shared" si="135"/>
        <v>380000</v>
      </c>
      <c r="U289" s="60">
        <f t="shared" si="136"/>
        <v>0</v>
      </c>
      <c r="V289" s="60">
        <f t="shared" si="137"/>
        <v>0</v>
      </c>
      <c r="W289" s="60">
        <f t="shared" si="138"/>
        <v>0</v>
      </c>
      <c r="X289" s="60">
        <f t="shared" si="139"/>
        <v>0</v>
      </c>
      <c r="Y289" s="60">
        <f t="shared" si="140"/>
        <v>90000</v>
      </c>
      <c r="Z289" s="60">
        <f t="shared" si="141"/>
        <v>90000</v>
      </c>
      <c r="AA289" s="42"/>
      <c r="AB289" s="42"/>
      <c r="AC289" s="60">
        <f t="shared" si="142"/>
        <v>0</v>
      </c>
      <c r="AD289" s="60">
        <f t="shared" si="143"/>
        <v>0</v>
      </c>
      <c r="AE289" s="42"/>
      <c r="AF289" s="42"/>
      <c r="AG289" s="60">
        <f t="shared" si="145"/>
        <v>5</v>
      </c>
      <c r="AH289" s="60">
        <f t="shared" si="144"/>
        <v>5</v>
      </c>
      <c r="AJ289" s="22"/>
    </row>
    <row r="290" spans="1:57" s="19" customFormat="1" x14ac:dyDescent="0.15">
      <c r="B290" s="79">
        <f t="shared" si="127"/>
        <v>6</v>
      </c>
      <c r="C290" s="85"/>
      <c r="D290" s="75">
        <f>INDEX(节奏总纲!$AM$4:$AM$83,$F290)</f>
        <v>377.76930817680426</v>
      </c>
      <c r="E290" s="75">
        <f>求节点(节奏总纲!$P$4:$P$163,节奏总纲!$O$4:$O$163,$D290)</f>
        <v>85.643863186592412</v>
      </c>
      <c r="F290" s="40">
        <v>47</v>
      </c>
      <c r="G290" s="85">
        <v>12</v>
      </c>
      <c r="H290" s="63" t="s">
        <v>468</v>
      </c>
      <c r="I290" s="63"/>
      <c r="J290" s="69" t="s">
        <v>660</v>
      </c>
      <c r="K290" s="63"/>
      <c r="L290" s="40"/>
      <c r="M290" s="60">
        <f t="shared" si="128"/>
        <v>50</v>
      </c>
      <c r="N290" s="60">
        <f t="shared" si="129"/>
        <v>100</v>
      </c>
      <c r="O290" s="60">
        <f t="shared" si="130"/>
        <v>0</v>
      </c>
      <c r="P290" s="60">
        <f t="shared" si="131"/>
        <v>0</v>
      </c>
      <c r="Q290" s="60">
        <f t="shared" si="132"/>
        <v>18</v>
      </c>
      <c r="R290" s="60">
        <f t="shared" si="133"/>
        <v>36</v>
      </c>
      <c r="S290" s="60">
        <f t="shared" si="134"/>
        <v>390000</v>
      </c>
      <c r="T290" s="60">
        <f t="shared" si="135"/>
        <v>780000</v>
      </c>
      <c r="U290" s="60">
        <f t="shared" si="136"/>
        <v>0</v>
      </c>
      <c r="V290" s="60">
        <f t="shared" si="137"/>
        <v>0</v>
      </c>
      <c r="W290" s="60">
        <f t="shared" si="138"/>
        <v>0</v>
      </c>
      <c r="X290" s="60">
        <f t="shared" si="139"/>
        <v>0</v>
      </c>
      <c r="Y290" s="60">
        <f t="shared" si="140"/>
        <v>90000</v>
      </c>
      <c r="Z290" s="60">
        <f t="shared" si="141"/>
        <v>180000</v>
      </c>
      <c r="AA290" s="42"/>
      <c r="AB290" s="42"/>
      <c r="AC290" s="60">
        <f t="shared" si="142"/>
        <v>0</v>
      </c>
      <c r="AD290" s="60">
        <f t="shared" si="143"/>
        <v>0</v>
      </c>
      <c r="AE290" s="42"/>
      <c r="AF290" s="42"/>
      <c r="AG290" s="60">
        <f t="shared" si="145"/>
        <v>5</v>
      </c>
      <c r="AH290" s="60">
        <f t="shared" si="144"/>
        <v>10</v>
      </c>
      <c r="AJ290" s="22"/>
    </row>
    <row r="291" spans="1:57" s="19" customFormat="1" x14ac:dyDescent="0.15">
      <c r="B291" s="79" t="str">
        <f t="shared" si="127"/>
        <v/>
      </c>
      <c r="C291" s="85"/>
      <c r="D291" s="75">
        <f>INDEX(节奏总纲!$AM$4:$AM$83,$F291)</f>
        <v>377.76930817680426</v>
      </c>
      <c r="E291" s="75">
        <f>求节点(节奏总纲!$P$4:$P$163,节奏总纲!$O$4:$O$163,$D291)</f>
        <v>85.643863186592412</v>
      </c>
      <c r="F291" s="40">
        <v>47</v>
      </c>
      <c r="G291" s="85"/>
      <c r="H291" s="65" t="s">
        <v>650</v>
      </c>
      <c r="I291" s="63"/>
      <c r="J291" s="69" t="s">
        <v>673</v>
      </c>
      <c r="K291" s="63"/>
      <c r="L291" s="40"/>
      <c r="M291" s="60">
        <f t="shared" si="128"/>
        <v>50</v>
      </c>
      <c r="N291" s="60">
        <f t="shared" si="129"/>
        <v>100</v>
      </c>
      <c r="O291" s="60">
        <f t="shared" si="130"/>
        <v>0</v>
      </c>
      <c r="P291" s="60">
        <f t="shared" si="131"/>
        <v>0</v>
      </c>
      <c r="Q291" s="60">
        <f t="shared" si="132"/>
        <v>18</v>
      </c>
      <c r="R291" s="60">
        <f t="shared" si="133"/>
        <v>36</v>
      </c>
      <c r="S291" s="60">
        <f t="shared" si="134"/>
        <v>390000</v>
      </c>
      <c r="T291" s="60">
        <f t="shared" si="135"/>
        <v>780000</v>
      </c>
      <c r="U291" s="60">
        <f t="shared" si="136"/>
        <v>0</v>
      </c>
      <c r="V291" s="60">
        <f t="shared" si="137"/>
        <v>0</v>
      </c>
      <c r="W291" s="60">
        <f t="shared" si="138"/>
        <v>0</v>
      </c>
      <c r="X291" s="60">
        <f t="shared" si="139"/>
        <v>0</v>
      </c>
      <c r="Y291" s="60">
        <f t="shared" si="140"/>
        <v>90000</v>
      </c>
      <c r="Z291" s="60">
        <f t="shared" si="141"/>
        <v>180000</v>
      </c>
      <c r="AA291" s="42"/>
      <c r="AB291" s="42"/>
      <c r="AC291" s="60">
        <f t="shared" si="142"/>
        <v>0</v>
      </c>
      <c r="AD291" s="60">
        <f t="shared" si="143"/>
        <v>0</v>
      </c>
      <c r="AE291" s="42"/>
      <c r="AF291" s="42"/>
      <c r="AG291" s="60">
        <f t="shared" si="145"/>
        <v>5</v>
      </c>
      <c r="AH291" s="60">
        <f t="shared" si="144"/>
        <v>10</v>
      </c>
      <c r="AJ291" s="22"/>
    </row>
    <row r="292" spans="1:57" s="19" customFormat="1" x14ac:dyDescent="0.15">
      <c r="B292" s="79" t="str">
        <f t="shared" si="127"/>
        <v/>
      </c>
      <c r="C292" s="85"/>
      <c r="D292" s="75">
        <f>INDEX(节奏总纲!$AM$4:$AM$83,$F292)</f>
        <v>377.76930817680426</v>
      </c>
      <c r="E292" s="75">
        <f>求节点(节奏总纲!$P$4:$P$163,节奏总纲!$O$4:$O$163,$D292)</f>
        <v>85.643863186592412</v>
      </c>
      <c r="F292" s="40">
        <v>47</v>
      </c>
      <c r="G292" s="85"/>
      <c r="H292" s="70" t="s">
        <v>728</v>
      </c>
      <c r="I292" s="63"/>
      <c r="J292" s="69"/>
      <c r="K292" s="63"/>
      <c r="L292" s="40"/>
      <c r="M292" s="60">
        <f t="shared" si="128"/>
        <v>50</v>
      </c>
      <c r="N292" s="60">
        <f t="shared" si="129"/>
        <v>50</v>
      </c>
      <c r="O292" s="60">
        <f t="shared" si="130"/>
        <v>0</v>
      </c>
      <c r="P292" s="60">
        <f t="shared" si="131"/>
        <v>0</v>
      </c>
      <c r="Q292" s="60">
        <f t="shared" si="132"/>
        <v>18</v>
      </c>
      <c r="R292" s="60">
        <f t="shared" si="133"/>
        <v>18</v>
      </c>
      <c r="S292" s="60">
        <f t="shared" si="134"/>
        <v>390000</v>
      </c>
      <c r="T292" s="60">
        <f t="shared" si="135"/>
        <v>390000</v>
      </c>
      <c r="U292" s="60">
        <f t="shared" si="136"/>
        <v>0</v>
      </c>
      <c r="V292" s="60">
        <f t="shared" si="137"/>
        <v>0</v>
      </c>
      <c r="W292" s="60">
        <f t="shared" si="138"/>
        <v>0</v>
      </c>
      <c r="X292" s="60">
        <f t="shared" si="139"/>
        <v>0</v>
      </c>
      <c r="Y292" s="60">
        <f t="shared" si="140"/>
        <v>90000</v>
      </c>
      <c r="Z292" s="60">
        <f t="shared" si="141"/>
        <v>90000</v>
      </c>
      <c r="AA292" s="42"/>
      <c r="AB292" s="42"/>
      <c r="AC292" s="60">
        <f t="shared" si="142"/>
        <v>0</v>
      </c>
      <c r="AD292" s="60">
        <f t="shared" si="143"/>
        <v>0</v>
      </c>
      <c r="AE292" s="42"/>
      <c r="AF292" s="42"/>
      <c r="AG292" s="60">
        <f t="shared" si="145"/>
        <v>5</v>
      </c>
      <c r="AH292" s="60">
        <f t="shared" si="144"/>
        <v>5</v>
      </c>
      <c r="AJ292" s="22"/>
    </row>
    <row r="293" spans="1:57" s="19" customFormat="1" x14ac:dyDescent="0.15">
      <c r="B293" s="79" t="str">
        <f t="shared" si="127"/>
        <v/>
      </c>
      <c r="C293" s="85"/>
      <c r="D293" s="75">
        <f>INDEX(节奏总纲!$AM$4:$AM$83,$F293)</f>
        <v>377.76930817680426</v>
      </c>
      <c r="E293" s="75">
        <f>求节点(节奏总纲!$P$4:$P$163,节奏总纲!$O$4:$O$163,$D293)</f>
        <v>85.643863186592412</v>
      </c>
      <c r="F293" s="40">
        <v>47</v>
      </c>
      <c r="G293" s="85"/>
      <c r="H293" s="65" t="s">
        <v>469</v>
      </c>
      <c r="I293" s="63"/>
      <c r="J293" s="69"/>
      <c r="K293" s="63"/>
      <c r="L293" s="40"/>
      <c r="M293" s="60">
        <f t="shared" si="128"/>
        <v>50</v>
      </c>
      <c r="N293" s="60">
        <f t="shared" si="129"/>
        <v>50</v>
      </c>
      <c r="O293" s="60">
        <f t="shared" si="130"/>
        <v>0</v>
      </c>
      <c r="P293" s="60">
        <f t="shared" si="131"/>
        <v>0</v>
      </c>
      <c r="Q293" s="60">
        <f t="shared" si="132"/>
        <v>18</v>
      </c>
      <c r="R293" s="60">
        <f t="shared" si="133"/>
        <v>18</v>
      </c>
      <c r="S293" s="60">
        <f t="shared" si="134"/>
        <v>390000</v>
      </c>
      <c r="T293" s="60">
        <f t="shared" si="135"/>
        <v>390000</v>
      </c>
      <c r="U293" s="60">
        <f t="shared" si="136"/>
        <v>0</v>
      </c>
      <c r="V293" s="60">
        <f t="shared" si="137"/>
        <v>0</v>
      </c>
      <c r="W293" s="60">
        <f t="shared" si="138"/>
        <v>0</v>
      </c>
      <c r="X293" s="60">
        <f t="shared" si="139"/>
        <v>0</v>
      </c>
      <c r="Y293" s="60">
        <f t="shared" si="140"/>
        <v>90000</v>
      </c>
      <c r="Z293" s="60">
        <f t="shared" si="141"/>
        <v>90000</v>
      </c>
      <c r="AA293" s="42"/>
      <c r="AB293" s="42"/>
      <c r="AC293" s="60">
        <f t="shared" si="142"/>
        <v>0</v>
      </c>
      <c r="AD293" s="60">
        <f t="shared" si="143"/>
        <v>0</v>
      </c>
      <c r="AE293" s="42"/>
      <c r="AF293" s="42"/>
      <c r="AG293" s="60">
        <f t="shared" si="145"/>
        <v>5</v>
      </c>
      <c r="AH293" s="60">
        <f t="shared" si="144"/>
        <v>5</v>
      </c>
      <c r="AJ293" s="22"/>
    </row>
    <row r="294" spans="1:57" s="19" customFormat="1" x14ac:dyDescent="0.15">
      <c r="B294" s="79">
        <f t="shared" si="127"/>
        <v>6</v>
      </c>
      <c r="C294" s="85"/>
      <c r="D294" s="75">
        <f>INDEX(节奏总纲!$AM$4:$AM$83,$F294)</f>
        <v>437.90148836012787</v>
      </c>
      <c r="E294" s="75">
        <f>求节点(节奏总纲!$P$4:$P$163,节奏总纲!$O$4:$O$163,$D294)</f>
        <v>87.771500639866005</v>
      </c>
      <c r="F294" s="40">
        <v>48</v>
      </c>
      <c r="G294" s="85">
        <v>13</v>
      </c>
      <c r="H294" s="65" t="s">
        <v>470</v>
      </c>
      <c r="I294" s="63"/>
      <c r="J294" s="69"/>
      <c r="K294" s="63"/>
      <c r="L294" s="40"/>
      <c r="M294" s="60">
        <f t="shared" si="128"/>
        <v>50</v>
      </c>
      <c r="N294" s="60">
        <f t="shared" si="129"/>
        <v>50</v>
      </c>
      <c r="O294" s="60">
        <f t="shared" si="130"/>
        <v>0</v>
      </c>
      <c r="P294" s="60">
        <f t="shared" si="131"/>
        <v>0</v>
      </c>
      <c r="Q294" s="60">
        <f t="shared" si="132"/>
        <v>18</v>
      </c>
      <c r="R294" s="60">
        <f t="shared" si="133"/>
        <v>18</v>
      </c>
      <c r="S294" s="60">
        <f t="shared" si="134"/>
        <v>410000</v>
      </c>
      <c r="T294" s="60">
        <f t="shared" si="135"/>
        <v>410000</v>
      </c>
      <c r="U294" s="60">
        <f t="shared" si="136"/>
        <v>0</v>
      </c>
      <c r="V294" s="60">
        <f t="shared" si="137"/>
        <v>0</v>
      </c>
      <c r="W294" s="60">
        <f t="shared" si="138"/>
        <v>0</v>
      </c>
      <c r="X294" s="60">
        <f t="shared" si="139"/>
        <v>0</v>
      </c>
      <c r="Y294" s="60">
        <f t="shared" si="140"/>
        <v>100000</v>
      </c>
      <c r="Z294" s="60">
        <f t="shared" si="141"/>
        <v>100000</v>
      </c>
      <c r="AA294" s="42"/>
      <c r="AB294" s="42"/>
      <c r="AC294" s="60">
        <f t="shared" si="142"/>
        <v>0</v>
      </c>
      <c r="AD294" s="60">
        <f t="shared" si="143"/>
        <v>0</v>
      </c>
      <c r="AE294" s="42"/>
      <c r="AF294" s="42"/>
      <c r="AG294" s="60">
        <f t="shared" si="145"/>
        <v>5</v>
      </c>
      <c r="AH294" s="60">
        <f t="shared" si="144"/>
        <v>5</v>
      </c>
      <c r="AJ294" s="22"/>
    </row>
    <row r="295" spans="1:57" s="19" customFormat="1" x14ac:dyDescent="0.15">
      <c r="B295" s="79" t="str">
        <f t="shared" si="127"/>
        <v/>
      </c>
      <c r="C295" s="85"/>
      <c r="D295" s="75">
        <f>INDEX(节奏总纲!$AM$4:$AM$83,$F295)</f>
        <v>437.90148836012787</v>
      </c>
      <c r="E295" s="75">
        <f>求节点(节奏总纲!$P$4:$P$163,节奏总纲!$O$4:$O$163,$D295)</f>
        <v>87.771500639866005</v>
      </c>
      <c r="F295" s="40">
        <v>48</v>
      </c>
      <c r="G295" s="85"/>
      <c r="H295" s="70" t="s">
        <v>729</v>
      </c>
      <c r="I295" s="63"/>
      <c r="J295" s="69"/>
      <c r="K295" s="63"/>
      <c r="L295" s="40"/>
      <c r="M295" s="60">
        <f t="shared" si="128"/>
        <v>50</v>
      </c>
      <c r="N295" s="60">
        <f t="shared" si="129"/>
        <v>50</v>
      </c>
      <c r="O295" s="60">
        <f t="shared" si="130"/>
        <v>0</v>
      </c>
      <c r="P295" s="60">
        <f t="shared" si="131"/>
        <v>0</v>
      </c>
      <c r="Q295" s="60">
        <f t="shared" si="132"/>
        <v>18</v>
      </c>
      <c r="R295" s="60">
        <f t="shared" si="133"/>
        <v>18</v>
      </c>
      <c r="S295" s="60">
        <f t="shared" si="134"/>
        <v>410000</v>
      </c>
      <c r="T295" s="60">
        <f t="shared" si="135"/>
        <v>410000</v>
      </c>
      <c r="U295" s="60">
        <f t="shared" si="136"/>
        <v>0</v>
      </c>
      <c r="V295" s="60">
        <f t="shared" si="137"/>
        <v>0</v>
      </c>
      <c r="W295" s="60">
        <f t="shared" si="138"/>
        <v>0</v>
      </c>
      <c r="X295" s="60">
        <f t="shared" si="139"/>
        <v>0</v>
      </c>
      <c r="Y295" s="60">
        <f t="shared" si="140"/>
        <v>100000</v>
      </c>
      <c r="Z295" s="60">
        <f t="shared" si="141"/>
        <v>100000</v>
      </c>
      <c r="AA295" s="42"/>
      <c r="AB295" s="42"/>
      <c r="AC295" s="60">
        <f t="shared" si="142"/>
        <v>0</v>
      </c>
      <c r="AD295" s="60">
        <f t="shared" si="143"/>
        <v>0</v>
      </c>
      <c r="AE295" s="42"/>
      <c r="AF295" s="42"/>
      <c r="AG295" s="60">
        <f t="shared" si="145"/>
        <v>5</v>
      </c>
      <c r="AH295" s="60">
        <f t="shared" si="144"/>
        <v>5</v>
      </c>
      <c r="AJ295" s="22"/>
    </row>
    <row r="296" spans="1:57" s="19" customFormat="1" x14ac:dyDescent="0.15">
      <c r="B296" s="79" t="str">
        <f t="shared" si="127"/>
        <v/>
      </c>
      <c r="C296" s="85"/>
      <c r="D296" s="75">
        <f>INDEX(节奏总纲!$AM$4:$AM$83,$F296)</f>
        <v>437.90148836012787</v>
      </c>
      <c r="E296" s="75">
        <f>求节点(节奏总纲!$P$4:$P$163,节奏总纲!$O$4:$O$163,$D296)</f>
        <v>87.771500639866005</v>
      </c>
      <c r="F296" s="40">
        <v>48</v>
      </c>
      <c r="G296" s="85"/>
      <c r="H296" s="70" t="s">
        <v>509</v>
      </c>
      <c r="I296" s="63"/>
      <c r="J296" s="69"/>
      <c r="K296" s="63"/>
      <c r="L296" s="40"/>
      <c r="M296" s="60">
        <f t="shared" si="128"/>
        <v>50</v>
      </c>
      <c r="N296" s="60">
        <f t="shared" si="129"/>
        <v>50</v>
      </c>
      <c r="O296" s="60">
        <f t="shared" si="130"/>
        <v>0</v>
      </c>
      <c r="P296" s="60">
        <f t="shared" si="131"/>
        <v>0</v>
      </c>
      <c r="Q296" s="60">
        <f t="shared" si="132"/>
        <v>18</v>
      </c>
      <c r="R296" s="60">
        <f t="shared" si="133"/>
        <v>18</v>
      </c>
      <c r="S296" s="60">
        <f t="shared" si="134"/>
        <v>410000</v>
      </c>
      <c r="T296" s="60">
        <f t="shared" si="135"/>
        <v>410000</v>
      </c>
      <c r="U296" s="60">
        <f t="shared" si="136"/>
        <v>0</v>
      </c>
      <c r="V296" s="60">
        <f t="shared" si="137"/>
        <v>0</v>
      </c>
      <c r="W296" s="60">
        <f t="shared" si="138"/>
        <v>0</v>
      </c>
      <c r="X296" s="60">
        <f t="shared" si="139"/>
        <v>0</v>
      </c>
      <c r="Y296" s="60">
        <f t="shared" si="140"/>
        <v>100000</v>
      </c>
      <c r="Z296" s="60">
        <f t="shared" si="141"/>
        <v>100000</v>
      </c>
      <c r="AA296" s="42"/>
      <c r="AB296" s="42"/>
      <c r="AC296" s="60">
        <f t="shared" si="142"/>
        <v>0</v>
      </c>
      <c r="AD296" s="60">
        <f t="shared" si="143"/>
        <v>0</v>
      </c>
      <c r="AE296" s="42"/>
      <c r="AF296" s="42"/>
      <c r="AG296" s="60">
        <f t="shared" si="145"/>
        <v>5</v>
      </c>
      <c r="AH296" s="60">
        <f t="shared" si="144"/>
        <v>5</v>
      </c>
      <c r="AJ296" s="22"/>
    </row>
    <row r="297" spans="1:57" s="19" customFormat="1" x14ac:dyDescent="0.15">
      <c r="B297" s="79" t="str">
        <f t="shared" si="127"/>
        <v/>
      </c>
      <c r="C297" s="85"/>
      <c r="D297" s="75">
        <f>INDEX(节奏总纲!$AM$4:$AM$83,$F297)</f>
        <v>437.90148836012787</v>
      </c>
      <c r="E297" s="75">
        <f>求节点(节奏总纲!$P$4:$P$163,节奏总纲!$O$4:$O$163,$D297)</f>
        <v>87.771500639866005</v>
      </c>
      <c r="F297" s="40">
        <v>48</v>
      </c>
      <c r="G297" s="85"/>
      <c r="H297" s="70" t="s">
        <v>730</v>
      </c>
      <c r="I297" s="63"/>
      <c r="J297" s="69"/>
      <c r="K297" s="63"/>
      <c r="L297" s="40"/>
      <c r="M297" s="60">
        <f t="shared" si="128"/>
        <v>50</v>
      </c>
      <c r="N297" s="60">
        <f t="shared" si="129"/>
        <v>50</v>
      </c>
      <c r="O297" s="60">
        <f t="shared" si="130"/>
        <v>0</v>
      </c>
      <c r="P297" s="60">
        <f t="shared" si="131"/>
        <v>0</v>
      </c>
      <c r="Q297" s="60">
        <f t="shared" si="132"/>
        <v>18</v>
      </c>
      <c r="R297" s="60">
        <f t="shared" si="133"/>
        <v>18</v>
      </c>
      <c r="S297" s="60">
        <f t="shared" si="134"/>
        <v>410000</v>
      </c>
      <c r="T297" s="60">
        <f t="shared" si="135"/>
        <v>410000</v>
      </c>
      <c r="U297" s="60">
        <f t="shared" si="136"/>
        <v>0</v>
      </c>
      <c r="V297" s="60">
        <f t="shared" si="137"/>
        <v>0</v>
      </c>
      <c r="W297" s="60">
        <f t="shared" si="138"/>
        <v>0</v>
      </c>
      <c r="X297" s="60">
        <f t="shared" si="139"/>
        <v>0</v>
      </c>
      <c r="Y297" s="60">
        <f t="shared" si="140"/>
        <v>100000</v>
      </c>
      <c r="Z297" s="60">
        <f t="shared" si="141"/>
        <v>100000</v>
      </c>
      <c r="AA297" s="42"/>
      <c r="AB297" s="42"/>
      <c r="AC297" s="60">
        <f t="shared" si="142"/>
        <v>0</v>
      </c>
      <c r="AD297" s="60">
        <f t="shared" si="143"/>
        <v>0</v>
      </c>
      <c r="AE297" s="42"/>
      <c r="AF297" s="42"/>
      <c r="AG297" s="60">
        <f t="shared" si="145"/>
        <v>5</v>
      </c>
      <c r="AH297" s="60">
        <f t="shared" si="144"/>
        <v>5</v>
      </c>
      <c r="AJ297" s="22"/>
    </row>
    <row r="298" spans="1:57" s="19" customFormat="1" x14ac:dyDescent="0.15">
      <c r="B298" s="79" t="str">
        <f t="shared" si="127"/>
        <v/>
      </c>
      <c r="C298" s="85"/>
      <c r="D298" s="75">
        <f>INDEX(节奏总纲!$AM$4:$AM$83,$F298)</f>
        <v>437.90148836012787</v>
      </c>
      <c r="E298" s="75">
        <f>求节点(节奏总纲!$P$4:$P$163,节奏总纲!$O$4:$O$163,$D298)</f>
        <v>87.771500639866005</v>
      </c>
      <c r="F298" s="40">
        <v>48</v>
      </c>
      <c r="G298" s="85"/>
      <c r="H298" s="63" t="s">
        <v>471</v>
      </c>
      <c r="I298" s="63"/>
      <c r="J298" s="69"/>
      <c r="K298" s="63"/>
      <c r="L298" s="40"/>
      <c r="M298" s="60">
        <f t="shared" si="128"/>
        <v>50</v>
      </c>
      <c r="N298" s="60">
        <f t="shared" si="129"/>
        <v>50</v>
      </c>
      <c r="O298" s="60">
        <f t="shared" si="130"/>
        <v>0</v>
      </c>
      <c r="P298" s="60">
        <f t="shared" si="131"/>
        <v>0</v>
      </c>
      <c r="Q298" s="60">
        <f t="shared" si="132"/>
        <v>18</v>
      </c>
      <c r="R298" s="60">
        <f t="shared" si="133"/>
        <v>18</v>
      </c>
      <c r="S298" s="60">
        <f t="shared" si="134"/>
        <v>410000</v>
      </c>
      <c r="T298" s="60">
        <f t="shared" si="135"/>
        <v>410000</v>
      </c>
      <c r="U298" s="60">
        <f t="shared" si="136"/>
        <v>0</v>
      </c>
      <c r="V298" s="60">
        <f t="shared" si="137"/>
        <v>0</v>
      </c>
      <c r="W298" s="60">
        <f t="shared" si="138"/>
        <v>0</v>
      </c>
      <c r="X298" s="60">
        <f t="shared" si="139"/>
        <v>0</v>
      </c>
      <c r="Y298" s="60">
        <f t="shared" si="140"/>
        <v>100000</v>
      </c>
      <c r="Z298" s="60">
        <f t="shared" si="141"/>
        <v>100000</v>
      </c>
      <c r="AA298" s="42"/>
      <c r="AB298" s="42"/>
      <c r="AC298" s="60">
        <f t="shared" si="142"/>
        <v>0</v>
      </c>
      <c r="AD298" s="60">
        <f t="shared" si="143"/>
        <v>0</v>
      </c>
      <c r="AE298" s="42"/>
      <c r="AF298" s="42"/>
      <c r="AG298" s="60">
        <f t="shared" si="145"/>
        <v>5</v>
      </c>
      <c r="AH298" s="60">
        <f t="shared" si="144"/>
        <v>5</v>
      </c>
      <c r="AJ298" s="22"/>
    </row>
    <row r="299" spans="1:57" s="19" customFormat="1" x14ac:dyDescent="0.15">
      <c r="B299" s="79" t="str">
        <f t="shared" si="127"/>
        <v/>
      </c>
      <c r="C299" s="85"/>
      <c r="D299" s="75">
        <f>INDEX(节奏总纲!$AM$4:$AM$83,$F299)</f>
        <v>437.90148836012787</v>
      </c>
      <c r="E299" s="75">
        <f>求节点(节奏总纲!$P$4:$P$163,节奏总纲!$O$4:$O$163,$D299)</f>
        <v>87.771500639866005</v>
      </c>
      <c r="F299" s="40">
        <v>48</v>
      </c>
      <c r="G299" s="85"/>
      <c r="H299" s="70" t="s">
        <v>472</v>
      </c>
      <c r="I299" s="63"/>
      <c r="J299" s="69"/>
      <c r="K299" s="63"/>
      <c r="L299" s="40"/>
      <c r="M299" s="60">
        <f t="shared" si="128"/>
        <v>50</v>
      </c>
      <c r="N299" s="60">
        <f t="shared" si="129"/>
        <v>50</v>
      </c>
      <c r="O299" s="60">
        <f t="shared" si="130"/>
        <v>0</v>
      </c>
      <c r="P299" s="60">
        <f t="shared" si="131"/>
        <v>0</v>
      </c>
      <c r="Q299" s="60">
        <f t="shared" si="132"/>
        <v>18</v>
      </c>
      <c r="R299" s="60">
        <f t="shared" si="133"/>
        <v>18</v>
      </c>
      <c r="S299" s="60">
        <f t="shared" si="134"/>
        <v>410000</v>
      </c>
      <c r="T299" s="60">
        <f t="shared" si="135"/>
        <v>410000</v>
      </c>
      <c r="U299" s="60">
        <f t="shared" si="136"/>
        <v>0</v>
      </c>
      <c r="V299" s="60">
        <f t="shared" si="137"/>
        <v>0</v>
      </c>
      <c r="W299" s="60">
        <f t="shared" si="138"/>
        <v>0</v>
      </c>
      <c r="X299" s="60">
        <f t="shared" si="139"/>
        <v>0</v>
      </c>
      <c r="Y299" s="60">
        <f t="shared" si="140"/>
        <v>100000</v>
      </c>
      <c r="Z299" s="60">
        <f t="shared" si="141"/>
        <v>100000</v>
      </c>
      <c r="AA299" s="42"/>
      <c r="AB299" s="42"/>
      <c r="AC299" s="60">
        <f t="shared" si="142"/>
        <v>0</v>
      </c>
      <c r="AD299" s="60">
        <f t="shared" si="143"/>
        <v>0</v>
      </c>
      <c r="AE299" s="42"/>
      <c r="AF299" s="42"/>
      <c r="AG299" s="60">
        <f t="shared" si="145"/>
        <v>5</v>
      </c>
      <c r="AH299" s="60">
        <f t="shared" si="144"/>
        <v>5</v>
      </c>
      <c r="AJ299" s="22"/>
    </row>
    <row r="300" spans="1:57" s="19" customFormat="1" x14ac:dyDescent="0.15">
      <c r="B300" s="79">
        <f t="shared" si="127"/>
        <v>3</v>
      </c>
      <c r="C300" s="85"/>
      <c r="D300" s="75">
        <f>INDEX(节奏总纲!$AM$4:$AM$83,$F300)</f>
        <v>507.55295278468168</v>
      </c>
      <c r="E300" s="75">
        <f>求节点(节奏总纲!$P$4:$P$163,节奏总纲!$O$4:$O$163,$D300)</f>
        <v>89.899465210602642</v>
      </c>
      <c r="F300" s="40">
        <v>49</v>
      </c>
      <c r="G300" s="85">
        <v>14</v>
      </c>
      <c r="H300" s="70" t="s">
        <v>473</v>
      </c>
      <c r="I300" s="63"/>
      <c r="J300" s="69"/>
      <c r="K300" s="63"/>
      <c r="L300" s="40"/>
      <c r="M300" s="60">
        <f t="shared" si="128"/>
        <v>50</v>
      </c>
      <c r="N300" s="60">
        <f t="shared" si="129"/>
        <v>50</v>
      </c>
      <c r="O300" s="60">
        <f t="shared" si="130"/>
        <v>0</v>
      </c>
      <c r="P300" s="60">
        <f t="shared" si="131"/>
        <v>0</v>
      </c>
      <c r="Q300" s="60">
        <f t="shared" si="132"/>
        <v>18</v>
      </c>
      <c r="R300" s="60">
        <f t="shared" si="133"/>
        <v>18</v>
      </c>
      <c r="S300" s="60">
        <f t="shared" si="134"/>
        <v>420000</v>
      </c>
      <c r="T300" s="60">
        <f t="shared" si="135"/>
        <v>420000</v>
      </c>
      <c r="U300" s="60">
        <f t="shared" si="136"/>
        <v>0</v>
      </c>
      <c r="V300" s="60">
        <f t="shared" si="137"/>
        <v>0</v>
      </c>
      <c r="W300" s="60">
        <f t="shared" si="138"/>
        <v>0</v>
      </c>
      <c r="X300" s="60">
        <f t="shared" si="139"/>
        <v>0</v>
      </c>
      <c r="Y300" s="60">
        <f t="shared" si="140"/>
        <v>100000</v>
      </c>
      <c r="Z300" s="60">
        <f t="shared" si="141"/>
        <v>100000</v>
      </c>
      <c r="AA300" s="42"/>
      <c r="AB300" s="42"/>
      <c r="AC300" s="60">
        <f t="shared" si="142"/>
        <v>0</v>
      </c>
      <c r="AD300" s="60">
        <f t="shared" si="143"/>
        <v>0</v>
      </c>
      <c r="AE300" s="42"/>
      <c r="AF300" s="42"/>
      <c r="AG300" s="60">
        <f t="shared" si="145"/>
        <v>5</v>
      </c>
      <c r="AH300" s="60">
        <f t="shared" si="144"/>
        <v>5</v>
      </c>
      <c r="AJ300" s="22"/>
    </row>
    <row r="301" spans="1:57" s="19" customFormat="1" x14ac:dyDescent="0.15">
      <c r="B301" s="79" t="str">
        <f t="shared" si="127"/>
        <v/>
      </c>
      <c r="C301" s="85"/>
      <c r="D301" s="75">
        <f>INDEX(节奏总纲!$AM$4:$AM$83,$F301)</f>
        <v>507.55295278468168</v>
      </c>
      <c r="E301" s="75">
        <f>求节点(节奏总纲!$P$4:$P$163,节奏总纲!$O$4:$O$163,$D301)</f>
        <v>89.899465210602642</v>
      </c>
      <c r="F301" s="40">
        <v>49</v>
      </c>
      <c r="G301" s="85"/>
      <c r="H301" s="70" t="s">
        <v>601</v>
      </c>
      <c r="I301" s="63"/>
      <c r="J301" s="69"/>
      <c r="K301" s="63"/>
      <c r="L301" s="40"/>
      <c r="M301" s="60">
        <f t="shared" si="128"/>
        <v>50</v>
      </c>
      <c r="N301" s="60">
        <f t="shared" si="129"/>
        <v>50</v>
      </c>
      <c r="O301" s="60">
        <f t="shared" si="130"/>
        <v>0</v>
      </c>
      <c r="P301" s="60">
        <f t="shared" si="131"/>
        <v>0</v>
      </c>
      <c r="Q301" s="60">
        <f t="shared" si="132"/>
        <v>18</v>
      </c>
      <c r="R301" s="60">
        <f t="shared" si="133"/>
        <v>18</v>
      </c>
      <c r="S301" s="60">
        <f t="shared" si="134"/>
        <v>420000</v>
      </c>
      <c r="T301" s="60">
        <f t="shared" si="135"/>
        <v>420000</v>
      </c>
      <c r="U301" s="60">
        <f t="shared" si="136"/>
        <v>0</v>
      </c>
      <c r="V301" s="60">
        <f t="shared" si="137"/>
        <v>0</v>
      </c>
      <c r="W301" s="60">
        <f t="shared" si="138"/>
        <v>0</v>
      </c>
      <c r="X301" s="60">
        <f t="shared" si="139"/>
        <v>0</v>
      </c>
      <c r="Y301" s="60">
        <f t="shared" si="140"/>
        <v>100000</v>
      </c>
      <c r="Z301" s="60">
        <f t="shared" si="141"/>
        <v>100000</v>
      </c>
      <c r="AA301" s="42"/>
      <c r="AB301" s="42"/>
      <c r="AC301" s="60">
        <f t="shared" si="142"/>
        <v>0</v>
      </c>
      <c r="AD301" s="60">
        <f t="shared" si="143"/>
        <v>0</v>
      </c>
      <c r="AE301" s="42"/>
      <c r="AF301" s="42"/>
      <c r="AG301" s="60">
        <f t="shared" si="145"/>
        <v>5</v>
      </c>
      <c r="AH301" s="60">
        <f t="shared" si="144"/>
        <v>5</v>
      </c>
      <c r="AJ301" s="22"/>
    </row>
    <row r="302" spans="1:57" s="19" customFormat="1" x14ac:dyDescent="0.15">
      <c r="B302" s="79" t="str">
        <f t="shared" si="127"/>
        <v/>
      </c>
      <c r="C302" s="85"/>
      <c r="D302" s="75">
        <f>INDEX(节奏总纲!$AM$4:$AM$83,$F302)</f>
        <v>507.55295278468168</v>
      </c>
      <c r="E302" s="75">
        <f>求节点(节奏总纲!$P$4:$P$163,节奏总纲!$O$4:$O$163,$D302)</f>
        <v>89.899465210602642</v>
      </c>
      <c r="F302" s="40">
        <v>49</v>
      </c>
      <c r="G302" s="85"/>
      <c r="H302" s="70" t="s">
        <v>731</v>
      </c>
      <c r="I302" s="63"/>
      <c r="J302" s="69"/>
      <c r="K302" s="63"/>
      <c r="L302" s="40"/>
      <c r="M302" s="60">
        <f t="shared" si="128"/>
        <v>50</v>
      </c>
      <c r="N302" s="60">
        <f t="shared" si="129"/>
        <v>50</v>
      </c>
      <c r="O302" s="60">
        <f t="shared" si="130"/>
        <v>0</v>
      </c>
      <c r="P302" s="60">
        <f t="shared" si="131"/>
        <v>0</v>
      </c>
      <c r="Q302" s="60">
        <f t="shared" si="132"/>
        <v>18</v>
      </c>
      <c r="R302" s="60">
        <f t="shared" si="133"/>
        <v>18</v>
      </c>
      <c r="S302" s="60">
        <f t="shared" si="134"/>
        <v>420000</v>
      </c>
      <c r="T302" s="60">
        <f t="shared" si="135"/>
        <v>420000</v>
      </c>
      <c r="U302" s="60">
        <f t="shared" si="136"/>
        <v>0</v>
      </c>
      <c r="V302" s="60">
        <f t="shared" si="137"/>
        <v>0</v>
      </c>
      <c r="W302" s="60">
        <f t="shared" si="138"/>
        <v>0</v>
      </c>
      <c r="X302" s="60">
        <f t="shared" si="139"/>
        <v>0</v>
      </c>
      <c r="Y302" s="60">
        <f t="shared" si="140"/>
        <v>100000</v>
      </c>
      <c r="Z302" s="60">
        <f t="shared" si="141"/>
        <v>100000</v>
      </c>
      <c r="AA302" s="42"/>
      <c r="AB302" s="42"/>
      <c r="AC302" s="60">
        <f t="shared" si="142"/>
        <v>0</v>
      </c>
      <c r="AD302" s="60">
        <f t="shared" si="143"/>
        <v>0</v>
      </c>
      <c r="AE302" s="42"/>
      <c r="AF302" s="42"/>
      <c r="AG302" s="60">
        <f t="shared" si="145"/>
        <v>5</v>
      </c>
      <c r="AH302" s="60">
        <f t="shared" si="144"/>
        <v>5</v>
      </c>
      <c r="AJ302" s="22"/>
    </row>
    <row r="303" spans="1:57" x14ac:dyDescent="0.15">
      <c r="A303" s="19"/>
      <c r="B303" s="79" t="str">
        <f t="shared" si="127"/>
        <v/>
      </c>
      <c r="C303" s="85"/>
      <c r="D303" s="75">
        <f>INDEX(节奏总纲!$AM$4:$AM$83,$F303)</f>
        <v>507.55295278468168</v>
      </c>
      <c r="E303" s="75">
        <f>求节点(节奏总纲!$P$4:$P$163,节奏总纲!$O$4:$O$163,$D303)</f>
        <v>89.899465210602642</v>
      </c>
      <c r="F303" s="40">
        <v>49</v>
      </c>
      <c r="G303" s="85"/>
      <c r="H303" s="70"/>
      <c r="I303" s="63"/>
      <c r="J303" s="69"/>
      <c r="K303" s="63"/>
      <c r="M303" s="60">
        <f t="shared" si="128"/>
        <v>50</v>
      </c>
      <c r="N303" s="60">
        <f t="shared" si="129"/>
        <v>0</v>
      </c>
      <c r="O303" s="60">
        <f t="shared" si="130"/>
        <v>0</v>
      </c>
      <c r="P303" s="60">
        <f t="shared" si="131"/>
        <v>0</v>
      </c>
      <c r="Q303" s="60">
        <f t="shared" si="132"/>
        <v>18</v>
      </c>
      <c r="R303" s="60">
        <f t="shared" si="133"/>
        <v>0</v>
      </c>
      <c r="S303" s="60">
        <f t="shared" si="134"/>
        <v>420000</v>
      </c>
      <c r="T303" s="60">
        <f t="shared" si="135"/>
        <v>0</v>
      </c>
      <c r="U303" s="60">
        <f t="shared" si="136"/>
        <v>0</v>
      </c>
      <c r="V303" s="60">
        <f t="shared" si="137"/>
        <v>0</v>
      </c>
      <c r="W303" s="60">
        <f t="shared" si="138"/>
        <v>0</v>
      </c>
      <c r="X303" s="60">
        <f t="shared" si="139"/>
        <v>0</v>
      </c>
      <c r="Y303" s="60">
        <f t="shared" si="140"/>
        <v>100000</v>
      </c>
      <c r="Z303" s="60">
        <f t="shared" si="141"/>
        <v>0</v>
      </c>
      <c r="AA303" s="42"/>
      <c r="AB303" s="42"/>
      <c r="AC303" s="60">
        <f t="shared" si="142"/>
        <v>0</v>
      </c>
      <c r="AD303" s="60">
        <f t="shared" si="143"/>
        <v>0</v>
      </c>
      <c r="AE303" s="42"/>
      <c r="AF303" s="42"/>
      <c r="AG303" s="60">
        <f t="shared" si="145"/>
        <v>5</v>
      </c>
      <c r="AH303" s="60">
        <f t="shared" si="144"/>
        <v>0</v>
      </c>
      <c r="AI303" s="19"/>
      <c r="AW303" s="19"/>
      <c r="AX303" s="19"/>
      <c r="AY303" s="19"/>
      <c r="AZ303" s="19"/>
      <c r="BA303" s="19"/>
      <c r="BB303" s="19"/>
      <c r="BC303" s="19"/>
      <c r="BD303" s="19"/>
      <c r="BE303" s="19"/>
    </row>
    <row r="304" spans="1:57" s="19" customFormat="1" x14ac:dyDescent="0.15">
      <c r="B304" s="79">
        <f t="shared" si="127"/>
        <v>5</v>
      </c>
      <c r="C304" s="85"/>
      <c r="D304" s="75">
        <f>INDEX(节奏总纲!$AM$4:$AM$83,$F304)</f>
        <v>588.22499999999991</v>
      </c>
      <c r="E304" s="75">
        <f>求节点(节奏总纲!$P$4:$P$163,节奏总纲!$O$4:$O$163,$D304)</f>
        <v>92.02585597384136</v>
      </c>
      <c r="F304" s="40">
        <v>50</v>
      </c>
      <c r="G304" s="85">
        <v>15</v>
      </c>
      <c r="H304" s="63" t="s">
        <v>474</v>
      </c>
      <c r="I304" s="63"/>
      <c r="J304" s="69"/>
      <c r="K304" s="63"/>
      <c r="L304" s="40"/>
      <c r="M304" s="60">
        <f t="shared" si="128"/>
        <v>50</v>
      </c>
      <c r="N304" s="60">
        <f t="shared" si="129"/>
        <v>50</v>
      </c>
      <c r="O304" s="60">
        <f t="shared" si="130"/>
        <v>0</v>
      </c>
      <c r="P304" s="60">
        <f t="shared" si="131"/>
        <v>0</v>
      </c>
      <c r="Q304" s="60">
        <f t="shared" si="132"/>
        <v>18</v>
      </c>
      <c r="R304" s="60">
        <f t="shared" si="133"/>
        <v>18</v>
      </c>
      <c r="S304" s="60">
        <f t="shared" si="134"/>
        <v>430000</v>
      </c>
      <c r="T304" s="60">
        <f t="shared" si="135"/>
        <v>430000</v>
      </c>
      <c r="U304" s="60">
        <f t="shared" si="136"/>
        <v>0</v>
      </c>
      <c r="V304" s="60">
        <f t="shared" si="137"/>
        <v>0</v>
      </c>
      <c r="W304" s="60">
        <f t="shared" si="138"/>
        <v>0</v>
      </c>
      <c r="X304" s="60">
        <f t="shared" si="139"/>
        <v>0</v>
      </c>
      <c r="Y304" s="60">
        <f t="shared" si="140"/>
        <v>100000</v>
      </c>
      <c r="Z304" s="60">
        <f t="shared" si="141"/>
        <v>100000</v>
      </c>
      <c r="AA304" s="42"/>
      <c r="AB304" s="42"/>
      <c r="AC304" s="60">
        <f t="shared" si="142"/>
        <v>0</v>
      </c>
      <c r="AD304" s="60">
        <f t="shared" si="143"/>
        <v>0</v>
      </c>
      <c r="AE304" s="42"/>
      <c r="AF304" s="42"/>
      <c r="AG304" s="60">
        <f t="shared" si="145"/>
        <v>5</v>
      </c>
      <c r="AH304" s="60">
        <f t="shared" si="144"/>
        <v>5</v>
      </c>
      <c r="AJ304" s="22"/>
    </row>
    <row r="305" spans="1:57" x14ac:dyDescent="0.15">
      <c r="A305" s="19"/>
      <c r="B305" s="79" t="str">
        <f t="shared" si="127"/>
        <v/>
      </c>
      <c r="C305" s="85"/>
      <c r="D305" s="75">
        <f>INDEX(节奏总纲!$AM$4:$AM$83,$F305)</f>
        <v>588.22499999999991</v>
      </c>
      <c r="E305" s="75">
        <f>求节点(节奏总纲!$P$4:$P$163,节奏总纲!$O$4:$O$163,$D305)</f>
        <v>92.02585597384136</v>
      </c>
      <c r="F305" s="40">
        <v>50</v>
      </c>
      <c r="G305" s="85"/>
      <c r="H305" s="63" t="s">
        <v>511</v>
      </c>
      <c r="I305" s="63"/>
      <c r="J305" s="69"/>
      <c r="K305" s="63"/>
      <c r="M305" s="60">
        <f t="shared" si="128"/>
        <v>50</v>
      </c>
      <c r="N305" s="60">
        <f t="shared" si="129"/>
        <v>50</v>
      </c>
      <c r="O305" s="60">
        <f t="shared" si="130"/>
        <v>0</v>
      </c>
      <c r="P305" s="60">
        <f t="shared" si="131"/>
        <v>0</v>
      </c>
      <c r="Q305" s="60">
        <f t="shared" si="132"/>
        <v>18</v>
      </c>
      <c r="R305" s="60">
        <f t="shared" si="133"/>
        <v>18</v>
      </c>
      <c r="S305" s="60">
        <f t="shared" si="134"/>
        <v>430000</v>
      </c>
      <c r="T305" s="60">
        <f t="shared" si="135"/>
        <v>430000</v>
      </c>
      <c r="U305" s="60">
        <f t="shared" si="136"/>
        <v>0</v>
      </c>
      <c r="V305" s="60">
        <f t="shared" si="137"/>
        <v>0</v>
      </c>
      <c r="W305" s="60">
        <f t="shared" si="138"/>
        <v>0</v>
      </c>
      <c r="X305" s="60">
        <f t="shared" si="139"/>
        <v>0</v>
      </c>
      <c r="Y305" s="60">
        <f t="shared" si="140"/>
        <v>100000</v>
      </c>
      <c r="Z305" s="60">
        <f t="shared" si="141"/>
        <v>100000</v>
      </c>
      <c r="AA305" s="42"/>
      <c r="AB305" s="42"/>
      <c r="AC305" s="60">
        <f t="shared" si="142"/>
        <v>0</v>
      </c>
      <c r="AD305" s="60">
        <f t="shared" si="143"/>
        <v>0</v>
      </c>
      <c r="AE305" s="42"/>
      <c r="AF305" s="42"/>
      <c r="AG305" s="60">
        <f t="shared" si="145"/>
        <v>5</v>
      </c>
      <c r="AH305" s="60">
        <f t="shared" si="144"/>
        <v>5</v>
      </c>
      <c r="AI305" s="19"/>
      <c r="AW305" s="19"/>
      <c r="AX305" s="19"/>
      <c r="AY305" s="19"/>
      <c r="AZ305" s="19"/>
      <c r="BA305" s="19"/>
      <c r="BB305" s="19"/>
      <c r="BC305" s="19"/>
      <c r="BD305" s="19"/>
      <c r="BE305" s="19"/>
    </row>
    <row r="306" spans="1:57" x14ac:dyDescent="0.15">
      <c r="A306" s="19"/>
      <c r="B306" s="79" t="str">
        <f t="shared" si="127"/>
        <v/>
      </c>
      <c r="C306" s="85"/>
      <c r="D306" s="75">
        <f>INDEX(节奏总纲!$AM$4:$AM$83,$F306)</f>
        <v>588.22499999999991</v>
      </c>
      <c r="E306" s="75">
        <f>求节点(节奏总纲!$P$4:$P$163,节奏总纲!$O$4:$O$163,$D306)</f>
        <v>92.02585597384136</v>
      </c>
      <c r="F306" s="40">
        <v>50</v>
      </c>
      <c r="G306" s="85"/>
      <c r="H306" s="63" t="s">
        <v>476</v>
      </c>
      <c r="I306" s="63"/>
      <c r="J306" s="69"/>
      <c r="K306" s="63"/>
      <c r="M306" s="60">
        <f t="shared" si="128"/>
        <v>50</v>
      </c>
      <c r="N306" s="60">
        <f t="shared" si="129"/>
        <v>50</v>
      </c>
      <c r="O306" s="60">
        <f t="shared" si="130"/>
        <v>0</v>
      </c>
      <c r="P306" s="60">
        <f t="shared" si="131"/>
        <v>0</v>
      </c>
      <c r="Q306" s="60">
        <f t="shared" si="132"/>
        <v>18</v>
      </c>
      <c r="R306" s="60">
        <f t="shared" si="133"/>
        <v>18</v>
      </c>
      <c r="S306" s="60">
        <f t="shared" si="134"/>
        <v>430000</v>
      </c>
      <c r="T306" s="60">
        <f t="shared" si="135"/>
        <v>430000</v>
      </c>
      <c r="U306" s="60">
        <f t="shared" si="136"/>
        <v>0</v>
      </c>
      <c r="V306" s="60">
        <f t="shared" si="137"/>
        <v>0</v>
      </c>
      <c r="W306" s="60">
        <f t="shared" si="138"/>
        <v>0</v>
      </c>
      <c r="X306" s="60">
        <f t="shared" si="139"/>
        <v>0</v>
      </c>
      <c r="Y306" s="60">
        <f t="shared" si="140"/>
        <v>100000</v>
      </c>
      <c r="Z306" s="60">
        <f t="shared" si="141"/>
        <v>100000</v>
      </c>
      <c r="AA306" s="42"/>
      <c r="AB306" s="42"/>
      <c r="AC306" s="60">
        <f t="shared" si="142"/>
        <v>0</v>
      </c>
      <c r="AD306" s="60">
        <f t="shared" si="143"/>
        <v>0</v>
      </c>
      <c r="AE306" s="42"/>
      <c r="AF306" s="42"/>
      <c r="AG306" s="60">
        <f t="shared" si="145"/>
        <v>5</v>
      </c>
      <c r="AH306" s="60">
        <f t="shared" si="144"/>
        <v>5</v>
      </c>
      <c r="AI306" s="19"/>
      <c r="AW306" s="19"/>
      <c r="AX306" s="19"/>
      <c r="AY306" s="19"/>
      <c r="AZ306" s="19"/>
      <c r="BA306" s="19"/>
      <c r="BB306" s="19"/>
      <c r="BC306" s="19"/>
      <c r="BD306" s="19"/>
      <c r="BE306" s="19"/>
    </row>
    <row r="307" spans="1:57" x14ac:dyDescent="0.15">
      <c r="A307" s="19"/>
      <c r="B307" s="79" t="str">
        <f t="shared" si="127"/>
        <v/>
      </c>
      <c r="C307" s="85"/>
      <c r="D307" s="75">
        <f>INDEX(节奏总纲!$AM$4:$AM$83,$F307)</f>
        <v>588.22499999999991</v>
      </c>
      <c r="E307" s="75">
        <f>求节点(节奏总纲!$P$4:$P$163,节奏总纲!$O$4:$O$163,$D307)</f>
        <v>92.02585597384136</v>
      </c>
      <c r="F307" s="40">
        <v>50</v>
      </c>
      <c r="G307" s="85"/>
      <c r="H307" s="63" t="s">
        <v>595</v>
      </c>
      <c r="I307" s="63"/>
      <c r="J307" s="63"/>
      <c r="K307" s="63"/>
      <c r="M307" s="60">
        <f t="shared" si="128"/>
        <v>50</v>
      </c>
      <c r="N307" s="60">
        <f t="shared" si="129"/>
        <v>50</v>
      </c>
      <c r="O307" s="60">
        <f t="shared" si="130"/>
        <v>0</v>
      </c>
      <c r="P307" s="60">
        <f t="shared" si="131"/>
        <v>0</v>
      </c>
      <c r="Q307" s="60">
        <f t="shared" si="132"/>
        <v>18</v>
      </c>
      <c r="R307" s="60">
        <f t="shared" si="133"/>
        <v>18</v>
      </c>
      <c r="S307" s="60">
        <f t="shared" si="134"/>
        <v>430000</v>
      </c>
      <c r="T307" s="60">
        <f t="shared" si="135"/>
        <v>430000</v>
      </c>
      <c r="U307" s="60">
        <f t="shared" si="136"/>
        <v>0</v>
      </c>
      <c r="V307" s="60">
        <f t="shared" si="137"/>
        <v>0</v>
      </c>
      <c r="W307" s="60">
        <f t="shared" si="138"/>
        <v>0</v>
      </c>
      <c r="X307" s="60">
        <f t="shared" si="139"/>
        <v>0</v>
      </c>
      <c r="Y307" s="60">
        <f t="shared" si="140"/>
        <v>100000</v>
      </c>
      <c r="Z307" s="60">
        <f t="shared" si="141"/>
        <v>100000</v>
      </c>
      <c r="AA307" s="42"/>
      <c r="AB307" s="42"/>
      <c r="AC307" s="60">
        <f t="shared" si="142"/>
        <v>0</v>
      </c>
      <c r="AD307" s="60">
        <f t="shared" si="143"/>
        <v>0</v>
      </c>
      <c r="AE307" s="42"/>
      <c r="AF307" s="42"/>
      <c r="AG307" s="60">
        <f t="shared" si="145"/>
        <v>5</v>
      </c>
      <c r="AH307" s="60">
        <f t="shared" si="144"/>
        <v>5</v>
      </c>
      <c r="AI307" s="19"/>
    </row>
    <row r="308" spans="1:57" x14ac:dyDescent="0.15">
      <c r="A308" s="19"/>
      <c r="B308" s="79" t="str">
        <f t="shared" si="127"/>
        <v/>
      </c>
      <c r="C308" s="85"/>
      <c r="D308" s="75">
        <f>INDEX(节奏总纲!$AM$4:$AM$83,$F308)</f>
        <v>588.22499999999991</v>
      </c>
      <c r="E308" s="75">
        <f>求节点(节奏总纲!$P$4:$P$163,节奏总纲!$O$4:$O$163,$D308)</f>
        <v>92.02585597384136</v>
      </c>
      <c r="F308" s="40">
        <v>50</v>
      </c>
      <c r="G308" s="85"/>
      <c r="H308" s="63" t="s">
        <v>477</v>
      </c>
      <c r="I308" s="63"/>
      <c r="J308" s="63"/>
      <c r="K308" s="63"/>
      <c r="M308" s="60">
        <f t="shared" si="128"/>
        <v>50</v>
      </c>
      <c r="N308" s="60">
        <f t="shared" si="129"/>
        <v>50</v>
      </c>
      <c r="O308" s="60">
        <f t="shared" si="130"/>
        <v>0</v>
      </c>
      <c r="P308" s="60">
        <f t="shared" si="131"/>
        <v>0</v>
      </c>
      <c r="Q308" s="60">
        <f t="shared" si="132"/>
        <v>18</v>
      </c>
      <c r="R308" s="60">
        <f t="shared" si="133"/>
        <v>18</v>
      </c>
      <c r="S308" s="60">
        <f t="shared" si="134"/>
        <v>430000</v>
      </c>
      <c r="T308" s="60">
        <f t="shared" si="135"/>
        <v>430000</v>
      </c>
      <c r="U308" s="60">
        <f t="shared" si="136"/>
        <v>0</v>
      </c>
      <c r="V308" s="60">
        <f t="shared" si="137"/>
        <v>0</v>
      </c>
      <c r="W308" s="60">
        <f t="shared" si="138"/>
        <v>0</v>
      </c>
      <c r="X308" s="60">
        <f t="shared" si="139"/>
        <v>0</v>
      </c>
      <c r="Y308" s="60">
        <f t="shared" si="140"/>
        <v>100000</v>
      </c>
      <c r="Z308" s="60">
        <f t="shared" si="141"/>
        <v>100000</v>
      </c>
      <c r="AA308" s="42"/>
      <c r="AB308" s="42"/>
      <c r="AC308" s="60">
        <f t="shared" si="142"/>
        <v>0</v>
      </c>
      <c r="AD308" s="60">
        <f t="shared" si="143"/>
        <v>0</v>
      </c>
      <c r="AE308" s="42"/>
      <c r="AF308" s="42"/>
      <c r="AG308" s="60">
        <f t="shared" si="145"/>
        <v>5</v>
      </c>
      <c r="AH308" s="60">
        <f t="shared" si="144"/>
        <v>5</v>
      </c>
      <c r="AI308" s="19"/>
    </row>
    <row r="309" spans="1:57" x14ac:dyDescent="0.15">
      <c r="A309" s="19"/>
      <c r="B309" s="79">
        <f t="shared" si="127"/>
        <v>5</v>
      </c>
      <c r="C309" s="85"/>
      <c r="D309" s="75">
        <f>INDEX(节奏总纲!$AM$4:$AM$83,$F309)</f>
        <v>681.65492699983838</v>
      </c>
      <c r="E309" s="75">
        <f>求节点(节奏总纲!$P$4:$P$163,节奏总纲!$O$4:$O$163,$D309)</f>
        <v>94.145740969946885</v>
      </c>
      <c r="F309" s="40">
        <v>51</v>
      </c>
      <c r="G309" s="85">
        <v>16</v>
      </c>
      <c r="H309" s="61" t="s">
        <v>752</v>
      </c>
      <c r="I309" s="61"/>
      <c r="J309" s="77"/>
      <c r="M309" s="40">
        <f t="shared" si="128"/>
        <v>50</v>
      </c>
      <c r="N309" s="40">
        <f t="shared" si="129"/>
        <v>50</v>
      </c>
      <c r="O309" s="40">
        <f t="shared" si="130"/>
        <v>0</v>
      </c>
      <c r="P309" s="40">
        <f t="shared" si="131"/>
        <v>0</v>
      </c>
      <c r="Q309" s="40">
        <f t="shared" si="132"/>
        <v>18</v>
      </c>
      <c r="R309" s="40">
        <f t="shared" si="133"/>
        <v>18</v>
      </c>
      <c r="S309" s="40">
        <f t="shared" si="134"/>
        <v>450000</v>
      </c>
      <c r="T309" s="40">
        <f t="shared" si="135"/>
        <v>450000</v>
      </c>
      <c r="U309" s="40">
        <f t="shared" si="136"/>
        <v>0</v>
      </c>
      <c r="V309" s="40">
        <f t="shared" si="137"/>
        <v>0</v>
      </c>
      <c r="W309" s="40">
        <f t="shared" si="138"/>
        <v>0</v>
      </c>
      <c r="X309" s="40">
        <f t="shared" si="139"/>
        <v>0</v>
      </c>
      <c r="Y309" s="40">
        <f t="shared" si="140"/>
        <v>100000</v>
      </c>
      <c r="Z309" s="40">
        <f t="shared" si="141"/>
        <v>100000</v>
      </c>
      <c r="AC309" s="40">
        <f t="shared" si="142"/>
        <v>0</v>
      </c>
      <c r="AD309" s="40">
        <f t="shared" si="143"/>
        <v>0</v>
      </c>
      <c r="AG309" s="40">
        <f t="shared" si="145"/>
        <v>5</v>
      </c>
      <c r="AH309" s="40">
        <f t="shared" si="144"/>
        <v>5</v>
      </c>
      <c r="AI309" s="19"/>
    </row>
    <row r="310" spans="1:57" x14ac:dyDescent="0.15">
      <c r="A310" s="19"/>
      <c r="B310" s="79" t="str">
        <f t="shared" si="127"/>
        <v/>
      </c>
      <c r="C310" s="85"/>
      <c r="D310" s="75">
        <f>INDEX(节奏总纲!$AM$4:$AM$83,$F310)</f>
        <v>681.65492699983838</v>
      </c>
      <c r="E310" s="75">
        <f>求节点(节奏总纲!$P$4:$P$163,节奏总纲!$O$4:$O$163,$D310)</f>
        <v>94.145740969946885</v>
      </c>
      <c r="F310" s="75">
        <v>51</v>
      </c>
      <c r="G310" s="85"/>
      <c r="H310" s="40" t="s">
        <v>769</v>
      </c>
      <c r="I310" s="57"/>
      <c r="J310" s="77"/>
      <c r="M310" s="76">
        <f t="shared" si="128"/>
        <v>50</v>
      </c>
      <c r="N310" s="76">
        <f t="shared" ref="N310:N334" si="146">M310*COUNTA($H310:$K310)</f>
        <v>50</v>
      </c>
      <c r="O310" s="76">
        <f t="shared" si="130"/>
        <v>0</v>
      </c>
      <c r="P310" s="76">
        <f t="shared" ref="P310:P334" si="147">O310*COUNTA($H310:$K310)</f>
        <v>0</v>
      </c>
      <c r="Q310" s="76">
        <f t="shared" si="132"/>
        <v>18</v>
      </c>
      <c r="R310" s="76">
        <f t="shared" ref="R310:R334" si="148">Q310*COUNTA($H310:$K310)</f>
        <v>18</v>
      </c>
      <c r="S310" s="76">
        <f t="shared" si="134"/>
        <v>450000</v>
      </c>
      <c r="T310" s="76">
        <f t="shared" ref="T310:T334" si="149">S310*COUNTA($H310:$K310)</f>
        <v>450000</v>
      </c>
      <c r="U310" s="76">
        <f t="shared" si="136"/>
        <v>0</v>
      </c>
      <c r="V310" s="76">
        <f t="shared" ref="V310:V334" si="150">U310*COUNTA($H310:$K310)</f>
        <v>0</v>
      </c>
      <c r="W310" s="76">
        <f t="shared" ref="W310:W334" si="151">IF(F310&lt;28,0,ROUNDUP((W$2*$F310^W$1+W$3)/W$4,0)*W$4)</f>
        <v>0</v>
      </c>
      <c r="X310" s="76">
        <f t="shared" ref="X310:X334" si="152">W310*COUNTA($H310:$K310)</f>
        <v>0</v>
      </c>
      <c r="Y310" s="76">
        <f t="shared" ref="Y310:Y334" si="153">IF(F310&lt;28,0,ROUNDUP((Y$2*$F310^Y$1+Y$3)/Y$4,0)*Y$4)</f>
        <v>100000</v>
      </c>
      <c r="Z310" s="76">
        <f t="shared" ref="Z310:Z334" si="154">Y310*COUNTA($H310:$K310)</f>
        <v>100000</v>
      </c>
      <c r="AA310" s="76"/>
      <c r="AB310" s="76"/>
      <c r="AC310" s="76">
        <f t="shared" si="142"/>
        <v>0</v>
      </c>
      <c r="AD310" s="76">
        <f t="shared" ref="AD310:AD333" si="155">AC310*COUNTA($H310:$K310)</f>
        <v>0</v>
      </c>
      <c r="AE310" s="76"/>
      <c r="AF310" s="76"/>
      <c r="AG310" s="76">
        <f t="shared" si="145"/>
        <v>5</v>
      </c>
      <c r="AH310" s="76">
        <f t="shared" ref="AH310:AH333" si="156">AG310*COUNTA($H310:$K310)</f>
        <v>5</v>
      </c>
      <c r="AI310" s="19"/>
    </row>
    <row r="311" spans="1:57" x14ac:dyDescent="0.15">
      <c r="B311" s="79" t="str">
        <f t="shared" si="127"/>
        <v/>
      </c>
      <c r="C311" s="85"/>
      <c r="D311" s="75">
        <f>INDEX(节奏总纲!$AM$4:$AM$83,$F311)</f>
        <v>681.65492699983838</v>
      </c>
      <c r="E311" s="75">
        <f>求节点(节奏总纲!$P$4:$P$163,节奏总纲!$O$4:$O$163,$D311)</f>
        <v>94.145740969946885</v>
      </c>
      <c r="F311" s="75">
        <v>51</v>
      </c>
      <c r="G311" s="85"/>
      <c r="H311" s="40" t="s">
        <v>753</v>
      </c>
      <c r="J311" s="77"/>
      <c r="M311" s="76">
        <f t="shared" si="128"/>
        <v>50</v>
      </c>
      <c r="N311" s="76">
        <f t="shared" si="146"/>
        <v>50</v>
      </c>
      <c r="O311" s="76">
        <f t="shared" si="130"/>
        <v>0</v>
      </c>
      <c r="P311" s="76">
        <f t="shared" si="147"/>
        <v>0</v>
      </c>
      <c r="Q311" s="76">
        <f t="shared" si="132"/>
        <v>18</v>
      </c>
      <c r="R311" s="76">
        <f t="shared" si="148"/>
        <v>18</v>
      </c>
      <c r="S311" s="76">
        <f t="shared" si="134"/>
        <v>450000</v>
      </c>
      <c r="T311" s="76">
        <f t="shared" si="149"/>
        <v>450000</v>
      </c>
      <c r="U311" s="76">
        <f t="shared" si="136"/>
        <v>0</v>
      </c>
      <c r="V311" s="76">
        <f t="shared" si="150"/>
        <v>0</v>
      </c>
      <c r="W311" s="76">
        <f t="shared" si="151"/>
        <v>0</v>
      </c>
      <c r="X311" s="76">
        <f t="shared" si="152"/>
        <v>0</v>
      </c>
      <c r="Y311" s="76">
        <f t="shared" si="153"/>
        <v>100000</v>
      </c>
      <c r="Z311" s="76">
        <f t="shared" si="154"/>
        <v>100000</v>
      </c>
      <c r="AA311" s="76"/>
      <c r="AB311" s="76"/>
      <c r="AC311" s="76">
        <f t="shared" si="142"/>
        <v>0</v>
      </c>
      <c r="AD311" s="76">
        <f t="shared" si="155"/>
        <v>0</v>
      </c>
      <c r="AE311" s="76"/>
      <c r="AF311" s="76"/>
      <c r="AG311" s="76">
        <f t="shared" si="145"/>
        <v>5</v>
      </c>
      <c r="AH311" s="76">
        <f t="shared" si="156"/>
        <v>5</v>
      </c>
    </row>
    <row r="312" spans="1:57" x14ac:dyDescent="0.15">
      <c r="B312" s="79" t="str">
        <f t="shared" si="127"/>
        <v/>
      </c>
      <c r="C312" s="85"/>
      <c r="D312" s="75">
        <f>INDEX(节奏总纲!$AM$4:$AM$83,$F312)</f>
        <v>681.65492699983838</v>
      </c>
      <c r="E312" s="75">
        <f>求节点(节奏总纲!$P$4:$P$163,节奏总纲!$O$4:$O$163,$D312)</f>
        <v>94.145740969946885</v>
      </c>
      <c r="F312" s="75">
        <v>51</v>
      </c>
      <c r="G312" s="85"/>
      <c r="H312" s="40" t="s">
        <v>754</v>
      </c>
      <c r="J312" s="77"/>
      <c r="M312" s="76">
        <f t="shared" si="128"/>
        <v>50</v>
      </c>
      <c r="N312" s="76">
        <f t="shared" si="146"/>
        <v>50</v>
      </c>
      <c r="O312" s="76">
        <f t="shared" si="130"/>
        <v>0</v>
      </c>
      <c r="P312" s="76">
        <f t="shared" si="147"/>
        <v>0</v>
      </c>
      <c r="Q312" s="76">
        <f t="shared" si="132"/>
        <v>18</v>
      </c>
      <c r="R312" s="76">
        <f t="shared" si="148"/>
        <v>18</v>
      </c>
      <c r="S312" s="76">
        <f t="shared" si="134"/>
        <v>450000</v>
      </c>
      <c r="T312" s="76">
        <f t="shared" si="149"/>
        <v>450000</v>
      </c>
      <c r="U312" s="76">
        <f t="shared" si="136"/>
        <v>0</v>
      </c>
      <c r="V312" s="76">
        <f t="shared" si="150"/>
        <v>0</v>
      </c>
      <c r="W312" s="76">
        <f t="shared" si="151"/>
        <v>0</v>
      </c>
      <c r="X312" s="76">
        <f t="shared" si="152"/>
        <v>0</v>
      </c>
      <c r="Y312" s="76">
        <f t="shared" si="153"/>
        <v>100000</v>
      </c>
      <c r="Z312" s="76">
        <f t="shared" si="154"/>
        <v>100000</v>
      </c>
      <c r="AA312" s="76"/>
      <c r="AB312" s="76"/>
      <c r="AC312" s="76">
        <f t="shared" si="142"/>
        <v>0</v>
      </c>
      <c r="AD312" s="76">
        <f t="shared" si="155"/>
        <v>0</v>
      </c>
      <c r="AE312" s="76"/>
      <c r="AF312" s="76"/>
      <c r="AG312" s="76">
        <f t="shared" si="145"/>
        <v>5</v>
      </c>
      <c r="AH312" s="76">
        <f t="shared" si="156"/>
        <v>5</v>
      </c>
    </row>
    <row r="313" spans="1:57" x14ac:dyDescent="0.15">
      <c r="B313" s="79" t="str">
        <f t="shared" si="127"/>
        <v/>
      </c>
      <c r="C313" s="85"/>
      <c r="D313" s="75">
        <f>INDEX(节奏总纲!$AM$4:$AM$83,$F313)</f>
        <v>681.65492699983838</v>
      </c>
      <c r="E313" s="75">
        <f>求节点(节奏总纲!$P$4:$P$163,节奏总纲!$O$4:$O$163,$D313)</f>
        <v>94.145740969946885</v>
      </c>
      <c r="F313" s="75">
        <v>51</v>
      </c>
      <c r="G313" s="85"/>
      <c r="H313" s="40" t="s">
        <v>755</v>
      </c>
      <c r="J313" s="77"/>
      <c r="M313" s="76">
        <f t="shared" si="128"/>
        <v>50</v>
      </c>
      <c r="N313" s="76">
        <f t="shared" si="146"/>
        <v>50</v>
      </c>
      <c r="O313" s="76">
        <f t="shared" si="130"/>
        <v>0</v>
      </c>
      <c r="P313" s="76">
        <f t="shared" si="147"/>
        <v>0</v>
      </c>
      <c r="Q313" s="76">
        <f t="shared" si="132"/>
        <v>18</v>
      </c>
      <c r="R313" s="76">
        <f t="shared" si="148"/>
        <v>18</v>
      </c>
      <c r="S313" s="76">
        <f t="shared" si="134"/>
        <v>450000</v>
      </c>
      <c r="T313" s="76">
        <f t="shared" si="149"/>
        <v>450000</v>
      </c>
      <c r="U313" s="76">
        <f t="shared" si="136"/>
        <v>0</v>
      </c>
      <c r="V313" s="76">
        <f t="shared" si="150"/>
        <v>0</v>
      </c>
      <c r="W313" s="76">
        <f t="shared" si="151"/>
        <v>0</v>
      </c>
      <c r="X313" s="76">
        <f t="shared" si="152"/>
        <v>0</v>
      </c>
      <c r="Y313" s="76">
        <f t="shared" si="153"/>
        <v>100000</v>
      </c>
      <c r="Z313" s="76">
        <f t="shared" si="154"/>
        <v>100000</v>
      </c>
      <c r="AA313" s="76"/>
      <c r="AB313" s="76"/>
      <c r="AC313" s="76">
        <f t="shared" si="142"/>
        <v>0</v>
      </c>
      <c r="AD313" s="76">
        <f t="shared" si="155"/>
        <v>0</v>
      </c>
      <c r="AE313" s="76"/>
      <c r="AF313" s="76"/>
      <c r="AG313" s="76">
        <f t="shared" si="145"/>
        <v>5</v>
      </c>
      <c r="AH313" s="76">
        <f t="shared" si="156"/>
        <v>5</v>
      </c>
    </row>
    <row r="314" spans="1:57" x14ac:dyDescent="0.15">
      <c r="B314" s="79">
        <f t="shared" si="127"/>
        <v>5</v>
      </c>
      <c r="C314" s="85"/>
      <c r="D314" s="75">
        <f>INDEX(节奏总纲!$AM$4:$AM$83,$F314)</f>
        <v>789.85301886939453</v>
      </c>
      <c r="E314" s="75">
        <f>求节点(节奏总纲!$P$4:$P$163,节奏总纲!$O$4:$O$163,$D314)</f>
        <v>96.265821375882837</v>
      </c>
      <c r="F314" s="75">
        <v>52</v>
      </c>
      <c r="G314" s="85">
        <v>17</v>
      </c>
      <c r="H314" s="75" t="s">
        <v>732</v>
      </c>
      <c r="J314" s="77"/>
      <c r="M314" s="76">
        <f t="shared" si="128"/>
        <v>50</v>
      </c>
      <c r="N314" s="76">
        <f t="shared" si="146"/>
        <v>50</v>
      </c>
      <c r="O314" s="76">
        <f t="shared" si="130"/>
        <v>0</v>
      </c>
      <c r="P314" s="76">
        <f t="shared" si="147"/>
        <v>0</v>
      </c>
      <c r="Q314" s="76">
        <f t="shared" si="132"/>
        <v>19</v>
      </c>
      <c r="R314" s="76">
        <f t="shared" si="148"/>
        <v>19</v>
      </c>
      <c r="S314" s="76">
        <f t="shared" si="134"/>
        <v>460000</v>
      </c>
      <c r="T314" s="76">
        <f t="shared" si="149"/>
        <v>460000</v>
      </c>
      <c r="U314" s="76">
        <f t="shared" si="136"/>
        <v>0</v>
      </c>
      <c r="V314" s="76">
        <f t="shared" si="150"/>
        <v>0</v>
      </c>
      <c r="W314" s="76">
        <f t="shared" si="151"/>
        <v>0</v>
      </c>
      <c r="X314" s="76">
        <f t="shared" si="152"/>
        <v>0</v>
      </c>
      <c r="Y314" s="76">
        <f t="shared" si="153"/>
        <v>100000</v>
      </c>
      <c r="Z314" s="76">
        <f t="shared" si="154"/>
        <v>100000</v>
      </c>
      <c r="AA314" s="76"/>
      <c r="AB314" s="76"/>
      <c r="AC314" s="76">
        <f t="shared" si="142"/>
        <v>0</v>
      </c>
      <c r="AD314" s="76">
        <f t="shared" si="155"/>
        <v>0</v>
      </c>
      <c r="AE314" s="76"/>
      <c r="AF314" s="76"/>
      <c r="AG314" s="76">
        <f t="shared" si="145"/>
        <v>5</v>
      </c>
      <c r="AH314" s="76">
        <f t="shared" si="156"/>
        <v>5</v>
      </c>
    </row>
    <row r="315" spans="1:57" x14ac:dyDescent="0.15">
      <c r="B315" s="79" t="str">
        <f t="shared" si="127"/>
        <v/>
      </c>
      <c r="C315" s="85"/>
      <c r="D315" s="75">
        <f>INDEX(节奏总纲!$AM$4:$AM$83,$F315)</f>
        <v>789.85301886939453</v>
      </c>
      <c r="E315" s="75">
        <f>求节点(节奏总纲!$P$4:$P$163,节奏总纲!$O$4:$O$163,$D315)</f>
        <v>96.265821375882837</v>
      </c>
      <c r="F315" s="75">
        <v>52</v>
      </c>
      <c r="G315" s="85"/>
      <c r="H315" s="75" t="s">
        <v>770</v>
      </c>
      <c r="J315" s="77"/>
      <c r="M315" s="76">
        <f t="shared" si="128"/>
        <v>50</v>
      </c>
      <c r="N315" s="76">
        <f t="shared" si="146"/>
        <v>50</v>
      </c>
      <c r="O315" s="76">
        <f t="shared" si="130"/>
        <v>0</v>
      </c>
      <c r="P315" s="76">
        <f t="shared" si="147"/>
        <v>0</v>
      </c>
      <c r="Q315" s="76">
        <f t="shared" si="132"/>
        <v>19</v>
      </c>
      <c r="R315" s="76">
        <f t="shared" si="148"/>
        <v>19</v>
      </c>
      <c r="S315" s="76">
        <f t="shared" si="134"/>
        <v>460000</v>
      </c>
      <c r="T315" s="76">
        <f t="shared" si="149"/>
        <v>460000</v>
      </c>
      <c r="U315" s="76">
        <f t="shared" si="136"/>
        <v>0</v>
      </c>
      <c r="V315" s="76">
        <f t="shared" si="150"/>
        <v>0</v>
      </c>
      <c r="W315" s="76">
        <f t="shared" si="151"/>
        <v>0</v>
      </c>
      <c r="X315" s="76">
        <f t="shared" si="152"/>
        <v>0</v>
      </c>
      <c r="Y315" s="76">
        <f t="shared" si="153"/>
        <v>100000</v>
      </c>
      <c r="Z315" s="76">
        <f t="shared" si="154"/>
        <v>100000</v>
      </c>
      <c r="AA315" s="76"/>
      <c r="AB315" s="76"/>
      <c r="AC315" s="76">
        <f t="shared" si="142"/>
        <v>0</v>
      </c>
      <c r="AD315" s="76">
        <f t="shared" si="155"/>
        <v>0</v>
      </c>
      <c r="AE315" s="76"/>
      <c r="AF315" s="76"/>
      <c r="AG315" s="76">
        <f t="shared" si="145"/>
        <v>5</v>
      </c>
      <c r="AH315" s="76">
        <f t="shared" si="156"/>
        <v>5</v>
      </c>
    </row>
    <row r="316" spans="1:57" x14ac:dyDescent="0.15">
      <c r="B316" s="79" t="str">
        <f t="shared" si="127"/>
        <v/>
      </c>
      <c r="C316" s="85"/>
      <c r="D316" s="75">
        <f>INDEX(节奏总纲!$AM$4:$AM$83,$F316)</f>
        <v>789.85301886939453</v>
      </c>
      <c r="E316" s="75">
        <f>求节点(节奏总纲!$P$4:$P$163,节奏总纲!$O$4:$O$163,$D316)</f>
        <v>96.265821375882837</v>
      </c>
      <c r="F316" s="75">
        <v>52</v>
      </c>
      <c r="G316" s="85"/>
      <c r="H316" s="75" t="s">
        <v>772</v>
      </c>
      <c r="J316" s="77"/>
      <c r="M316" s="76">
        <f t="shared" si="128"/>
        <v>50</v>
      </c>
      <c r="N316" s="76">
        <f t="shared" si="146"/>
        <v>50</v>
      </c>
      <c r="O316" s="76">
        <f t="shared" si="130"/>
        <v>0</v>
      </c>
      <c r="P316" s="76">
        <f t="shared" si="147"/>
        <v>0</v>
      </c>
      <c r="Q316" s="76">
        <f t="shared" si="132"/>
        <v>19</v>
      </c>
      <c r="R316" s="76">
        <f t="shared" si="148"/>
        <v>19</v>
      </c>
      <c r="S316" s="76">
        <f t="shared" si="134"/>
        <v>460000</v>
      </c>
      <c r="T316" s="76">
        <f t="shared" si="149"/>
        <v>460000</v>
      </c>
      <c r="U316" s="76">
        <f t="shared" si="136"/>
        <v>0</v>
      </c>
      <c r="V316" s="76">
        <f t="shared" si="150"/>
        <v>0</v>
      </c>
      <c r="W316" s="76">
        <f t="shared" si="151"/>
        <v>0</v>
      </c>
      <c r="X316" s="76">
        <f t="shared" si="152"/>
        <v>0</v>
      </c>
      <c r="Y316" s="76">
        <f t="shared" si="153"/>
        <v>100000</v>
      </c>
      <c r="Z316" s="76">
        <f t="shared" si="154"/>
        <v>100000</v>
      </c>
      <c r="AA316" s="76"/>
      <c r="AB316" s="76"/>
      <c r="AC316" s="76">
        <f t="shared" si="142"/>
        <v>0</v>
      </c>
      <c r="AD316" s="76">
        <f t="shared" si="155"/>
        <v>0</v>
      </c>
      <c r="AE316" s="76"/>
      <c r="AF316" s="76"/>
      <c r="AG316" s="76">
        <f t="shared" si="145"/>
        <v>5</v>
      </c>
      <c r="AH316" s="76">
        <f t="shared" si="156"/>
        <v>5</v>
      </c>
    </row>
    <row r="317" spans="1:57" x14ac:dyDescent="0.15">
      <c r="B317" s="79" t="str">
        <f t="shared" si="127"/>
        <v/>
      </c>
      <c r="C317" s="85"/>
      <c r="D317" s="75">
        <f>INDEX(节奏总纲!$AM$4:$AM$83,$F317)</f>
        <v>789.85301886939453</v>
      </c>
      <c r="E317" s="75">
        <f>求节点(节奏总纲!$P$4:$P$163,节奏总纲!$O$4:$O$163,$D317)</f>
        <v>96.265821375882837</v>
      </c>
      <c r="F317" s="75">
        <v>52</v>
      </c>
      <c r="G317" s="85"/>
      <c r="H317" s="75" t="s">
        <v>756</v>
      </c>
      <c r="J317" s="77"/>
      <c r="M317" s="76">
        <f t="shared" si="128"/>
        <v>50</v>
      </c>
      <c r="N317" s="76">
        <f t="shared" si="146"/>
        <v>50</v>
      </c>
      <c r="O317" s="76">
        <f t="shared" si="130"/>
        <v>0</v>
      </c>
      <c r="P317" s="76">
        <f t="shared" si="147"/>
        <v>0</v>
      </c>
      <c r="Q317" s="76">
        <f t="shared" si="132"/>
        <v>19</v>
      </c>
      <c r="R317" s="76">
        <f t="shared" si="148"/>
        <v>19</v>
      </c>
      <c r="S317" s="76">
        <f t="shared" si="134"/>
        <v>460000</v>
      </c>
      <c r="T317" s="76">
        <f t="shared" si="149"/>
        <v>460000</v>
      </c>
      <c r="U317" s="76">
        <f t="shared" si="136"/>
        <v>0</v>
      </c>
      <c r="V317" s="76">
        <f t="shared" si="150"/>
        <v>0</v>
      </c>
      <c r="W317" s="76">
        <f t="shared" si="151"/>
        <v>0</v>
      </c>
      <c r="X317" s="76">
        <f t="shared" si="152"/>
        <v>0</v>
      </c>
      <c r="Y317" s="76">
        <f t="shared" si="153"/>
        <v>100000</v>
      </c>
      <c r="Z317" s="76">
        <f t="shared" si="154"/>
        <v>100000</v>
      </c>
      <c r="AA317" s="76"/>
      <c r="AB317" s="76"/>
      <c r="AC317" s="76">
        <f t="shared" si="142"/>
        <v>0</v>
      </c>
      <c r="AD317" s="76">
        <f t="shared" si="155"/>
        <v>0</v>
      </c>
      <c r="AE317" s="76"/>
      <c r="AF317" s="76"/>
      <c r="AG317" s="76">
        <f t="shared" si="145"/>
        <v>5</v>
      </c>
      <c r="AH317" s="76">
        <f t="shared" si="156"/>
        <v>5</v>
      </c>
    </row>
    <row r="318" spans="1:57" x14ac:dyDescent="0.15">
      <c r="B318" s="79" t="str">
        <f t="shared" si="127"/>
        <v/>
      </c>
      <c r="C318" s="85"/>
      <c r="D318" s="75">
        <f>INDEX(节奏总纲!$AM$4:$AM$83,$F318)</f>
        <v>789.85301886939453</v>
      </c>
      <c r="E318" s="75">
        <f>求节点(节奏总纲!$P$4:$P$163,节奏总纲!$O$4:$O$163,$D318)</f>
        <v>96.265821375882837</v>
      </c>
      <c r="F318" s="75">
        <v>52</v>
      </c>
      <c r="G318" s="85"/>
      <c r="H318" s="75" t="s">
        <v>757</v>
      </c>
      <c r="J318" s="77"/>
      <c r="M318" s="76">
        <f t="shared" si="128"/>
        <v>50</v>
      </c>
      <c r="N318" s="76">
        <f t="shared" si="146"/>
        <v>50</v>
      </c>
      <c r="O318" s="76">
        <f t="shared" si="130"/>
        <v>0</v>
      </c>
      <c r="P318" s="76">
        <f t="shared" si="147"/>
        <v>0</v>
      </c>
      <c r="Q318" s="76">
        <f t="shared" si="132"/>
        <v>19</v>
      </c>
      <c r="R318" s="76">
        <f t="shared" si="148"/>
        <v>19</v>
      </c>
      <c r="S318" s="76">
        <f t="shared" si="134"/>
        <v>460000</v>
      </c>
      <c r="T318" s="76">
        <f t="shared" si="149"/>
        <v>460000</v>
      </c>
      <c r="U318" s="76">
        <f t="shared" si="136"/>
        <v>0</v>
      </c>
      <c r="V318" s="76">
        <f t="shared" si="150"/>
        <v>0</v>
      </c>
      <c r="W318" s="76">
        <f t="shared" si="151"/>
        <v>0</v>
      </c>
      <c r="X318" s="76">
        <f t="shared" si="152"/>
        <v>0</v>
      </c>
      <c r="Y318" s="76">
        <f t="shared" si="153"/>
        <v>100000</v>
      </c>
      <c r="Z318" s="76">
        <f t="shared" si="154"/>
        <v>100000</v>
      </c>
      <c r="AA318" s="76"/>
      <c r="AB318" s="76"/>
      <c r="AC318" s="76">
        <f t="shared" si="142"/>
        <v>0</v>
      </c>
      <c r="AD318" s="76">
        <f t="shared" si="155"/>
        <v>0</v>
      </c>
      <c r="AE318" s="76"/>
      <c r="AF318" s="76"/>
      <c r="AG318" s="76">
        <f t="shared" si="145"/>
        <v>5</v>
      </c>
      <c r="AH318" s="76">
        <f t="shared" si="156"/>
        <v>5</v>
      </c>
    </row>
    <row r="319" spans="1:57" x14ac:dyDescent="0.15">
      <c r="B319" s="79">
        <f t="shared" si="127"/>
        <v>5</v>
      </c>
      <c r="C319" s="85"/>
      <c r="D319" s="75">
        <f>INDEX(节奏总纲!$AM$4:$AM$83,$F319)</f>
        <v>915.14532082292135</v>
      </c>
      <c r="E319" s="75">
        <f>求节点(节奏总纲!$P$4:$P$163,节奏总纲!$O$4:$O$163,$D319)</f>
        <v>98.386070168033314</v>
      </c>
      <c r="F319" s="75">
        <v>53</v>
      </c>
      <c r="G319" s="85">
        <v>18</v>
      </c>
      <c r="H319" s="75" t="s">
        <v>733</v>
      </c>
      <c r="J319" s="77"/>
      <c r="M319" s="76">
        <f t="shared" si="128"/>
        <v>50</v>
      </c>
      <c r="N319" s="76">
        <f t="shared" si="146"/>
        <v>50</v>
      </c>
      <c r="O319" s="76">
        <f t="shared" si="130"/>
        <v>0</v>
      </c>
      <c r="P319" s="76">
        <f t="shared" si="147"/>
        <v>0</v>
      </c>
      <c r="Q319" s="76">
        <f t="shared" si="132"/>
        <v>19</v>
      </c>
      <c r="R319" s="76">
        <f t="shared" si="148"/>
        <v>19</v>
      </c>
      <c r="S319" s="76">
        <f t="shared" si="134"/>
        <v>480000</v>
      </c>
      <c r="T319" s="76">
        <f t="shared" si="149"/>
        <v>480000</v>
      </c>
      <c r="U319" s="76">
        <f t="shared" si="136"/>
        <v>0</v>
      </c>
      <c r="V319" s="76">
        <f t="shared" si="150"/>
        <v>0</v>
      </c>
      <c r="W319" s="76">
        <f t="shared" si="151"/>
        <v>0</v>
      </c>
      <c r="X319" s="76">
        <f t="shared" si="152"/>
        <v>0</v>
      </c>
      <c r="Y319" s="76">
        <f t="shared" si="153"/>
        <v>110000</v>
      </c>
      <c r="Z319" s="76">
        <f t="shared" si="154"/>
        <v>110000</v>
      </c>
      <c r="AA319" s="76"/>
      <c r="AB319" s="76"/>
      <c r="AC319" s="76">
        <f t="shared" si="142"/>
        <v>0</v>
      </c>
      <c r="AD319" s="76">
        <f t="shared" si="155"/>
        <v>0</v>
      </c>
      <c r="AE319" s="76"/>
      <c r="AF319" s="76"/>
      <c r="AG319" s="76">
        <f t="shared" si="145"/>
        <v>5</v>
      </c>
      <c r="AH319" s="76">
        <f t="shared" si="156"/>
        <v>5</v>
      </c>
    </row>
    <row r="320" spans="1:57" x14ac:dyDescent="0.15">
      <c r="B320" s="79" t="str">
        <f t="shared" si="127"/>
        <v/>
      </c>
      <c r="C320" s="85"/>
      <c r="D320" s="75">
        <f>INDEX(节奏总纲!$AM$4:$AM$83,$F320)</f>
        <v>915.14532082292135</v>
      </c>
      <c r="E320" s="75">
        <f>求节点(节奏总纲!$P$4:$P$163,节奏总纲!$O$4:$O$163,$D320)</f>
        <v>98.386070168033314</v>
      </c>
      <c r="F320" s="75">
        <v>53</v>
      </c>
      <c r="G320" s="85"/>
      <c r="H320" s="79" t="s">
        <v>758</v>
      </c>
      <c r="J320" s="77"/>
      <c r="M320" s="76">
        <f t="shared" si="128"/>
        <v>50</v>
      </c>
      <c r="N320" s="76">
        <f t="shared" si="146"/>
        <v>50</v>
      </c>
      <c r="O320" s="76">
        <f t="shared" si="130"/>
        <v>0</v>
      </c>
      <c r="P320" s="76">
        <f t="shared" si="147"/>
        <v>0</v>
      </c>
      <c r="Q320" s="76">
        <f t="shared" si="132"/>
        <v>19</v>
      </c>
      <c r="R320" s="76">
        <f t="shared" si="148"/>
        <v>19</v>
      </c>
      <c r="S320" s="76">
        <f t="shared" si="134"/>
        <v>480000</v>
      </c>
      <c r="T320" s="76">
        <f t="shared" si="149"/>
        <v>480000</v>
      </c>
      <c r="U320" s="76">
        <f t="shared" si="136"/>
        <v>0</v>
      </c>
      <c r="V320" s="76">
        <f t="shared" si="150"/>
        <v>0</v>
      </c>
      <c r="W320" s="76">
        <f t="shared" si="151"/>
        <v>0</v>
      </c>
      <c r="X320" s="76">
        <f t="shared" si="152"/>
        <v>0</v>
      </c>
      <c r="Y320" s="76">
        <f t="shared" si="153"/>
        <v>110000</v>
      </c>
      <c r="Z320" s="76">
        <f t="shared" si="154"/>
        <v>110000</v>
      </c>
      <c r="AA320" s="76"/>
      <c r="AB320" s="76"/>
      <c r="AC320" s="76">
        <f t="shared" si="142"/>
        <v>0</v>
      </c>
      <c r="AD320" s="76">
        <f t="shared" si="155"/>
        <v>0</v>
      </c>
      <c r="AE320" s="76"/>
      <c r="AF320" s="76"/>
      <c r="AG320" s="76">
        <f t="shared" si="145"/>
        <v>5</v>
      </c>
      <c r="AH320" s="76">
        <f t="shared" si="156"/>
        <v>5</v>
      </c>
    </row>
    <row r="321" spans="2:34" x14ac:dyDescent="0.15">
      <c r="B321" s="79" t="str">
        <f t="shared" si="127"/>
        <v/>
      </c>
      <c r="C321" s="85"/>
      <c r="D321" s="75">
        <f>INDEX(节奏总纲!$AM$4:$AM$83,$F321)</f>
        <v>915.14532082292135</v>
      </c>
      <c r="E321" s="75">
        <f>求节点(节奏总纲!$P$4:$P$163,节奏总纲!$O$4:$O$163,$D321)</f>
        <v>98.386070168033314</v>
      </c>
      <c r="F321" s="75">
        <v>53</v>
      </c>
      <c r="G321" s="85"/>
      <c r="H321" s="76" t="s">
        <v>773</v>
      </c>
      <c r="J321" s="77"/>
      <c r="M321" s="76">
        <f t="shared" si="128"/>
        <v>50</v>
      </c>
      <c r="N321" s="76">
        <f t="shared" si="146"/>
        <v>50</v>
      </c>
      <c r="O321" s="76">
        <f t="shared" si="130"/>
        <v>0</v>
      </c>
      <c r="P321" s="76">
        <f t="shared" si="147"/>
        <v>0</v>
      </c>
      <c r="Q321" s="76">
        <f t="shared" si="132"/>
        <v>19</v>
      </c>
      <c r="R321" s="76">
        <f t="shared" si="148"/>
        <v>19</v>
      </c>
      <c r="S321" s="76">
        <f t="shared" si="134"/>
        <v>480000</v>
      </c>
      <c r="T321" s="76">
        <f t="shared" si="149"/>
        <v>480000</v>
      </c>
      <c r="U321" s="76">
        <f t="shared" si="136"/>
        <v>0</v>
      </c>
      <c r="V321" s="76">
        <f t="shared" si="150"/>
        <v>0</v>
      </c>
      <c r="W321" s="76">
        <f t="shared" si="151"/>
        <v>0</v>
      </c>
      <c r="X321" s="76">
        <f t="shared" si="152"/>
        <v>0</v>
      </c>
      <c r="Y321" s="76">
        <f t="shared" si="153"/>
        <v>110000</v>
      </c>
      <c r="Z321" s="76">
        <f t="shared" si="154"/>
        <v>110000</v>
      </c>
      <c r="AA321" s="76"/>
      <c r="AB321" s="76"/>
      <c r="AC321" s="76">
        <f t="shared" si="142"/>
        <v>0</v>
      </c>
      <c r="AD321" s="76">
        <f t="shared" si="155"/>
        <v>0</v>
      </c>
      <c r="AE321" s="76"/>
      <c r="AF321" s="76"/>
      <c r="AG321" s="76">
        <f t="shared" si="145"/>
        <v>5</v>
      </c>
      <c r="AH321" s="76">
        <f t="shared" si="156"/>
        <v>5</v>
      </c>
    </row>
    <row r="322" spans="2:34" x14ac:dyDescent="0.15">
      <c r="B322" s="79" t="str">
        <f t="shared" si="127"/>
        <v/>
      </c>
      <c r="C322" s="85"/>
      <c r="D322" s="75">
        <f>INDEX(节奏总纲!$AM$4:$AM$83,$F322)</f>
        <v>915.14532082292135</v>
      </c>
      <c r="E322" s="75">
        <f>求节点(节奏总纲!$P$4:$P$163,节奏总纲!$O$4:$O$163,$D322)</f>
        <v>98.386070168033314</v>
      </c>
      <c r="F322" s="75">
        <v>53</v>
      </c>
      <c r="G322" s="85"/>
      <c r="H322" s="76" t="s">
        <v>759</v>
      </c>
      <c r="J322" s="77"/>
      <c r="M322" s="76">
        <f t="shared" si="128"/>
        <v>50</v>
      </c>
      <c r="N322" s="76">
        <f t="shared" si="146"/>
        <v>50</v>
      </c>
      <c r="O322" s="76">
        <f t="shared" si="130"/>
        <v>0</v>
      </c>
      <c r="P322" s="76">
        <f t="shared" si="147"/>
        <v>0</v>
      </c>
      <c r="Q322" s="76">
        <f t="shared" si="132"/>
        <v>19</v>
      </c>
      <c r="R322" s="76">
        <f t="shared" si="148"/>
        <v>19</v>
      </c>
      <c r="S322" s="76">
        <f t="shared" si="134"/>
        <v>480000</v>
      </c>
      <c r="T322" s="76">
        <f t="shared" si="149"/>
        <v>480000</v>
      </c>
      <c r="U322" s="76">
        <f t="shared" si="136"/>
        <v>0</v>
      </c>
      <c r="V322" s="76">
        <f t="shared" si="150"/>
        <v>0</v>
      </c>
      <c r="W322" s="76">
        <f t="shared" si="151"/>
        <v>0</v>
      </c>
      <c r="X322" s="76">
        <f t="shared" si="152"/>
        <v>0</v>
      </c>
      <c r="Y322" s="76">
        <f t="shared" si="153"/>
        <v>110000</v>
      </c>
      <c r="Z322" s="76">
        <f t="shared" si="154"/>
        <v>110000</v>
      </c>
      <c r="AA322" s="76"/>
      <c r="AB322" s="76"/>
      <c r="AC322" s="76">
        <f t="shared" si="142"/>
        <v>0</v>
      </c>
      <c r="AD322" s="76">
        <f t="shared" si="155"/>
        <v>0</v>
      </c>
      <c r="AE322" s="76"/>
      <c r="AF322" s="76"/>
      <c r="AG322" s="76">
        <f t="shared" si="145"/>
        <v>5</v>
      </c>
      <c r="AH322" s="76">
        <f t="shared" si="156"/>
        <v>5</v>
      </c>
    </row>
    <row r="323" spans="2:34" x14ac:dyDescent="0.15">
      <c r="B323" s="79" t="str">
        <f t="shared" si="127"/>
        <v/>
      </c>
      <c r="C323" s="85"/>
      <c r="D323" s="75">
        <f>INDEX(节奏总纲!$AM$4:$AM$83,$F323)</f>
        <v>915.14532082292135</v>
      </c>
      <c r="E323" s="75">
        <f>求节点(节奏总纲!$P$4:$P$163,节奏总纲!$O$4:$O$163,$D323)</f>
        <v>98.386070168033314</v>
      </c>
      <c r="F323" s="75">
        <v>53</v>
      </c>
      <c r="G323" s="85"/>
      <c r="H323" s="76" t="s">
        <v>760</v>
      </c>
      <c r="J323" s="77"/>
      <c r="M323" s="76">
        <f t="shared" si="128"/>
        <v>50</v>
      </c>
      <c r="N323" s="76">
        <f t="shared" si="146"/>
        <v>50</v>
      </c>
      <c r="O323" s="76">
        <f t="shared" si="130"/>
        <v>0</v>
      </c>
      <c r="P323" s="76">
        <f t="shared" si="147"/>
        <v>0</v>
      </c>
      <c r="Q323" s="76">
        <f t="shared" si="132"/>
        <v>19</v>
      </c>
      <c r="R323" s="76">
        <f t="shared" si="148"/>
        <v>19</v>
      </c>
      <c r="S323" s="76">
        <f t="shared" si="134"/>
        <v>480000</v>
      </c>
      <c r="T323" s="76">
        <f t="shared" si="149"/>
        <v>480000</v>
      </c>
      <c r="U323" s="76">
        <f t="shared" si="136"/>
        <v>0</v>
      </c>
      <c r="V323" s="76">
        <f t="shared" si="150"/>
        <v>0</v>
      </c>
      <c r="W323" s="76">
        <f t="shared" si="151"/>
        <v>0</v>
      </c>
      <c r="X323" s="76">
        <f t="shared" si="152"/>
        <v>0</v>
      </c>
      <c r="Y323" s="76">
        <f t="shared" si="153"/>
        <v>110000</v>
      </c>
      <c r="Z323" s="76">
        <f t="shared" si="154"/>
        <v>110000</v>
      </c>
      <c r="AA323" s="76"/>
      <c r="AB323" s="76"/>
      <c r="AC323" s="76">
        <f t="shared" si="142"/>
        <v>0</v>
      </c>
      <c r="AD323" s="76">
        <f t="shared" si="155"/>
        <v>0</v>
      </c>
      <c r="AE323" s="76"/>
      <c r="AF323" s="76"/>
      <c r="AG323" s="76">
        <f t="shared" si="145"/>
        <v>5</v>
      </c>
      <c r="AH323" s="76">
        <f t="shared" si="156"/>
        <v>5</v>
      </c>
    </row>
    <row r="324" spans="2:34" x14ac:dyDescent="0.15">
      <c r="B324" s="79">
        <f t="shared" si="127"/>
        <v>5</v>
      </c>
      <c r="C324" s="85"/>
      <c r="D324" s="75">
        <f>INDEX(节奏总纲!$AM$4:$AM$83,$F324)</f>
        <v>1060.2230944101252</v>
      </c>
      <c r="E324" s="75">
        <f>求节点(节奏总纲!$P$4:$P$163,节奏总纲!$O$4:$O$163,$D324)</f>
        <v>100.5064640446531</v>
      </c>
      <c r="F324" s="75">
        <v>54</v>
      </c>
      <c r="G324" s="85">
        <v>19</v>
      </c>
      <c r="H324" s="75" t="s">
        <v>734</v>
      </c>
      <c r="J324" s="77"/>
      <c r="M324" s="76">
        <f t="shared" si="128"/>
        <v>60</v>
      </c>
      <c r="N324" s="76">
        <f t="shared" si="146"/>
        <v>60</v>
      </c>
      <c r="O324" s="76">
        <f t="shared" si="130"/>
        <v>0</v>
      </c>
      <c r="P324" s="76">
        <f t="shared" si="147"/>
        <v>0</v>
      </c>
      <c r="Q324" s="76">
        <f t="shared" si="132"/>
        <v>19</v>
      </c>
      <c r="R324" s="76">
        <f t="shared" si="148"/>
        <v>19</v>
      </c>
      <c r="S324" s="76">
        <f t="shared" si="134"/>
        <v>490000</v>
      </c>
      <c r="T324" s="76">
        <f t="shared" si="149"/>
        <v>490000</v>
      </c>
      <c r="U324" s="76">
        <f t="shared" si="136"/>
        <v>0</v>
      </c>
      <c r="V324" s="76">
        <f t="shared" si="150"/>
        <v>0</v>
      </c>
      <c r="W324" s="76">
        <f t="shared" si="151"/>
        <v>0</v>
      </c>
      <c r="X324" s="76">
        <f t="shared" si="152"/>
        <v>0</v>
      </c>
      <c r="Y324" s="76">
        <f t="shared" si="153"/>
        <v>110000</v>
      </c>
      <c r="Z324" s="76">
        <f t="shared" si="154"/>
        <v>110000</v>
      </c>
      <c r="AA324" s="76"/>
      <c r="AB324" s="76"/>
      <c r="AC324" s="76">
        <f t="shared" si="142"/>
        <v>0</v>
      </c>
      <c r="AD324" s="76">
        <f t="shared" si="155"/>
        <v>0</v>
      </c>
      <c r="AE324" s="76"/>
      <c r="AF324" s="76"/>
      <c r="AG324" s="76">
        <f t="shared" si="145"/>
        <v>5</v>
      </c>
      <c r="AH324" s="76">
        <f t="shared" si="156"/>
        <v>5</v>
      </c>
    </row>
    <row r="325" spans="2:34" x14ac:dyDescent="0.15">
      <c r="B325" s="79" t="str">
        <f t="shared" si="127"/>
        <v/>
      </c>
      <c r="C325" s="85"/>
      <c r="D325" s="75">
        <f>INDEX(节奏总纲!$AM$4:$AM$83,$F325)</f>
        <v>1060.2230944101252</v>
      </c>
      <c r="E325" s="75">
        <f>求节点(节奏总纲!$P$4:$P$163,节奏总纲!$O$4:$O$163,$D325)</f>
        <v>100.5064640446531</v>
      </c>
      <c r="F325" s="75">
        <v>54</v>
      </c>
      <c r="G325" s="85"/>
      <c r="H325" s="79" t="s">
        <v>768</v>
      </c>
      <c r="J325" s="77"/>
      <c r="M325" s="76">
        <f t="shared" si="128"/>
        <v>60</v>
      </c>
      <c r="N325" s="76">
        <f t="shared" si="146"/>
        <v>60</v>
      </c>
      <c r="O325" s="76">
        <f t="shared" si="130"/>
        <v>0</v>
      </c>
      <c r="P325" s="76">
        <f t="shared" si="147"/>
        <v>0</v>
      </c>
      <c r="Q325" s="76">
        <f t="shared" si="132"/>
        <v>19</v>
      </c>
      <c r="R325" s="76">
        <f t="shared" si="148"/>
        <v>19</v>
      </c>
      <c r="S325" s="76">
        <f t="shared" si="134"/>
        <v>490000</v>
      </c>
      <c r="T325" s="76">
        <f t="shared" si="149"/>
        <v>490000</v>
      </c>
      <c r="U325" s="76">
        <f t="shared" si="136"/>
        <v>0</v>
      </c>
      <c r="V325" s="76">
        <f t="shared" si="150"/>
        <v>0</v>
      </c>
      <c r="W325" s="76">
        <f t="shared" si="151"/>
        <v>0</v>
      </c>
      <c r="X325" s="76">
        <f t="shared" si="152"/>
        <v>0</v>
      </c>
      <c r="Y325" s="76">
        <f t="shared" si="153"/>
        <v>110000</v>
      </c>
      <c r="Z325" s="76">
        <f t="shared" si="154"/>
        <v>110000</v>
      </c>
      <c r="AA325" s="76"/>
      <c r="AB325" s="76"/>
      <c r="AC325" s="76">
        <f t="shared" si="142"/>
        <v>0</v>
      </c>
      <c r="AD325" s="76">
        <f t="shared" si="155"/>
        <v>0</v>
      </c>
      <c r="AE325" s="76"/>
      <c r="AF325" s="76"/>
      <c r="AG325" s="76">
        <f t="shared" si="145"/>
        <v>5</v>
      </c>
      <c r="AH325" s="76">
        <f t="shared" si="156"/>
        <v>5</v>
      </c>
    </row>
    <row r="326" spans="2:34" x14ac:dyDescent="0.15">
      <c r="B326" s="79" t="str">
        <f t="shared" si="127"/>
        <v/>
      </c>
      <c r="C326" s="85"/>
      <c r="D326" s="75">
        <f>INDEX(节奏总纲!$AM$4:$AM$83,$F326)</f>
        <v>1060.2230944101252</v>
      </c>
      <c r="E326" s="75">
        <f>求节点(节奏总纲!$P$4:$P$163,节奏总纲!$O$4:$O$163,$D326)</f>
        <v>100.5064640446531</v>
      </c>
      <c r="F326" s="75">
        <v>54</v>
      </c>
      <c r="G326" s="85"/>
      <c r="H326" s="75" t="s">
        <v>771</v>
      </c>
      <c r="J326" s="77"/>
      <c r="M326" s="76">
        <f t="shared" si="128"/>
        <v>60</v>
      </c>
      <c r="N326" s="76">
        <f t="shared" si="146"/>
        <v>60</v>
      </c>
      <c r="O326" s="76">
        <f t="shared" si="130"/>
        <v>0</v>
      </c>
      <c r="P326" s="76">
        <f t="shared" si="147"/>
        <v>0</v>
      </c>
      <c r="Q326" s="76">
        <f t="shared" si="132"/>
        <v>19</v>
      </c>
      <c r="R326" s="76">
        <f t="shared" si="148"/>
        <v>19</v>
      </c>
      <c r="S326" s="76">
        <f t="shared" si="134"/>
        <v>490000</v>
      </c>
      <c r="T326" s="76">
        <f t="shared" si="149"/>
        <v>490000</v>
      </c>
      <c r="U326" s="76">
        <f t="shared" si="136"/>
        <v>0</v>
      </c>
      <c r="V326" s="76">
        <f t="shared" si="150"/>
        <v>0</v>
      </c>
      <c r="W326" s="76">
        <f t="shared" si="151"/>
        <v>0</v>
      </c>
      <c r="X326" s="76">
        <f t="shared" si="152"/>
        <v>0</v>
      </c>
      <c r="Y326" s="76">
        <f t="shared" si="153"/>
        <v>110000</v>
      </c>
      <c r="Z326" s="76">
        <f t="shared" si="154"/>
        <v>110000</v>
      </c>
      <c r="AA326" s="76"/>
      <c r="AB326" s="76"/>
      <c r="AC326" s="76">
        <f t="shared" si="142"/>
        <v>0</v>
      </c>
      <c r="AD326" s="76">
        <f t="shared" si="155"/>
        <v>0</v>
      </c>
      <c r="AE326" s="76"/>
      <c r="AF326" s="76"/>
      <c r="AG326" s="76">
        <f t="shared" si="145"/>
        <v>5</v>
      </c>
      <c r="AH326" s="76">
        <f t="shared" si="156"/>
        <v>5</v>
      </c>
    </row>
    <row r="327" spans="2:34" x14ac:dyDescent="0.15">
      <c r="B327" s="79" t="str">
        <f t="shared" si="127"/>
        <v/>
      </c>
      <c r="C327" s="85"/>
      <c r="D327" s="75">
        <f>INDEX(节奏总纲!$AM$4:$AM$83,$F327)</f>
        <v>1060.2230944101252</v>
      </c>
      <c r="E327" s="75">
        <f>求节点(节奏总纲!$P$4:$P$163,节奏总纲!$O$4:$O$163,$D327)</f>
        <v>100.5064640446531</v>
      </c>
      <c r="F327" s="75">
        <v>54</v>
      </c>
      <c r="G327" s="85"/>
      <c r="H327" s="76" t="s">
        <v>762</v>
      </c>
      <c r="J327" s="77"/>
      <c r="M327" s="76">
        <f t="shared" si="128"/>
        <v>60</v>
      </c>
      <c r="N327" s="76">
        <f t="shared" si="146"/>
        <v>60</v>
      </c>
      <c r="O327" s="76">
        <f t="shared" si="130"/>
        <v>0</v>
      </c>
      <c r="P327" s="76">
        <f t="shared" si="147"/>
        <v>0</v>
      </c>
      <c r="Q327" s="76">
        <f t="shared" si="132"/>
        <v>19</v>
      </c>
      <c r="R327" s="76">
        <f t="shared" si="148"/>
        <v>19</v>
      </c>
      <c r="S327" s="76">
        <f t="shared" si="134"/>
        <v>490000</v>
      </c>
      <c r="T327" s="76">
        <f t="shared" si="149"/>
        <v>490000</v>
      </c>
      <c r="U327" s="76">
        <f t="shared" si="136"/>
        <v>0</v>
      </c>
      <c r="V327" s="76">
        <f t="shared" si="150"/>
        <v>0</v>
      </c>
      <c r="W327" s="76">
        <f t="shared" si="151"/>
        <v>0</v>
      </c>
      <c r="X327" s="76">
        <f t="shared" si="152"/>
        <v>0</v>
      </c>
      <c r="Y327" s="76">
        <f t="shared" si="153"/>
        <v>110000</v>
      </c>
      <c r="Z327" s="76">
        <f t="shared" si="154"/>
        <v>110000</v>
      </c>
      <c r="AA327" s="76"/>
      <c r="AB327" s="76"/>
      <c r="AC327" s="76">
        <f t="shared" si="142"/>
        <v>0</v>
      </c>
      <c r="AD327" s="76">
        <f t="shared" si="155"/>
        <v>0</v>
      </c>
      <c r="AE327" s="76"/>
      <c r="AF327" s="76"/>
      <c r="AG327" s="76">
        <f t="shared" si="145"/>
        <v>5</v>
      </c>
      <c r="AH327" s="76">
        <f t="shared" si="156"/>
        <v>5</v>
      </c>
    </row>
    <row r="328" spans="2:34" x14ac:dyDescent="0.15">
      <c r="B328" s="79" t="str">
        <f t="shared" si="127"/>
        <v/>
      </c>
      <c r="C328" s="85"/>
      <c r="D328" s="75">
        <f>INDEX(节奏总纲!$AM$4:$AM$83,$F328)</f>
        <v>1060.2230944101252</v>
      </c>
      <c r="E328" s="75">
        <f>求节点(节奏总纲!$P$4:$P$163,节奏总纲!$O$4:$O$163,$D328)</f>
        <v>100.5064640446531</v>
      </c>
      <c r="F328" s="75">
        <v>54</v>
      </c>
      <c r="G328" s="85"/>
      <c r="H328" s="76" t="s">
        <v>763</v>
      </c>
      <c r="J328" s="77"/>
      <c r="M328" s="76">
        <f t="shared" si="128"/>
        <v>60</v>
      </c>
      <c r="N328" s="76">
        <f t="shared" si="146"/>
        <v>60</v>
      </c>
      <c r="O328" s="76">
        <f t="shared" si="130"/>
        <v>0</v>
      </c>
      <c r="P328" s="76">
        <f t="shared" si="147"/>
        <v>0</v>
      </c>
      <c r="Q328" s="76">
        <f t="shared" si="132"/>
        <v>19</v>
      </c>
      <c r="R328" s="76">
        <f t="shared" si="148"/>
        <v>19</v>
      </c>
      <c r="S328" s="76">
        <f t="shared" si="134"/>
        <v>490000</v>
      </c>
      <c r="T328" s="76">
        <f t="shared" si="149"/>
        <v>490000</v>
      </c>
      <c r="U328" s="76">
        <f t="shared" si="136"/>
        <v>0</v>
      </c>
      <c r="V328" s="76">
        <f t="shared" si="150"/>
        <v>0</v>
      </c>
      <c r="W328" s="76">
        <f t="shared" si="151"/>
        <v>0</v>
      </c>
      <c r="X328" s="76">
        <f t="shared" si="152"/>
        <v>0</v>
      </c>
      <c r="Y328" s="76">
        <f t="shared" si="153"/>
        <v>110000</v>
      </c>
      <c r="Z328" s="76">
        <f t="shared" si="154"/>
        <v>110000</v>
      </c>
      <c r="AA328" s="76"/>
      <c r="AB328" s="76"/>
      <c r="AC328" s="76">
        <f t="shared" si="142"/>
        <v>0</v>
      </c>
      <c r="AD328" s="76">
        <f t="shared" si="155"/>
        <v>0</v>
      </c>
      <c r="AE328" s="76"/>
      <c r="AF328" s="76"/>
      <c r="AG328" s="76">
        <f t="shared" si="145"/>
        <v>5</v>
      </c>
      <c r="AH328" s="76">
        <f t="shared" si="156"/>
        <v>5</v>
      </c>
    </row>
    <row r="329" spans="2:34" x14ac:dyDescent="0.15">
      <c r="B329" s="79">
        <f t="shared" ref="B329:B358" si="157">IF(F329&lt;&gt;F328,COUNTIFS($F$8:$F$999,$F329,$H$8:$H$999,"&lt;&gt;")+COUNTIFS($F$8:$F$999,$F329,$I$8:$I$999,"&lt;&gt;")+COUNTIFS($F$8:$F$999,$F329,$J$8:$J$999,"&lt;&gt;"),"")</f>
        <v>5</v>
      </c>
      <c r="C329" s="85"/>
      <c r="D329" s="75">
        <f>INDEX(节奏总纲!$AM$4:$AM$83,$F329)</f>
        <v>1228.2</v>
      </c>
      <c r="E329" s="75">
        <f>求节点(节奏总纲!$P$4:$P$163,节奏总纲!$O$4:$O$163,$D329)</f>
        <v>102.62698291511826</v>
      </c>
      <c r="F329" s="75">
        <v>55</v>
      </c>
      <c r="G329" s="85">
        <v>20</v>
      </c>
      <c r="H329" s="75" t="s">
        <v>735</v>
      </c>
      <c r="J329" s="77"/>
      <c r="M329" s="76">
        <f t="shared" si="128"/>
        <v>60</v>
      </c>
      <c r="N329" s="76">
        <f t="shared" si="146"/>
        <v>60</v>
      </c>
      <c r="O329" s="76">
        <f t="shared" si="130"/>
        <v>0</v>
      </c>
      <c r="P329" s="76">
        <f t="shared" si="147"/>
        <v>0</v>
      </c>
      <c r="Q329" s="76">
        <f t="shared" si="132"/>
        <v>19</v>
      </c>
      <c r="R329" s="76">
        <f t="shared" si="148"/>
        <v>19</v>
      </c>
      <c r="S329" s="76">
        <f t="shared" si="134"/>
        <v>500000</v>
      </c>
      <c r="T329" s="76">
        <f t="shared" si="149"/>
        <v>500000</v>
      </c>
      <c r="U329" s="76">
        <f t="shared" si="136"/>
        <v>0</v>
      </c>
      <c r="V329" s="76">
        <f t="shared" si="150"/>
        <v>0</v>
      </c>
      <c r="W329" s="76">
        <f t="shared" si="151"/>
        <v>0</v>
      </c>
      <c r="X329" s="76">
        <f t="shared" si="152"/>
        <v>0</v>
      </c>
      <c r="Y329" s="76">
        <f t="shared" si="153"/>
        <v>110000</v>
      </c>
      <c r="Z329" s="76">
        <f t="shared" si="154"/>
        <v>110000</v>
      </c>
      <c r="AA329" s="76"/>
      <c r="AB329" s="76"/>
      <c r="AC329" s="76">
        <f t="shared" si="142"/>
        <v>0</v>
      </c>
      <c r="AD329" s="76">
        <f t="shared" si="155"/>
        <v>0</v>
      </c>
      <c r="AE329" s="76"/>
      <c r="AF329" s="76"/>
      <c r="AG329" s="76">
        <f t="shared" si="145"/>
        <v>5</v>
      </c>
      <c r="AH329" s="76">
        <f t="shared" si="156"/>
        <v>5</v>
      </c>
    </row>
    <row r="330" spans="2:34" x14ac:dyDescent="0.15">
      <c r="B330" s="79" t="str">
        <f t="shared" si="157"/>
        <v/>
      </c>
      <c r="C330" s="85"/>
      <c r="D330" s="75">
        <f>INDEX(节奏总纲!$AM$4:$AM$83,$F330)</f>
        <v>1228.2</v>
      </c>
      <c r="E330" s="75">
        <f>求节点(节奏总纲!$P$4:$P$163,节奏总纲!$O$4:$O$163,$D330)</f>
        <v>102.62698291511826</v>
      </c>
      <c r="F330" s="75">
        <v>55</v>
      </c>
      <c r="G330" s="85"/>
      <c r="H330" s="40" t="s">
        <v>764</v>
      </c>
      <c r="J330" s="77"/>
      <c r="M330" s="76">
        <f t="shared" si="128"/>
        <v>60</v>
      </c>
      <c r="N330" s="76">
        <f t="shared" si="146"/>
        <v>60</v>
      </c>
      <c r="O330" s="76">
        <f t="shared" si="130"/>
        <v>0</v>
      </c>
      <c r="P330" s="76">
        <f t="shared" si="147"/>
        <v>0</v>
      </c>
      <c r="Q330" s="76">
        <f t="shared" si="132"/>
        <v>19</v>
      </c>
      <c r="R330" s="76">
        <f t="shared" si="148"/>
        <v>19</v>
      </c>
      <c r="S330" s="76">
        <f t="shared" si="134"/>
        <v>500000</v>
      </c>
      <c r="T330" s="76">
        <f t="shared" si="149"/>
        <v>500000</v>
      </c>
      <c r="U330" s="76">
        <f t="shared" si="136"/>
        <v>0</v>
      </c>
      <c r="V330" s="76">
        <f t="shared" si="150"/>
        <v>0</v>
      </c>
      <c r="W330" s="76">
        <f t="shared" si="151"/>
        <v>0</v>
      </c>
      <c r="X330" s="76">
        <f t="shared" si="152"/>
        <v>0</v>
      </c>
      <c r="Y330" s="76">
        <f t="shared" si="153"/>
        <v>110000</v>
      </c>
      <c r="Z330" s="76">
        <f t="shared" si="154"/>
        <v>110000</v>
      </c>
      <c r="AA330" s="76"/>
      <c r="AB330" s="76"/>
      <c r="AC330" s="76">
        <f t="shared" si="142"/>
        <v>0</v>
      </c>
      <c r="AD330" s="76">
        <f t="shared" si="155"/>
        <v>0</v>
      </c>
      <c r="AE330" s="76"/>
      <c r="AF330" s="76"/>
      <c r="AG330" s="76">
        <f t="shared" si="145"/>
        <v>5</v>
      </c>
      <c r="AH330" s="76">
        <f t="shared" si="156"/>
        <v>5</v>
      </c>
    </row>
    <row r="331" spans="2:34" x14ac:dyDescent="0.15">
      <c r="B331" s="79" t="str">
        <f t="shared" si="157"/>
        <v/>
      </c>
      <c r="C331" s="85"/>
      <c r="D331" s="75">
        <f>INDEX(节奏总纲!$AM$4:$AM$83,$F331)</f>
        <v>1228.2</v>
      </c>
      <c r="E331" s="75">
        <f>求节点(节奏总纲!$P$4:$P$163,节奏总纲!$O$4:$O$163,$D331)</f>
        <v>102.62698291511826</v>
      </c>
      <c r="F331" s="75">
        <v>55</v>
      </c>
      <c r="G331" s="85"/>
      <c r="H331" s="40" t="s">
        <v>781</v>
      </c>
      <c r="J331" s="77"/>
      <c r="M331" s="76">
        <f t="shared" si="128"/>
        <v>60</v>
      </c>
      <c r="N331" s="76">
        <f t="shared" si="146"/>
        <v>60</v>
      </c>
      <c r="O331" s="76">
        <f t="shared" si="130"/>
        <v>0</v>
      </c>
      <c r="P331" s="76">
        <f t="shared" si="147"/>
        <v>0</v>
      </c>
      <c r="Q331" s="76">
        <f t="shared" si="132"/>
        <v>19</v>
      </c>
      <c r="R331" s="76">
        <f t="shared" si="148"/>
        <v>19</v>
      </c>
      <c r="S331" s="76">
        <f t="shared" si="134"/>
        <v>500000</v>
      </c>
      <c r="T331" s="76">
        <f t="shared" si="149"/>
        <v>500000</v>
      </c>
      <c r="U331" s="76">
        <f t="shared" si="136"/>
        <v>0</v>
      </c>
      <c r="V331" s="76">
        <f t="shared" si="150"/>
        <v>0</v>
      </c>
      <c r="W331" s="76">
        <f t="shared" si="151"/>
        <v>0</v>
      </c>
      <c r="X331" s="76">
        <f t="shared" si="152"/>
        <v>0</v>
      </c>
      <c r="Y331" s="76">
        <f t="shared" si="153"/>
        <v>110000</v>
      </c>
      <c r="Z331" s="76">
        <f t="shared" si="154"/>
        <v>110000</v>
      </c>
      <c r="AA331" s="76"/>
      <c r="AB331" s="76"/>
      <c r="AC331" s="76">
        <f t="shared" si="142"/>
        <v>0</v>
      </c>
      <c r="AD331" s="76">
        <f t="shared" si="155"/>
        <v>0</v>
      </c>
      <c r="AE331" s="76"/>
      <c r="AF331" s="76"/>
      <c r="AG331" s="76">
        <f t="shared" si="145"/>
        <v>5</v>
      </c>
      <c r="AH331" s="76">
        <f t="shared" si="156"/>
        <v>5</v>
      </c>
    </row>
    <row r="332" spans="2:34" x14ac:dyDescent="0.15">
      <c r="B332" s="79" t="str">
        <f t="shared" si="157"/>
        <v/>
      </c>
      <c r="C332" s="85"/>
      <c r="D332" s="75">
        <f>INDEX(节奏总纲!$AM$4:$AM$83,$F332)</f>
        <v>1228.2</v>
      </c>
      <c r="E332" s="75">
        <f>求节点(节奏总纲!$P$4:$P$163,节奏总纲!$O$4:$O$163,$D332)</f>
        <v>102.62698291511826</v>
      </c>
      <c r="F332" s="75">
        <v>55</v>
      </c>
      <c r="G332" s="85"/>
      <c r="H332" s="76" t="s">
        <v>765</v>
      </c>
      <c r="J332" s="77"/>
      <c r="M332" s="76">
        <f t="shared" si="128"/>
        <v>60</v>
      </c>
      <c r="N332" s="76">
        <f t="shared" si="146"/>
        <v>60</v>
      </c>
      <c r="O332" s="76">
        <f t="shared" si="130"/>
        <v>0</v>
      </c>
      <c r="P332" s="76">
        <f t="shared" si="147"/>
        <v>0</v>
      </c>
      <c r="Q332" s="76">
        <f t="shared" si="132"/>
        <v>19</v>
      </c>
      <c r="R332" s="76">
        <f t="shared" si="148"/>
        <v>19</v>
      </c>
      <c r="S332" s="76">
        <f t="shared" si="134"/>
        <v>500000</v>
      </c>
      <c r="T332" s="76">
        <f t="shared" si="149"/>
        <v>500000</v>
      </c>
      <c r="U332" s="76">
        <f t="shared" si="136"/>
        <v>0</v>
      </c>
      <c r="V332" s="76">
        <f t="shared" si="150"/>
        <v>0</v>
      </c>
      <c r="W332" s="76">
        <f t="shared" si="151"/>
        <v>0</v>
      </c>
      <c r="X332" s="76">
        <f t="shared" si="152"/>
        <v>0</v>
      </c>
      <c r="Y332" s="76">
        <f t="shared" si="153"/>
        <v>110000</v>
      </c>
      <c r="Z332" s="76">
        <f t="shared" si="154"/>
        <v>110000</v>
      </c>
      <c r="AA332" s="76"/>
      <c r="AB332" s="76"/>
      <c r="AC332" s="76">
        <f t="shared" si="142"/>
        <v>0</v>
      </c>
      <c r="AD332" s="76">
        <f t="shared" si="155"/>
        <v>0</v>
      </c>
      <c r="AE332" s="76"/>
      <c r="AF332" s="76"/>
      <c r="AG332" s="76">
        <f t="shared" si="145"/>
        <v>5</v>
      </c>
      <c r="AH332" s="76">
        <f t="shared" si="156"/>
        <v>5</v>
      </c>
    </row>
    <row r="333" spans="2:34" x14ac:dyDescent="0.15">
      <c r="B333" s="79" t="str">
        <f t="shared" si="157"/>
        <v/>
      </c>
      <c r="C333" s="85"/>
      <c r="D333" s="75">
        <f>INDEX(节奏总纲!$AM$4:$AM$83,$F333)</f>
        <v>1228.2</v>
      </c>
      <c r="E333" s="75">
        <f>求节点(节奏总纲!$P$4:$P$163,节奏总纲!$O$4:$O$163,$D333)</f>
        <v>102.62698291511826</v>
      </c>
      <c r="F333" s="75">
        <v>55</v>
      </c>
      <c r="G333" s="85"/>
      <c r="H333" s="76" t="s">
        <v>766</v>
      </c>
      <c r="J333" s="77"/>
      <c r="M333" s="76">
        <f t="shared" ref="M333" si="158">ROUNDUP((M$2*$F333^M$1+M$3)/M$4,0)*M$4</f>
        <v>60</v>
      </c>
      <c r="N333" s="76">
        <f t="shared" si="146"/>
        <v>60</v>
      </c>
      <c r="O333" s="76">
        <f t="shared" ref="O333" si="159">ROUNDUP((O$2*$F333^O$1+O$3)/O$4,0)*O$4</f>
        <v>0</v>
      </c>
      <c r="P333" s="76">
        <f t="shared" si="147"/>
        <v>0</v>
      </c>
      <c r="Q333" s="76">
        <f t="shared" ref="Q333" si="160">ROUNDUP((Q$2*$F333^Q$1+Q$3)/Q$4,0)*Q$4</f>
        <v>19</v>
      </c>
      <c r="R333" s="76">
        <f t="shared" si="148"/>
        <v>19</v>
      </c>
      <c r="S333" s="76">
        <f t="shared" ref="S333" si="161">ROUNDUP((S$2*$F333^S$1+S$3)/S$4,0)*S$4</f>
        <v>500000</v>
      </c>
      <c r="T333" s="76">
        <f t="shared" si="149"/>
        <v>500000</v>
      </c>
      <c r="U333" s="76">
        <f t="shared" ref="U333" si="162">ROUNDUP((U$2*$F333^U$1+U$3)/U$4,0)*U$4</f>
        <v>0</v>
      </c>
      <c r="V333" s="76">
        <f t="shared" si="150"/>
        <v>0</v>
      </c>
      <c r="W333" s="76">
        <f t="shared" si="151"/>
        <v>0</v>
      </c>
      <c r="X333" s="76">
        <f t="shared" si="152"/>
        <v>0</v>
      </c>
      <c r="Y333" s="76">
        <f t="shared" si="153"/>
        <v>110000</v>
      </c>
      <c r="Z333" s="76">
        <f t="shared" si="154"/>
        <v>110000</v>
      </c>
      <c r="AA333" s="76"/>
      <c r="AB333" s="76"/>
      <c r="AC333" s="76">
        <f t="shared" ref="AC333:AC358" si="163">ROUNDUP((AC$2*$F333^AC$1+AC$3)/AC$4,0)*AC$4</f>
        <v>0</v>
      </c>
      <c r="AD333" s="76">
        <f t="shared" si="155"/>
        <v>0</v>
      </c>
      <c r="AE333" s="76"/>
      <c r="AF333" s="76"/>
      <c r="AG333" s="76">
        <f t="shared" si="145"/>
        <v>5</v>
      </c>
      <c r="AH333" s="76">
        <f t="shared" si="156"/>
        <v>5</v>
      </c>
    </row>
    <row r="334" spans="2:34" x14ac:dyDescent="0.15">
      <c r="B334" s="79">
        <f t="shared" si="157"/>
        <v>5</v>
      </c>
      <c r="C334" s="85"/>
      <c r="D334" s="79">
        <f>INDEX(节奏总纲!$AM$4:$AM$83,$F334)</f>
        <v>1422.6782097755249</v>
      </c>
      <c r="E334" s="79">
        <f>求节点(节奏总纲!$P$4:$P$163,节奏总纲!$O$4:$O$163,$D334)</f>
        <v>104.74760945904168</v>
      </c>
      <c r="F334" s="78">
        <v>56</v>
      </c>
      <c r="G334" s="85">
        <v>16</v>
      </c>
      <c r="H334" s="78" t="s">
        <v>737</v>
      </c>
      <c r="I334" s="78"/>
      <c r="J334" s="78"/>
      <c r="K334" s="78"/>
      <c r="L334" s="78"/>
      <c r="M334" s="78">
        <f t="shared" si="128"/>
        <v>60</v>
      </c>
      <c r="N334" s="78">
        <f t="shared" si="146"/>
        <v>60</v>
      </c>
      <c r="O334" s="78">
        <f t="shared" si="130"/>
        <v>0</v>
      </c>
      <c r="P334" s="78">
        <f t="shared" si="147"/>
        <v>0</v>
      </c>
      <c r="Q334" s="78">
        <f t="shared" si="132"/>
        <v>19</v>
      </c>
      <c r="R334" s="78">
        <f t="shared" si="148"/>
        <v>19</v>
      </c>
      <c r="S334" s="78">
        <f t="shared" si="134"/>
        <v>520000</v>
      </c>
      <c r="T334" s="78">
        <f t="shared" si="149"/>
        <v>520000</v>
      </c>
      <c r="U334" s="78">
        <f t="shared" si="136"/>
        <v>0</v>
      </c>
      <c r="V334" s="78">
        <f t="shared" si="150"/>
        <v>0</v>
      </c>
      <c r="W334" s="78">
        <f t="shared" si="151"/>
        <v>0</v>
      </c>
      <c r="X334" s="78">
        <f t="shared" si="152"/>
        <v>0</v>
      </c>
      <c r="Y334" s="78">
        <f t="shared" si="153"/>
        <v>110000</v>
      </c>
      <c r="Z334" s="78">
        <f t="shared" si="154"/>
        <v>110000</v>
      </c>
      <c r="AA334" s="76"/>
      <c r="AB334" s="76"/>
      <c r="AC334" s="79">
        <f t="shared" si="163"/>
        <v>0</v>
      </c>
      <c r="AD334" s="79">
        <f t="shared" ref="AD334:AD358" si="164">AC334*COUNTA($H334:$K334)</f>
        <v>0</v>
      </c>
      <c r="AE334" s="79"/>
      <c r="AF334" s="79"/>
      <c r="AG334" s="79">
        <f t="shared" si="145"/>
        <v>5</v>
      </c>
      <c r="AH334" s="79">
        <f t="shared" ref="AH334:AH358" si="165">AG334*COUNTA($H334:$K334)</f>
        <v>5</v>
      </c>
    </row>
    <row r="335" spans="2:34" x14ac:dyDescent="0.15">
      <c r="B335" s="79" t="str">
        <f t="shared" si="157"/>
        <v/>
      </c>
      <c r="C335" s="85"/>
      <c r="D335" s="79">
        <f>INDEX(节奏总纲!$AM$4:$AM$83,$F335)</f>
        <v>1422.6782097755249</v>
      </c>
      <c r="E335" s="79">
        <f>求节点(节奏总纲!$P$4:$P$163,节奏总纲!$O$4:$O$163,$D335)</f>
        <v>104.74760945904168</v>
      </c>
      <c r="F335" s="78">
        <v>56</v>
      </c>
      <c r="G335" s="85"/>
      <c r="H335" s="78" t="s">
        <v>774</v>
      </c>
      <c r="I335" s="78"/>
      <c r="J335" s="78"/>
      <c r="K335" s="78"/>
      <c r="L335" s="78"/>
      <c r="M335" s="78">
        <f t="shared" ref="M335:M358" si="166">ROUNDUP((M$2*$F335^M$1+M$3)/M$4,0)*M$4</f>
        <v>60</v>
      </c>
      <c r="N335" s="78">
        <f t="shared" ref="N335:N358" si="167">M335*COUNTA($H335:$K335)</f>
        <v>60</v>
      </c>
      <c r="O335" s="78">
        <f t="shared" ref="O335:O358" si="168">ROUNDUP((O$2*$F335^O$1+O$3)/O$4,0)*O$4</f>
        <v>0</v>
      </c>
      <c r="P335" s="78">
        <f t="shared" ref="P335:P358" si="169">O335*COUNTA($H335:$K335)</f>
        <v>0</v>
      </c>
      <c r="Q335" s="78">
        <f t="shared" ref="Q335:Q358" si="170">ROUNDUP((Q$2*$F335^Q$1+Q$3)/Q$4,0)*Q$4</f>
        <v>19</v>
      </c>
      <c r="R335" s="78">
        <f t="shared" ref="R335:R358" si="171">Q335*COUNTA($H335:$K335)</f>
        <v>19</v>
      </c>
      <c r="S335" s="78">
        <f t="shared" ref="S335:S358" si="172">ROUNDUP((S$2*$F335^S$1+S$3)/S$4,0)*S$4</f>
        <v>520000</v>
      </c>
      <c r="T335" s="78">
        <f t="shared" ref="T335:T358" si="173">S335*COUNTA($H335:$K335)</f>
        <v>520000</v>
      </c>
      <c r="U335" s="78">
        <f t="shared" ref="U335:U358" si="174">ROUNDUP((U$2*$F335^U$1+U$3)/U$4,0)*U$4</f>
        <v>0</v>
      </c>
      <c r="V335" s="78">
        <f t="shared" ref="V335:V358" si="175">U335*COUNTA($H335:$K335)</f>
        <v>0</v>
      </c>
      <c r="W335" s="78">
        <f t="shared" ref="W335:W358" si="176">IF(F335&lt;28,0,ROUNDUP((W$2*$F335^W$1+W$3)/W$4,0)*W$4)</f>
        <v>0</v>
      </c>
      <c r="X335" s="78">
        <f t="shared" ref="X335:X358" si="177">W335*COUNTA($H335:$K335)</f>
        <v>0</v>
      </c>
      <c r="Y335" s="78">
        <f t="shared" ref="Y335:Y358" si="178">IF(F335&lt;28,0,ROUNDUP((Y$2*$F335^Y$1+Y$3)/Y$4,0)*Y$4)</f>
        <v>110000</v>
      </c>
      <c r="Z335" s="78">
        <f t="shared" ref="Z335:Z358" si="179">Y335*COUNTA($H335:$K335)</f>
        <v>110000</v>
      </c>
      <c r="AA335" s="76"/>
      <c r="AB335" s="76"/>
      <c r="AC335" s="79">
        <f t="shared" si="163"/>
        <v>0</v>
      </c>
      <c r="AD335" s="79">
        <f t="shared" si="164"/>
        <v>0</v>
      </c>
      <c r="AE335" s="79"/>
      <c r="AF335" s="79"/>
      <c r="AG335" s="79">
        <f t="shared" si="145"/>
        <v>5</v>
      </c>
      <c r="AH335" s="79">
        <f t="shared" si="165"/>
        <v>5</v>
      </c>
    </row>
    <row r="336" spans="2:34" x14ac:dyDescent="0.15">
      <c r="B336" s="79" t="str">
        <f t="shared" si="157"/>
        <v/>
      </c>
      <c r="C336" s="85"/>
      <c r="D336" s="79">
        <f>INDEX(节奏总纲!$AM$4:$AM$83,$F336)</f>
        <v>1422.6782097755249</v>
      </c>
      <c r="E336" s="79">
        <f>求节点(节奏总纲!$P$4:$P$163,节奏总纲!$O$4:$O$163,$D336)</f>
        <v>104.74760945904168</v>
      </c>
      <c r="F336" s="78">
        <v>56</v>
      </c>
      <c r="G336" s="85"/>
      <c r="H336" s="78" t="s">
        <v>767</v>
      </c>
      <c r="I336" s="78"/>
      <c r="J336" s="78"/>
      <c r="K336" s="78"/>
      <c r="L336" s="78"/>
      <c r="M336" s="78">
        <f t="shared" si="166"/>
        <v>60</v>
      </c>
      <c r="N336" s="78">
        <f t="shared" si="167"/>
        <v>60</v>
      </c>
      <c r="O336" s="78">
        <f t="shared" si="168"/>
        <v>0</v>
      </c>
      <c r="P336" s="78">
        <f t="shared" si="169"/>
        <v>0</v>
      </c>
      <c r="Q336" s="78">
        <f t="shared" si="170"/>
        <v>19</v>
      </c>
      <c r="R336" s="78">
        <f t="shared" si="171"/>
        <v>19</v>
      </c>
      <c r="S336" s="78">
        <f t="shared" si="172"/>
        <v>520000</v>
      </c>
      <c r="T336" s="78">
        <f t="shared" si="173"/>
        <v>520000</v>
      </c>
      <c r="U336" s="78">
        <f t="shared" si="174"/>
        <v>0</v>
      </c>
      <c r="V336" s="78">
        <f t="shared" si="175"/>
        <v>0</v>
      </c>
      <c r="W336" s="78">
        <f t="shared" si="176"/>
        <v>0</v>
      </c>
      <c r="X336" s="78">
        <f t="shared" si="177"/>
        <v>0</v>
      </c>
      <c r="Y336" s="78">
        <f t="shared" si="178"/>
        <v>110000</v>
      </c>
      <c r="Z336" s="78">
        <f t="shared" si="179"/>
        <v>110000</v>
      </c>
      <c r="AA336" s="76"/>
      <c r="AB336" s="76"/>
      <c r="AC336" s="79">
        <f t="shared" si="163"/>
        <v>0</v>
      </c>
      <c r="AD336" s="79">
        <f t="shared" si="164"/>
        <v>0</v>
      </c>
      <c r="AE336" s="79"/>
      <c r="AF336" s="79"/>
      <c r="AG336" s="79">
        <f t="shared" si="145"/>
        <v>5</v>
      </c>
      <c r="AH336" s="79">
        <f t="shared" si="165"/>
        <v>5</v>
      </c>
    </row>
    <row r="337" spans="2:34" x14ac:dyDescent="0.15">
      <c r="B337" s="79" t="str">
        <f t="shared" si="157"/>
        <v/>
      </c>
      <c r="C337" s="85"/>
      <c r="D337" s="79">
        <f>INDEX(节奏总纲!$AM$4:$AM$83,$F337)</f>
        <v>1422.6782097755249</v>
      </c>
      <c r="E337" s="79">
        <f>求节点(节奏总纲!$P$4:$P$163,节奏总纲!$O$4:$O$163,$D337)</f>
        <v>104.74760945904168</v>
      </c>
      <c r="F337" s="78">
        <v>56</v>
      </c>
      <c r="G337" s="85"/>
      <c r="H337" s="78" t="s">
        <v>738</v>
      </c>
      <c r="I337" s="78"/>
      <c r="J337" s="78"/>
      <c r="K337" s="78"/>
      <c r="L337" s="78"/>
      <c r="M337" s="78">
        <f t="shared" si="166"/>
        <v>60</v>
      </c>
      <c r="N337" s="78">
        <f t="shared" si="167"/>
        <v>60</v>
      </c>
      <c r="O337" s="78">
        <f t="shared" si="168"/>
        <v>0</v>
      </c>
      <c r="P337" s="78">
        <f t="shared" si="169"/>
        <v>0</v>
      </c>
      <c r="Q337" s="78">
        <f t="shared" si="170"/>
        <v>19</v>
      </c>
      <c r="R337" s="78">
        <f t="shared" si="171"/>
        <v>19</v>
      </c>
      <c r="S337" s="78">
        <f t="shared" si="172"/>
        <v>520000</v>
      </c>
      <c r="T337" s="78">
        <f t="shared" si="173"/>
        <v>520000</v>
      </c>
      <c r="U337" s="78">
        <f t="shared" si="174"/>
        <v>0</v>
      </c>
      <c r="V337" s="78">
        <f t="shared" si="175"/>
        <v>0</v>
      </c>
      <c r="W337" s="78">
        <f t="shared" si="176"/>
        <v>0</v>
      </c>
      <c r="X337" s="78">
        <f t="shared" si="177"/>
        <v>0</v>
      </c>
      <c r="Y337" s="78">
        <f t="shared" si="178"/>
        <v>110000</v>
      </c>
      <c r="Z337" s="78">
        <f t="shared" si="179"/>
        <v>110000</v>
      </c>
      <c r="AA337" s="76"/>
      <c r="AB337" s="76"/>
      <c r="AC337" s="79">
        <f t="shared" si="163"/>
        <v>0</v>
      </c>
      <c r="AD337" s="79">
        <f t="shared" si="164"/>
        <v>0</v>
      </c>
      <c r="AE337" s="79"/>
      <c r="AF337" s="79"/>
      <c r="AG337" s="79">
        <f t="shared" si="145"/>
        <v>5</v>
      </c>
      <c r="AH337" s="79">
        <f t="shared" si="165"/>
        <v>5</v>
      </c>
    </row>
    <row r="338" spans="2:34" x14ac:dyDescent="0.15">
      <c r="B338" s="79" t="str">
        <f t="shared" si="157"/>
        <v/>
      </c>
      <c r="C338" s="85"/>
      <c r="D338" s="79">
        <f>INDEX(节奏总纲!$AM$4:$AM$83,$F338)</f>
        <v>1422.6782097755249</v>
      </c>
      <c r="E338" s="79">
        <f>求节点(节奏总纲!$P$4:$P$163,节奏总纲!$O$4:$O$163,$D338)</f>
        <v>104.74760945904168</v>
      </c>
      <c r="F338" s="78">
        <v>56</v>
      </c>
      <c r="G338" s="85"/>
      <c r="H338" s="78" t="s">
        <v>739</v>
      </c>
      <c r="I338" s="78"/>
      <c r="J338" s="78"/>
      <c r="K338" s="78"/>
      <c r="L338" s="78"/>
      <c r="M338" s="78">
        <f t="shared" si="166"/>
        <v>60</v>
      </c>
      <c r="N338" s="78">
        <f t="shared" si="167"/>
        <v>60</v>
      </c>
      <c r="O338" s="78">
        <f t="shared" si="168"/>
        <v>0</v>
      </c>
      <c r="P338" s="78">
        <f t="shared" si="169"/>
        <v>0</v>
      </c>
      <c r="Q338" s="78">
        <f t="shared" si="170"/>
        <v>19</v>
      </c>
      <c r="R338" s="78">
        <f t="shared" si="171"/>
        <v>19</v>
      </c>
      <c r="S338" s="78">
        <f t="shared" si="172"/>
        <v>520000</v>
      </c>
      <c r="T338" s="78">
        <f t="shared" si="173"/>
        <v>520000</v>
      </c>
      <c r="U338" s="78">
        <f t="shared" si="174"/>
        <v>0</v>
      </c>
      <c r="V338" s="78">
        <f t="shared" si="175"/>
        <v>0</v>
      </c>
      <c r="W338" s="78">
        <f t="shared" si="176"/>
        <v>0</v>
      </c>
      <c r="X338" s="78">
        <f t="shared" si="177"/>
        <v>0</v>
      </c>
      <c r="Y338" s="78">
        <f t="shared" si="178"/>
        <v>110000</v>
      </c>
      <c r="Z338" s="78">
        <f t="shared" si="179"/>
        <v>110000</v>
      </c>
      <c r="AA338" s="76"/>
      <c r="AB338" s="76"/>
      <c r="AC338" s="79">
        <f t="shared" si="163"/>
        <v>0</v>
      </c>
      <c r="AD338" s="79">
        <f t="shared" si="164"/>
        <v>0</v>
      </c>
      <c r="AE338" s="79"/>
      <c r="AF338" s="79"/>
      <c r="AG338" s="79">
        <f t="shared" si="145"/>
        <v>5</v>
      </c>
      <c r="AH338" s="79">
        <f t="shared" si="165"/>
        <v>5</v>
      </c>
    </row>
    <row r="339" spans="2:34" x14ac:dyDescent="0.15">
      <c r="B339" s="79">
        <f t="shared" si="157"/>
        <v>5</v>
      </c>
      <c r="C339" s="85"/>
      <c r="D339" s="79">
        <f>INDEX(节奏总纲!$AM$4:$AM$83,$F339)</f>
        <v>1647.8248427703616</v>
      </c>
      <c r="E339" s="79">
        <f>求节点(节奏总纲!$P$4:$P$163,节奏总纲!$O$4:$O$163,$D339)</f>
        <v>106.86832874572353</v>
      </c>
      <c r="F339" s="78">
        <v>57</v>
      </c>
      <c r="G339" s="85">
        <v>17</v>
      </c>
      <c r="H339" s="78" t="s">
        <v>740</v>
      </c>
      <c r="I339" s="78"/>
      <c r="J339" s="78"/>
      <c r="K339" s="78"/>
      <c r="L339" s="78"/>
      <c r="M339" s="78">
        <f t="shared" si="166"/>
        <v>60</v>
      </c>
      <c r="N339" s="78">
        <f t="shared" si="167"/>
        <v>60</v>
      </c>
      <c r="O339" s="78">
        <f t="shared" si="168"/>
        <v>0</v>
      </c>
      <c r="P339" s="78">
        <f t="shared" si="169"/>
        <v>0</v>
      </c>
      <c r="Q339" s="78">
        <f t="shared" si="170"/>
        <v>19</v>
      </c>
      <c r="R339" s="78">
        <f t="shared" si="171"/>
        <v>19</v>
      </c>
      <c r="S339" s="78">
        <f t="shared" si="172"/>
        <v>530000</v>
      </c>
      <c r="T339" s="78">
        <f t="shared" si="173"/>
        <v>530000</v>
      </c>
      <c r="U339" s="78">
        <f t="shared" si="174"/>
        <v>0</v>
      </c>
      <c r="V339" s="78">
        <f t="shared" si="175"/>
        <v>0</v>
      </c>
      <c r="W339" s="78">
        <f t="shared" si="176"/>
        <v>0</v>
      </c>
      <c r="X339" s="78">
        <f t="shared" si="177"/>
        <v>0</v>
      </c>
      <c r="Y339" s="78">
        <f t="shared" si="178"/>
        <v>110000</v>
      </c>
      <c r="Z339" s="78">
        <f t="shared" si="179"/>
        <v>110000</v>
      </c>
      <c r="AA339" s="76"/>
      <c r="AB339" s="76"/>
      <c r="AC339" s="79">
        <f t="shared" si="163"/>
        <v>0</v>
      </c>
      <c r="AD339" s="79">
        <f t="shared" si="164"/>
        <v>0</v>
      </c>
      <c r="AE339" s="79"/>
      <c r="AF339" s="79"/>
      <c r="AG339" s="79">
        <f t="shared" si="145"/>
        <v>5</v>
      </c>
      <c r="AH339" s="79">
        <f t="shared" si="165"/>
        <v>5</v>
      </c>
    </row>
    <row r="340" spans="2:34" x14ac:dyDescent="0.15">
      <c r="B340" s="79" t="str">
        <f t="shared" si="157"/>
        <v/>
      </c>
      <c r="C340" s="85"/>
      <c r="D340" s="79">
        <f>INDEX(节奏总纲!$AM$4:$AM$83,$F340)</f>
        <v>1647.8248427703616</v>
      </c>
      <c r="E340" s="79">
        <f>求节点(节奏总纲!$P$4:$P$163,节奏总纲!$O$4:$O$163,$D340)</f>
        <v>106.86832874572353</v>
      </c>
      <c r="F340" s="78">
        <v>57</v>
      </c>
      <c r="G340" s="85"/>
      <c r="H340" s="78" t="s">
        <v>775</v>
      </c>
      <c r="I340" s="78"/>
      <c r="J340" s="78"/>
      <c r="K340" s="78"/>
      <c r="L340" s="78"/>
      <c r="M340" s="78">
        <f t="shared" si="166"/>
        <v>60</v>
      </c>
      <c r="N340" s="78">
        <f t="shared" si="167"/>
        <v>60</v>
      </c>
      <c r="O340" s="78">
        <f t="shared" si="168"/>
        <v>0</v>
      </c>
      <c r="P340" s="78">
        <f t="shared" si="169"/>
        <v>0</v>
      </c>
      <c r="Q340" s="78">
        <f t="shared" si="170"/>
        <v>19</v>
      </c>
      <c r="R340" s="78">
        <f t="shared" si="171"/>
        <v>19</v>
      </c>
      <c r="S340" s="78">
        <f t="shared" si="172"/>
        <v>530000</v>
      </c>
      <c r="T340" s="78">
        <f t="shared" si="173"/>
        <v>530000</v>
      </c>
      <c r="U340" s="78">
        <f t="shared" si="174"/>
        <v>0</v>
      </c>
      <c r="V340" s="78">
        <f t="shared" si="175"/>
        <v>0</v>
      </c>
      <c r="W340" s="78">
        <f t="shared" si="176"/>
        <v>0</v>
      </c>
      <c r="X340" s="78">
        <f t="shared" si="177"/>
        <v>0</v>
      </c>
      <c r="Y340" s="78">
        <f t="shared" si="178"/>
        <v>110000</v>
      </c>
      <c r="Z340" s="78">
        <f t="shared" si="179"/>
        <v>110000</v>
      </c>
      <c r="AA340" s="76"/>
      <c r="AB340" s="76"/>
      <c r="AC340" s="79">
        <f t="shared" si="163"/>
        <v>0</v>
      </c>
      <c r="AD340" s="79">
        <f t="shared" si="164"/>
        <v>0</v>
      </c>
      <c r="AE340" s="79"/>
      <c r="AF340" s="79"/>
      <c r="AG340" s="79">
        <f t="shared" si="145"/>
        <v>5</v>
      </c>
      <c r="AH340" s="79">
        <f t="shared" si="165"/>
        <v>5</v>
      </c>
    </row>
    <row r="341" spans="2:34" x14ac:dyDescent="0.15">
      <c r="B341" s="79" t="str">
        <f t="shared" si="157"/>
        <v/>
      </c>
      <c r="C341" s="85"/>
      <c r="D341" s="79">
        <f>INDEX(节奏总纲!$AM$4:$AM$83,$F341)</f>
        <v>1647.8248427703616</v>
      </c>
      <c r="E341" s="79">
        <f>求节点(节奏总纲!$P$4:$P$163,节奏总纲!$O$4:$O$163,$D341)</f>
        <v>106.86832874572353</v>
      </c>
      <c r="F341" s="78">
        <v>57</v>
      </c>
      <c r="G341" s="85"/>
      <c r="H341" s="78" t="s">
        <v>776</v>
      </c>
      <c r="I341" s="78"/>
      <c r="J341" s="78"/>
      <c r="K341" s="78"/>
      <c r="L341" s="78"/>
      <c r="M341" s="78">
        <f t="shared" si="166"/>
        <v>60</v>
      </c>
      <c r="N341" s="78">
        <f t="shared" si="167"/>
        <v>60</v>
      </c>
      <c r="O341" s="78">
        <f t="shared" si="168"/>
        <v>0</v>
      </c>
      <c r="P341" s="78">
        <f t="shared" si="169"/>
        <v>0</v>
      </c>
      <c r="Q341" s="78">
        <f t="shared" si="170"/>
        <v>19</v>
      </c>
      <c r="R341" s="78">
        <f t="shared" si="171"/>
        <v>19</v>
      </c>
      <c r="S341" s="78">
        <f t="shared" si="172"/>
        <v>530000</v>
      </c>
      <c r="T341" s="78">
        <f t="shared" si="173"/>
        <v>530000</v>
      </c>
      <c r="U341" s="78">
        <f t="shared" si="174"/>
        <v>0</v>
      </c>
      <c r="V341" s="78">
        <f t="shared" si="175"/>
        <v>0</v>
      </c>
      <c r="W341" s="78">
        <f t="shared" si="176"/>
        <v>0</v>
      </c>
      <c r="X341" s="78">
        <f t="shared" si="177"/>
        <v>0</v>
      </c>
      <c r="Y341" s="78">
        <f t="shared" si="178"/>
        <v>110000</v>
      </c>
      <c r="Z341" s="78">
        <f t="shared" si="179"/>
        <v>110000</v>
      </c>
      <c r="AA341" s="76"/>
      <c r="AB341" s="76"/>
      <c r="AC341" s="79">
        <f t="shared" si="163"/>
        <v>0</v>
      </c>
      <c r="AD341" s="79">
        <f t="shared" si="164"/>
        <v>0</v>
      </c>
      <c r="AE341" s="79"/>
      <c r="AF341" s="79"/>
      <c r="AG341" s="79">
        <f t="shared" si="145"/>
        <v>5</v>
      </c>
      <c r="AH341" s="79">
        <f t="shared" si="165"/>
        <v>5</v>
      </c>
    </row>
    <row r="342" spans="2:34" x14ac:dyDescent="0.15">
      <c r="B342" s="79" t="str">
        <f t="shared" si="157"/>
        <v/>
      </c>
      <c r="C342" s="85"/>
      <c r="D342" s="79">
        <f>INDEX(节奏总纲!$AM$4:$AM$83,$F342)</f>
        <v>1647.8248427703616</v>
      </c>
      <c r="E342" s="79">
        <f>求节点(节奏总纲!$P$4:$P$163,节奏总纲!$O$4:$O$163,$D342)</f>
        <v>106.86832874572353</v>
      </c>
      <c r="F342" s="78">
        <v>57</v>
      </c>
      <c r="G342" s="85"/>
      <c r="H342" s="78" t="s">
        <v>741</v>
      </c>
      <c r="I342" s="78"/>
      <c r="J342" s="78"/>
      <c r="K342" s="78"/>
      <c r="L342" s="78"/>
      <c r="M342" s="78">
        <f t="shared" si="166"/>
        <v>60</v>
      </c>
      <c r="N342" s="78">
        <f t="shared" si="167"/>
        <v>60</v>
      </c>
      <c r="O342" s="78">
        <f t="shared" si="168"/>
        <v>0</v>
      </c>
      <c r="P342" s="78">
        <f t="shared" si="169"/>
        <v>0</v>
      </c>
      <c r="Q342" s="78">
        <f t="shared" si="170"/>
        <v>19</v>
      </c>
      <c r="R342" s="78">
        <f t="shared" si="171"/>
        <v>19</v>
      </c>
      <c r="S342" s="78">
        <f t="shared" si="172"/>
        <v>530000</v>
      </c>
      <c r="T342" s="78">
        <f t="shared" si="173"/>
        <v>530000</v>
      </c>
      <c r="U342" s="78">
        <f t="shared" si="174"/>
        <v>0</v>
      </c>
      <c r="V342" s="78">
        <f t="shared" si="175"/>
        <v>0</v>
      </c>
      <c r="W342" s="78">
        <f t="shared" si="176"/>
        <v>0</v>
      </c>
      <c r="X342" s="78">
        <f t="shared" si="177"/>
        <v>0</v>
      </c>
      <c r="Y342" s="78">
        <f t="shared" si="178"/>
        <v>110000</v>
      </c>
      <c r="Z342" s="78">
        <f t="shared" si="179"/>
        <v>110000</v>
      </c>
      <c r="AA342" s="76"/>
      <c r="AB342" s="76"/>
      <c r="AC342" s="79">
        <f t="shared" si="163"/>
        <v>0</v>
      </c>
      <c r="AD342" s="79">
        <f t="shared" si="164"/>
        <v>0</v>
      </c>
      <c r="AE342" s="79"/>
      <c r="AF342" s="79"/>
      <c r="AG342" s="79">
        <f t="shared" si="145"/>
        <v>5</v>
      </c>
      <c r="AH342" s="79">
        <f t="shared" si="165"/>
        <v>5</v>
      </c>
    </row>
    <row r="343" spans="2:34" x14ac:dyDescent="0.15">
      <c r="B343" s="79" t="str">
        <f t="shared" si="157"/>
        <v/>
      </c>
      <c r="C343" s="85"/>
      <c r="D343" s="79">
        <f>INDEX(节奏总纲!$AM$4:$AM$83,$F343)</f>
        <v>1647.8248427703616</v>
      </c>
      <c r="E343" s="79">
        <f>求节点(节奏总纲!$P$4:$P$163,节奏总纲!$O$4:$O$163,$D343)</f>
        <v>106.86832874572353</v>
      </c>
      <c r="F343" s="78">
        <v>57</v>
      </c>
      <c r="G343" s="85"/>
      <c r="H343" s="78" t="s">
        <v>742</v>
      </c>
      <c r="I343" s="78"/>
      <c r="J343" s="78"/>
      <c r="K343" s="78"/>
      <c r="L343" s="78"/>
      <c r="M343" s="78">
        <f t="shared" si="166"/>
        <v>60</v>
      </c>
      <c r="N343" s="78">
        <f t="shared" si="167"/>
        <v>60</v>
      </c>
      <c r="O343" s="78">
        <f t="shared" si="168"/>
        <v>0</v>
      </c>
      <c r="P343" s="78">
        <f t="shared" si="169"/>
        <v>0</v>
      </c>
      <c r="Q343" s="78">
        <f t="shared" si="170"/>
        <v>19</v>
      </c>
      <c r="R343" s="78">
        <f t="shared" si="171"/>
        <v>19</v>
      </c>
      <c r="S343" s="78">
        <f t="shared" si="172"/>
        <v>530000</v>
      </c>
      <c r="T343" s="78">
        <f t="shared" si="173"/>
        <v>530000</v>
      </c>
      <c r="U343" s="78">
        <f t="shared" si="174"/>
        <v>0</v>
      </c>
      <c r="V343" s="78">
        <f t="shared" si="175"/>
        <v>0</v>
      </c>
      <c r="W343" s="78">
        <f t="shared" si="176"/>
        <v>0</v>
      </c>
      <c r="X343" s="78">
        <f t="shared" si="177"/>
        <v>0</v>
      </c>
      <c r="Y343" s="78">
        <f t="shared" si="178"/>
        <v>110000</v>
      </c>
      <c r="Z343" s="78">
        <f t="shared" si="179"/>
        <v>110000</v>
      </c>
      <c r="AA343" s="76"/>
      <c r="AB343" s="76"/>
      <c r="AC343" s="79">
        <f t="shared" si="163"/>
        <v>0</v>
      </c>
      <c r="AD343" s="79">
        <f t="shared" si="164"/>
        <v>0</v>
      </c>
      <c r="AE343" s="79"/>
      <c r="AF343" s="79"/>
      <c r="AG343" s="79">
        <f t="shared" si="145"/>
        <v>5</v>
      </c>
      <c r="AH343" s="79">
        <f t="shared" si="165"/>
        <v>5</v>
      </c>
    </row>
    <row r="344" spans="2:34" x14ac:dyDescent="0.15">
      <c r="B344" s="79">
        <f t="shared" si="157"/>
        <v>5</v>
      </c>
      <c r="C344" s="85"/>
      <c r="D344" s="79">
        <f>INDEX(节奏总纲!$AM$4:$AM$83,$F344)</f>
        <v>1908.4603298511749</v>
      </c>
      <c r="E344" s="79">
        <f>求节点(节奏总纲!$P$4:$P$163,节奏总纲!$O$4:$O$163,$D344)</f>
        <v>108.98912790570419</v>
      </c>
      <c r="F344" s="78">
        <v>58</v>
      </c>
      <c r="G344" s="85">
        <v>18</v>
      </c>
      <c r="H344" s="78" t="s">
        <v>743</v>
      </c>
      <c r="I344" s="78"/>
      <c r="J344" s="78"/>
      <c r="K344" s="78"/>
      <c r="L344" s="78"/>
      <c r="M344" s="78">
        <f t="shared" si="166"/>
        <v>60</v>
      </c>
      <c r="N344" s="78">
        <f t="shared" si="167"/>
        <v>60</v>
      </c>
      <c r="O344" s="78">
        <f t="shared" si="168"/>
        <v>0</v>
      </c>
      <c r="P344" s="78">
        <f t="shared" si="169"/>
        <v>0</v>
      </c>
      <c r="Q344" s="78">
        <f t="shared" si="170"/>
        <v>20</v>
      </c>
      <c r="R344" s="78">
        <f t="shared" si="171"/>
        <v>20</v>
      </c>
      <c r="S344" s="78">
        <f t="shared" si="172"/>
        <v>550000</v>
      </c>
      <c r="T344" s="78">
        <f t="shared" si="173"/>
        <v>550000</v>
      </c>
      <c r="U344" s="78">
        <f t="shared" si="174"/>
        <v>0</v>
      </c>
      <c r="V344" s="78">
        <f t="shared" si="175"/>
        <v>0</v>
      </c>
      <c r="W344" s="78">
        <f t="shared" si="176"/>
        <v>0</v>
      </c>
      <c r="X344" s="78">
        <f t="shared" si="177"/>
        <v>0</v>
      </c>
      <c r="Y344" s="78">
        <f t="shared" si="178"/>
        <v>120000</v>
      </c>
      <c r="Z344" s="78">
        <f t="shared" si="179"/>
        <v>120000</v>
      </c>
      <c r="AA344" s="76"/>
      <c r="AB344" s="76"/>
      <c r="AC344" s="79">
        <f t="shared" si="163"/>
        <v>0</v>
      </c>
      <c r="AD344" s="79">
        <f t="shared" si="164"/>
        <v>0</v>
      </c>
      <c r="AE344" s="79"/>
      <c r="AF344" s="79"/>
      <c r="AG344" s="79">
        <f t="shared" si="145"/>
        <v>5</v>
      </c>
      <c r="AH344" s="79">
        <f t="shared" si="165"/>
        <v>5</v>
      </c>
    </row>
    <row r="345" spans="2:34" x14ac:dyDescent="0.15">
      <c r="B345" s="79" t="str">
        <f t="shared" si="157"/>
        <v/>
      </c>
      <c r="C345" s="85"/>
      <c r="D345" s="79">
        <f>INDEX(节奏总纲!$AM$4:$AM$83,$F345)</f>
        <v>1908.4603298511749</v>
      </c>
      <c r="E345" s="79">
        <f>求节点(节奏总纲!$P$4:$P$163,节奏总纲!$O$4:$O$163,$D345)</f>
        <v>108.98912790570419</v>
      </c>
      <c r="F345" s="78">
        <v>58</v>
      </c>
      <c r="G345" s="85"/>
      <c r="H345" s="78" t="s">
        <v>777</v>
      </c>
      <c r="I345" s="78"/>
      <c r="J345" s="78"/>
      <c r="K345" s="78"/>
      <c r="L345" s="78"/>
      <c r="M345" s="78">
        <f t="shared" si="166"/>
        <v>60</v>
      </c>
      <c r="N345" s="78">
        <f t="shared" si="167"/>
        <v>60</v>
      </c>
      <c r="O345" s="78">
        <f t="shared" si="168"/>
        <v>0</v>
      </c>
      <c r="P345" s="78">
        <f t="shared" si="169"/>
        <v>0</v>
      </c>
      <c r="Q345" s="78">
        <f t="shared" si="170"/>
        <v>20</v>
      </c>
      <c r="R345" s="78">
        <f t="shared" si="171"/>
        <v>20</v>
      </c>
      <c r="S345" s="78">
        <f t="shared" si="172"/>
        <v>550000</v>
      </c>
      <c r="T345" s="78">
        <f t="shared" si="173"/>
        <v>550000</v>
      </c>
      <c r="U345" s="78">
        <f t="shared" si="174"/>
        <v>0</v>
      </c>
      <c r="V345" s="78">
        <f t="shared" si="175"/>
        <v>0</v>
      </c>
      <c r="W345" s="78">
        <f t="shared" si="176"/>
        <v>0</v>
      </c>
      <c r="X345" s="78">
        <f t="shared" si="177"/>
        <v>0</v>
      </c>
      <c r="Y345" s="78">
        <f t="shared" si="178"/>
        <v>120000</v>
      </c>
      <c r="Z345" s="78">
        <f t="shared" si="179"/>
        <v>120000</v>
      </c>
      <c r="AA345" s="76"/>
      <c r="AB345" s="76"/>
      <c r="AC345" s="79">
        <f t="shared" si="163"/>
        <v>0</v>
      </c>
      <c r="AD345" s="79">
        <f t="shared" si="164"/>
        <v>0</v>
      </c>
      <c r="AE345" s="79"/>
      <c r="AF345" s="79"/>
      <c r="AG345" s="79">
        <f t="shared" ref="AG345:AG358" si="180">ROUNDUP((AG$2*$F345^AG$1+AG$3)/AG$4,0)*AG$4</f>
        <v>5</v>
      </c>
      <c r="AH345" s="79">
        <f t="shared" si="165"/>
        <v>5</v>
      </c>
    </row>
    <row r="346" spans="2:34" x14ac:dyDescent="0.15">
      <c r="B346" s="79" t="str">
        <f t="shared" si="157"/>
        <v/>
      </c>
      <c r="C346" s="85"/>
      <c r="D346" s="79">
        <f>INDEX(节奏总纲!$AM$4:$AM$83,$F346)</f>
        <v>1908.4603298511749</v>
      </c>
      <c r="E346" s="79">
        <f>求节点(节奏总纲!$P$4:$P$163,节奏总纲!$O$4:$O$163,$D346)</f>
        <v>108.98912790570419</v>
      </c>
      <c r="F346" s="78">
        <v>58</v>
      </c>
      <c r="G346" s="85"/>
      <c r="H346" s="78" t="s">
        <v>758</v>
      </c>
      <c r="I346" s="78"/>
      <c r="J346" s="78"/>
      <c r="K346" s="78"/>
      <c r="L346" s="78"/>
      <c r="M346" s="78">
        <f t="shared" si="166"/>
        <v>60</v>
      </c>
      <c r="N346" s="78">
        <f t="shared" si="167"/>
        <v>60</v>
      </c>
      <c r="O346" s="78">
        <f t="shared" si="168"/>
        <v>0</v>
      </c>
      <c r="P346" s="78">
        <f t="shared" si="169"/>
        <v>0</v>
      </c>
      <c r="Q346" s="78">
        <f t="shared" si="170"/>
        <v>20</v>
      </c>
      <c r="R346" s="78">
        <f t="shared" si="171"/>
        <v>20</v>
      </c>
      <c r="S346" s="78">
        <f t="shared" si="172"/>
        <v>550000</v>
      </c>
      <c r="T346" s="78">
        <f t="shared" si="173"/>
        <v>550000</v>
      </c>
      <c r="U346" s="78">
        <f t="shared" si="174"/>
        <v>0</v>
      </c>
      <c r="V346" s="78">
        <f t="shared" si="175"/>
        <v>0</v>
      </c>
      <c r="W346" s="78">
        <f t="shared" si="176"/>
        <v>0</v>
      </c>
      <c r="X346" s="78">
        <f t="shared" si="177"/>
        <v>0</v>
      </c>
      <c r="Y346" s="78">
        <f t="shared" si="178"/>
        <v>120000</v>
      </c>
      <c r="Z346" s="78">
        <f t="shared" si="179"/>
        <v>120000</v>
      </c>
      <c r="AA346" s="76"/>
      <c r="AB346" s="76"/>
      <c r="AC346" s="79">
        <f t="shared" si="163"/>
        <v>0</v>
      </c>
      <c r="AD346" s="79">
        <f t="shared" si="164"/>
        <v>0</v>
      </c>
      <c r="AE346" s="79"/>
      <c r="AF346" s="79"/>
      <c r="AG346" s="79">
        <f t="shared" si="180"/>
        <v>5</v>
      </c>
      <c r="AH346" s="79">
        <f>AG346*COUNTA($H346:$K346)</f>
        <v>5</v>
      </c>
    </row>
    <row r="347" spans="2:34" x14ac:dyDescent="0.15">
      <c r="B347" s="79" t="str">
        <f t="shared" si="157"/>
        <v/>
      </c>
      <c r="C347" s="85"/>
      <c r="D347" s="79">
        <f>INDEX(节奏总纲!$AM$4:$AM$83,$F347)</f>
        <v>1908.4603298511749</v>
      </c>
      <c r="E347" s="79">
        <f>求节点(节奏总纲!$P$4:$P$163,节奏总纲!$O$4:$O$163,$D347)</f>
        <v>108.98912790570419</v>
      </c>
      <c r="F347" s="78">
        <v>58</v>
      </c>
      <c r="G347" s="85"/>
      <c r="H347" s="78" t="s">
        <v>744</v>
      </c>
      <c r="I347" s="78"/>
      <c r="J347" s="78"/>
      <c r="K347" s="78"/>
      <c r="L347" s="78"/>
      <c r="M347" s="78">
        <f t="shared" si="166"/>
        <v>60</v>
      </c>
      <c r="N347" s="78">
        <f t="shared" si="167"/>
        <v>60</v>
      </c>
      <c r="O347" s="78">
        <f t="shared" si="168"/>
        <v>0</v>
      </c>
      <c r="P347" s="78">
        <f t="shared" si="169"/>
        <v>0</v>
      </c>
      <c r="Q347" s="78">
        <f t="shared" si="170"/>
        <v>20</v>
      </c>
      <c r="R347" s="78">
        <f t="shared" si="171"/>
        <v>20</v>
      </c>
      <c r="S347" s="78">
        <f t="shared" si="172"/>
        <v>550000</v>
      </c>
      <c r="T347" s="78">
        <f t="shared" si="173"/>
        <v>550000</v>
      </c>
      <c r="U347" s="78">
        <f t="shared" si="174"/>
        <v>0</v>
      </c>
      <c r="V347" s="78">
        <f t="shared" si="175"/>
        <v>0</v>
      </c>
      <c r="W347" s="78">
        <f t="shared" si="176"/>
        <v>0</v>
      </c>
      <c r="X347" s="78">
        <f t="shared" si="177"/>
        <v>0</v>
      </c>
      <c r="Y347" s="78">
        <f t="shared" si="178"/>
        <v>120000</v>
      </c>
      <c r="Z347" s="78">
        <f t="shared" si="179"/>
        <v>120000</v>
      </c>
      <c r="AA347" s="76"/>
      <c r="AB347" s="76"/>
      <c r="AC347" s="79">
        <f t="shared" si="163"/>
        <v>0</v>
      </c>
      <c r="AD347" s="79">
        <f t="shared" si="164"/>
        <v>0</v>
      </c>
      <c r="AE347" s="79"/>
      <c r="AF347" s="79"/>
      <c r="AG347" s="79">
        <f t="shared" si="180"/>
        <v>5</v>
      </c>
      <c r="AH347" s="79">
        <f t="shared" si="165"/>
        <v>5</v>
      </c>
    </row>
    <row r="348" spans="2:34" x14ac:dyDescent="0.15">
      <c r="B348" s="79" t="str">
        <f t="shared" si="157"/>
        <v/>
      </c>
      <c r="C348" s="85"/>
      <c r="D348" s="79">
        <f>INDEX(节奏总纲!$AM$4:$AM$83,$F348)</f>
        <v>1908.4603298511749</v>
      </c>
      <c r="E348" s="79">
        <f>求节点(节奏总纲!$P$4:$P$163,节奏总纲!$O$4:$O$163,$D348)</f>
        <v>108.98912790570419</v>
      </c>
      <c r="F348" s="78">
        <v>58</v>
      </c>
      <c r="G348" s="85"/>
      <c r="H348" s="78" t="s">
        <v>745</v>
      </c>
      <c r="I348" s="78"/>
      <c r="J348" s="78"/>
      <c r="K348" s="78"/>
      <c r="L348" s="78"/>
      <c r="M348" s="78">
        <f t="shared" si="166"/>
        <v>60</v>
      </c>
      <c r="N348" s="78">
        <f t="shared" si="167"/>
        <v>60</v>
      </c>
      <c r="O348" s="78">
        <f t="shared" si="168"/>
        <v>0</v>
      </c>
      <c r="P348" s="78">
        <f t="shared" si="169"/>
        <v>0</v>
      </c>
      <c r="Q348" s="78">
        <f t="shared" si="170"/>
        <v>20</v>
      </c>
      <c r="R348" s="78">
        <f t="shared" si="171"/>
        <v>20</v>
      </c>
      <c r="S348" s="78">
        <f t="shared" si="172"/>
        <v>550000</v>
      </c>
      <c r="T348" s="78">
        <f t="shared" si="173"/>
        <v>550000</v>
      </c>
      <c r="U348" s="78">
        <f t="shared" si="174"/>
        <v>0</v>
      </c>
      <c r="V348" s="78">
        <f t="shared" si="175"/>
        <v>0</v>
      </c>
      <c r="W348" s="78">
        <f t="shared" si="176"/>
        <v>0</v>
      </c>
      <c r="X348" s="78">
        <f t="shared" si="177"/>
        <v>0</v>
      </c>
      <c r="Y348" s="78">
        <f t="shared" si="178"/>
        <v>120000</v>
      </c>
      <c r="Z348" s="78">
        <f t="shared" si="179"/>
        <v>120000</v>
      </c>
      <c r="AA348" s="76"/>
      <c r="AB348" s="76"/>
      <c r="AC348" s="79">
        <f t="shared" si="163"/>
        <v>0</v>
      </c>
      <c r="AD348" s="79">
        <f t="shared" si="164"/>
        <v>0</v>
      </c>
      <c r="AE348" s="79"/>
      <c r="AF348" s="79"/>
      <c r="AG348" s="79">
        <f t="shared" si="180"/>
        <v>5</v>
      </c>
      <c r="AH348" s="79">
        <f t="shared" si="165"/>
        <v>5</v>
      </c>
    </row>
    <row r="349" spans="2:34" x14ac:dyDescent="0.15">
      <c r="B349" s="79">
        <f t="shared" si="157"/>
        <v>5</v>
      </c>
      <c r="C349" s="85"/>
      <c r="D349" s="79">
        <f>INDEX(节奏总纲!$AM$4:$AM$83,$F349)</f>
        <v>2210.1605665017755</v>
      </c>
      <c r="E349" s="79">
        <f>求节点(节奏总纲!$P$4:$P$163,节奏总纲!$O$4:$O$163,$D349)</f>
        <v>111.10262975447033</v>
      </c>
      <c r="F349" s="78">
        <v>59</v>
      </c>
      <c r="G349" s="85">
        <v>19</v>
      </c>
      <c r="H349" s="78" t="s">
        <v>746</v>
      </c>
      <c r="I349" s="78"/>
      <c r="J349" s="78"/>
      <c r="K349" s="78"/>
      <c r="L349" s="78"/>
      <c r="M349" s="78">
        <f t="shared" si="166"/>
        <v>60</v>
      </c>
      <c r="N349" s="78">
        <f t="shared" si="167"/>
        <v>60</v>
      </c>
      <c r="O349" s="78">
        <f t="shared" si="168"/>
        <v>0</v>
      </c>
      <c r="P349" s="78">
        <f t="shared" si="169"/>
        <v>0</v>
      </c>
      <c r="Q349" s="78">
        <f t="shared" si="170"/>
        <v>20</v>
      </c>
      <c r="R349" s="78">
        <f t="shared" si="171"/>
        <v>20</v>
      </c>
      <c r="S349" s="78">
        <f t="shared" si="172"/>
        <v>560000</v>
      </c>
      <c r="T349" s="78">
        <f t="shared" si="173"/>
        <v>560000</v>
      </c>
      <c r="U349" s="78">
        <f t="shared" si="174"/>
        <v>0</v>
      </c>
      <c r="V349" s="78">
        <f t="shared" si="175"/>
        <v>0</v>
      </c>
      <c r="W349" s="78">
        <f t="shared" si="176"/>
        <v>0</v>
      </c>
      <c r="X349" s="78">
        <f t="shared" si="177"/>
        <v>0</v>
      </c>
      <c r="Y349" s="78">
        <f t="shared" si="178"/>
        <v>120000</v>
      </c>
      <c r="Z349" s="78">
        <f t="shared" si="179"/>
        <v>120000</v>
      </c>
      <c r="AA349" s="76"/>
      <c r="AB349" s="76"/>
      <c r="AC349" s="79">
        <f t="shared" si="163"/>
        <v>0</v>
      </c>
      <c r="AD349" s="79">
        <f t="shared" si="164"/>
        <v>0</v>
      </c>
      <c r="AE349" s="79"/>
      <c r="AF349" s="79"/>
      <c r="AG349" s="79">
        <f t="shared" si="180"/>
        <v>5</v>
      </c>
      <c r="AH349" s="79">
        <f t="shared" si="165"/>
        <v>5</v>
      </c>
    </row>
    <row r="350" spans="2:34" x14ac:dyDescent="0.15">
      <c r="B350" s="79" t="str">
        <f t="shared" si="157"/>
        <v/>
      </c>
      <c r="C350" s="85"/>
      <c r="D350" s="79">
        <f>INDEX(节奏总纲!$AM$4:$AM$83,$F350)</f>
        <v>2210.1605665017755</v>
      </c>
      <c r="E350" s="79">
        <f>求节点(节奏总纲!$P$4:$P$163,节奏总纲!$O$4:$O$163,$D350)</f>
        <v>111.10262975447033</v>
      </c>
      <c r="F350" s="78">
        <v>59</v>
      </c>
      <c r="G350" s="85"/>
      <c r="H350" s="78" t="s">
        <v>778</v>
      </c>
      <c r="I350" s="78"/>
      <c r="J350" s="78"/>
      <c r="K350" s="78"/>
      <c r="L350" s="78"/>
      <c r="M350" s="78">
        <f t="shared" si="166"/>
        <v>60</v>
      </c>
      <c r="N350" s="78">
        <f t="shared" si="167"/>
        <v>60</v>
      </c>
      <c r="O350" s="78">
        <f t="shared" si="168"/>
        <v>0</v>
      </c>
      <c r="P350" s="78">
        <f t="shared" si="169"/>
        <v>0</v>
      </c>
      <c r="Q350" s="78">
        <f t="shared" si="170"/>
        <v>20</v>
      </c>
      <c r="R350" s="78">
        <f t="shared" si="171"/>
        <v>20</v>
      </c>
      <c r="S350" s="78">
        <f t="shared" si="172"/>
        <v>560000</v>
      </c>
      <c r="T350" s="78">
        <f t="shared" si="173"/>
        <v>560000</v>
      </c>
      <c r="U350" s="78">
        <f t="shared" si="174"/>
        <v>0</v>
      </c>
      <c r="V350" s="78">
        <f t="shared" si="175"/>
        <v>0</v>
      </c>
      <c r="W350" s="78">
        <f t="shared" si="176"/>
        <v>0</v>
      </c>
      <c r="X350" s="78">
        <f t="shared" si="177"/>
        <v>0</v>
      </c>
      <c r="Y350" s="78">
        <f t="shared" si="178"/>
        <v>120000</v>
      </c>
      <c r="Z350" s="78">
        <f t="shared" si="179"/>
        <v>120000</v>
      </c>
      <c r="AA350" s="76"/>
      <c r="AB350" s="76"/>
      <c r="AC350" s="79">
        <f t="shared" si="163"/>
        <v>0</v>
      </c>
      <c r="AD350" s="79">
        <f t="shared" si="164"/>
        <v>0</v>
      </c>
      <c r="AE350" s="79"/>
      <c r="AF350" s="79"/>
      <c r="AG350" s="79">
        <f t="shared" si="180"/>
        <v>5</v>
      </c>
      <c r="AH350" s="79">
        <f t="shared" si="165"/>
        <v>5</v>
      </c>
    </row>
    <row r="351" spans="2:34" x14ac:dyDescent="0.15">
      <c r="B351" s="79" t="str">
        <f t="shared" si="157"/>
        <v/>
      </c>
      <c r="C351" s="85"/>
      <c r="D351" s="79">
        <f>INDEX(节奏总纲!$AM$4:$AM$83,$F351)</f>
        <v>2210.1605665017755</v>
      </c>
      <c r="E351" s="79">
        <f>求节点(节奏总纲!$P$4:$P$163,节奏总纲!$O$4:$O$163,$D351)</f>
        <v>111.10262975447033</v>
      </c>
      <c r="F351" s="78">
        <v>59</v>
      </c>
      <c r="G351" s="85"/>
      <c r="H351" s="78" t="s">
        <v>761</v>
      </c>
      <c r="I351" s="78"/>
      <c r="J351" s="78"/>
      <c r="K351" s="78"/>
      <c r="L351" s="78"/>
      <c r="M351" s="78">
        <f t="shared" si="166"/>
        <v>60</v>
      </c>
      <c r="N351" s="78">
        <f t="shared" si="167"/>
        <v>60</v>
      </c>
      <c r="O351" s="78">
        <f t="shared" si="168"/>
        <v>0</v>
      </c>
      <c r="P351" s="78">
        <f t="shared" si="169"/>
        <v>0</v>
      </c>
      <c r="Q351" s="78">
        <f t="shared" si="170"/>
        <v>20</v>
      </c>
      <c r="R351" s="78">
        <f t="shared" si="171"/>
        <v>20</v>
      </c>
      <c r="S351" s="78">
        <f t="shared" si="172"/>
        <v>560000</v>
      </c>
      <c r="T351" s="78">
        <f t="shared" si="173"/>
        <v>560000</v>
      </c>
      <c r="U351" s="78">
        <f t="shared" si="174"/>
        <v>0</v>
      </c>
      <c r="V351" s="78">
        <f t="shared" si="175"/>
        <v>0</v>
      </c>
      <c r="W351" s="78">
        <f t="shared" si="176"/>
        <v>0</v>
      </c>
      <c r="X351" s="78">
        <f t="shared" si="177"/>
        <v>0</v>
      </c>
      <c r="Y351" s="78">
        <f t="shared" si="178"/>
        <v>120000</v>
      </c>
      <c r="Z351" s="78">
        <f t="shared" si="179"/>
        <v>120000</v>
      </c>
      <c r="AA351" s="76"/>
      <c r="AB351" s="76"/>
      <c r="AC351" s="79">
        <f t="shared" si="163"/>
        <v>0</v>
      </c>
      <c r="AD351" s="79">
        <f t="shared" si="164"/>
        <v>0</v>
      </c>
      <c r="AE351" s="79"/>
      <c r="AF351" s="79"/>
      <c r="AG351" s="79">
        <f t="shared" si="180"/>
        <v>5</v>
      </c>
      <c r="AH351" s="79">
        <f t="shared" si="165"/>
        <v>5</v>
      </c>
    </row>
    <row r="352" spans="2:34" x14ac:dyDescent="0.15">
      <c r="B352" s="79" t="str">
        <f t="shared" si="157"/>
        <v/>
      </c>
      <c r="C352" s="85"/>
      <c r="D352" s="79">
        <f>INDEX(节奏总纲!$AM$4:$AM$83,$F352)</f>
        <v>2210.1605665017755</v>
      </c>
      <c r="E352" s="79">
        <f>求节点(节奏总纲!$P$4:$P$163,节奏总纲!$O$4:$O$163,$D352)</f>
        <v>111.10262975447033</v>
      </c>
      <c r="F352" s="78">
        <v>59</v>
      </c>
      <c r="G352" s="85"/>
      <c r="H352" s="78" t="s">
        <v>747</v>
      </c>
      <c r="I352" s="78"/>
      <c r="J352" s="78"/>
      <c r="K352" s="78"/>
      <c r="L352" s="78"/>
      <c r="M352" s="78">
        <f t="shared" si="166"/>
        <v>60</v>
      </c>
      <c r="N352" s="78">
        <f t="shared" si="167"/>
        <v>60</v>
      </c>
      <c r="O352" s="78">
        <f t="shared" si="168"/>
        <v>0</v>
      </c>
      <c r="P352" s="78">
        <f t="shared" si="169"/>
        <v>0</v>
      </c>
      <c r="Q352" s="78">
        <f t="shared" si="170"/>
        <v>20</v>
      </c>
      <c r="R352" s="78">
        <f t="shared" si="171"/>
        <v>20</v>
      </c>
      <c r="S352" s="78">
        <f t="shared" si="172"/>
        <v>560000</v>
      </c>
      <c r="T352" s="78">
        <f t="shared" si="173"/>
        <v>560000</v>
      </c>
      <c r="U352" s="78">
        <f t="shared" si="174"/>
        <v>0</v>
      </c>
      <c r="V352" s="78">
        <f t="shared" si="175"/>
        <v>0</v>
      </c>
      <c r="W352" s="78">
        <f t="shared" si="176"/>
        <v>0</v>
      </c>
      <c r="X352" s="78">
        <f t="shared" si="177"/>
        <v>0</v>
      </c>
      <c r="Y352" s="78">
        <f t="shared" si="178"/>
        <v>120000</v>
      </c>
      <c r="Z352" s="78">
        <f t="shared" si="179"/>
        <v>120000</v>
      </c>
      <c r="AA352" s="76"/>
      <c r="AB352" s="76"/>
      <c r="AC352" s="79">
        <f t="shared" si="163"/>
        <v>0</v>
      </c>
      <c r="AD352" s="79">
        <f t="shared" si="164"/>
        <v>0</v>
      </c>
      <c r="AE352" s="79"/>
      <c r="AF352" s="79"/>
      <c r="AG352" s="79">
        <f t="shared" si="180"/>
        <v>5</v>
      </c>
      <c r="AH352" s="79">
        <f t="shared" si="165"/>
        <v>5</v>
      </c>
    </row>
    <row r="353" spans="2:34" x14ac:dyDescent="0.15">
      <c r="B353" s="79" t="str">
        <f t="shared" si="157"/>
        <v/>
      </c>
      <c r="C353" s="85"/>
      <c r="D353" s="79">
        <f>INDEX(节奏总纲!$AM$4:$AM$83,$F353)</f>
        <v>2210.1605665017755</v>
      </c>
      <c r="E353" s="79">
        <f>求节点(节奏总纲!$P$4:$P$163,节奏总纲!$O$4:$O$163,$D353)</f>
        <v>111.10262975447033</v>
      </c>
      <c r="F353" s="78">
        <v>59</v>
      </c>
      <c r="G353" s="85"/>
      <c r="H353" s="78" t="s">
        <v>748</v>
      </c>
      <c r="I353" s="78"/>
      <c r="J353" s="78"/>
      <c r="K353" s="78"/>
      <c r="L353" s="78"/>
      <c r="M353" s="78">
        <f t="shared" si="166"/>
        <v>60</v>
      </c>
      <c r="N353" s="78">
        <f t="shared" si="167"/>
        <v>60</v>
      </c>
      <c r="O353" s="78">
        <f t="shared" si="168"/>
        <v>0</v>
      </c>
      <c r="P353" s="78">
        <f t="shared" si="169"/>
        <v>0</v>
      </c>
      <c r="Q353" s="78">
        <f t="shared" si="170"/>
        <v>20</v>
      </c>
      <c r="R353" s="78">
        <f t="shared" si="171"/>
        <v>20</v>
      </c>
      <c r="S353" s="78">
        <f t="shared" si="172"/>
        <v>560000</v>
      </c>
      <c r="T353" s="78">
        <f t="shared" si="173"/>
        <v>560000</v>
      </c>
      <c r="U353" s="78">
        <f t="shared" si="174"/>
        <v>0</v>
      </c>
      <c r="V353" s="78">
        <f t="shared" si="175"/>
        <v>0</v>
      </c>
      <c r="W353" s="78">
        <f t="shared" si="176"/>
        <v>0</v>
      </c>
      <c r="X353" s="78">
        <f t="shared" si="177"/>
        <v>0</v>
      </c>
      <c r="Y353" s="78">
        <f t="shared" si="178"/>
        <v>120000</v>
      </c>
      <c r="Z353" s="78">
        <f t="shared" si="179"/>
        <v>120000</v>
      </c>
      <c r="AA353" s="76"/>
      <c r="AB353" s="76"/>
      <c r="AC353" s="79">
        <f t="shared" si="163"/>
        <v>0</v>
      </c>
      <c r="AD353" s="79">
        <f t="shared" si="164"/>
        <v>0</v>
      </c>
      <c r="AE353" s="79"/>
      <c r="AF353" s="79"/>
      <c r="AG353" s="79">
        <f t="shared" si="180"/>
        <v>5</v>
      </c>
      <c r="AH353" s="79">
        <f t="shared" si="165"/>
        <v>5</v>
      </c>
    </row>
    <row r="354" spans="2:34" x14ac:dyDescent="0.15">
      <c r="B354" s="79">
        <f t="shared" si="157"/>
        <v>5</v>
      </c>
      <c r="C354" s="85"/>
      <c r="D354" s="79">
        <f>INDEX(节奏总纲!$AM$4:$AM$83,$F354)</f>
        <v>2559.375</v>
      </c>
      <c r="E354" s="79">
        <f>求节点(节奏总纲!$P$4:$P$163,节奏总纲!$O$4:$O$163,$D354)</f>
        <v>113.21545878873063</v>
      </c>
      <c r="F354" s="78">
        <v>60</v>
      </c>
      <c r="G354" s="85">
        <v>20</v>
      </c>
      <c r="H354" s="78" t="s">
        <v>749</v>
      </c>
      <c r="I354" s="78"/>
      <c r="J354" s="78"/>
      <c r="K354" s="78"/>
      <c r="L354" s="78"/>
      <c r="M354" s="78">
        <f t="shared" si="166"/>
        <v>60</v>
      </c>
      <c r="N354" s="78">
        <f t="shared" si="167"/>
        <v>60</v>
      </c>
      <c r="O354" s="78">
        <f t="shared" si="168"/>
        <v>0</v>
      </c>
      <c r="P354" s="78">
        <f t="shared" si="169"/>
        <v>0</v>
      </c>
      <c r="Q354" s="78">
        <f t="shared" si="170"/>
        <v>20</v>
      </c>
      <c r="R354" s="78">
        <f t="shared" si="171"/>
        <v>20</v>
      </c>
      <c r="S354" s="78">
        <f t="shared" si="172"/>
        <v>580000</v>
      </c>
      <c r="T354" s="78">
        <f t="shared" si="173"/>
        <v>580000</v>
      </c>
      <c r="U354" s="78">
        <f t="shared" si="174"/>
        <v>0</v>
      </c>
      <c r="V354" s="78">
        <f t="shared" si="175"/>
        <v>0</v>
      </c>
      <c r="W354" s="78">
        <f t="shared" si="176"/>
        <v>0</v>
      </c>
      <c r="X354" s="78">
        <f t="shared" si="177"/>
        <v>0</v>
      </c>
      <c r="Y354" s="78">
        <f t="shared" si="178"/>
        <v>120000</v>
      </c>
      <c r="Z354" s="78">
        <f t="shared" si="179"/>
        <v>120000</v>
      </c>
      <c r="AA354" s="76"/>
      <c r="AB354" s="76"/>
      <c r="AC354" s="79">
        <f t="shared" si="163"/>
        <v>0</v>
      </c>
      <c r="AD354" s="79">
        <f t="shared" si="164"/>
        <v>0</v>
      </c>
      <c r="AE354" s="79"/>
      <c r="AF354" s="79"/>
      <c r="AG354" s="79">
        <f t="shared" si="180"/>
        <v>5</v>
      </c>
      <c r="AH354" s="79">
        <f t="shared" si="165"/>
        <v>5</v>
      </c>
    </row>
    <row r="355" spans="2:34" x14ac:dyDescent="0.15">
      <c r="B355" s="79" t="str">
        <f t="shared" si="157"/>
        <v/>
      </c>
      <c r="C355" s="85"/>
      <c r="D355" s="79">
        <f>INDEX(节奏总纲!$AM$4:$AM$83,$F355)</f>
        <v>2559.375</v>
      </c>
      <c r="E355" s="79">
        <f>求节点(节奏总纲!$P$4:$P$163,节奏总纲!$O$4:$O$163,$D355)</f>
        <v>113.21545878873063</v>
      </c>
      <c r="F355" s="78">
        <v>60</v>
      </c>
      <c r="G355" s="85"/>
      <c r="H355" s="78" t="s">
        <v>779</v>
      </c>
      <c r="I355" s="78"/>
      <c r="J355" s="78"/>
      <c r="K355" s="78"/>
      <c r="L355" s="78"/>
      <c r="M355" s="78">
        <f t="shared" si="166"/>
        <v>60</v>
      </c>
      <c r="N355" s="78">
        <f t="shared" si="167"/>
        <v>60</v>
      </c>
      <c r="O355" s="78">
        <f t="shared" si="168"/>
        <v>0</v>
      </c>
      <c r="P355" s="78">
        <f t="shared" si="169"/>
        <v>0</v>
      </c>
      <c r="Q355" s="78">
        <f t="shared" si="170"/>
        <v>20</v>
      </c>
      <c r="R355" s="78">
        <f t="shared" si="171"/>
        <v>20</v>
      </c>
      <c r="S355" s="78">
        <f t="shared" si="172"/>
        <v>580000</v>
      </c>
      <c r="T355" s="78">
        <f t="shared" si="173"/>
        <v>580000</v>
      </c>
      <c r="U355" s="78">
        <f t="shared" si="174"/>
        <v>0</v>
      </c>
      <c r="V355" s="78">
        <f t="shared" si="175"/>
        <v>0</v>
      </c>
      <c r="W355" s="78">
        <f t="shared" si="176"/>
        <v>0</v>
      </c>
      <c r="X355" s="78">
        <f t="shared" si="177"/>
        <v>0</v>
      </c>
      <c r="Y355" s="78">
        <f t="shared" si="178"/>
        <v>120000</v>
      </c>
      <c r="Z355" s="78">
        <f t="shared" si="179"/>
        <v>120000</v>
      </c>
      <c r="AA355" s="76"/>
      <c r="AB355" s="76"/>
      <c r="AC355" s="79">
        <f t="shared" si="163"/>
        <v>0</v>
      </c>
      <c r="AD355" s="79">
        <f t="shared" si="164"/>
        <v>0</v>
      </c>
      <c r="AE355" s="79"/>
      <c r="AF355" s="79"/>
      <c r="AG355" s="79">
        <f t="shared" si="180"/>
        <v>5</v>
      </c>
      <c r="AH355" s="79">
        <f t="shared" si="165"/>
        <v>5</v>
      </c>
    </row>
    <row r="356" spans="2:34" x14ac:dyDescent="0.15">
      <c r="B356" s="79" t="str">
        <f t="shared" si="157"/>
        <v/>
      </c>
      <c r="C356" s="85"/>
      <c r="D356" s="79">
        <f>INDEX(节奏总纲!$AM$4:$AM$83,$F356)</f>
        <v>2559.375</v>
      </c>
      <c r="E356" s="79">
        <f>求节点(节奏总纲!$P$4:$P$163,节奏总纲!$O$4:$O$163,$D356)</f>
        <v>113.21545878873063</v>
      </c>
      <c r="F356" s="78">
        <v>60</v>
      </c>
      <c r="G356" s="85"/>
      <c r="H356" s="78" t="s">
        <v>780</v>
      </c>
      <c r="I356" s="78"/>
      <c r="J356" s="78"/>
      <c r="K356" s="78"/>
      <c r="L356" s="78"/>
      <c r="M356" s="78">
        <f t="shared" si="166"/>
        <v>60</v>
      </c>
      <c r="N356" s="78">
        <f t="shared" si="167"/>
        <v>60</v>
      </c>
      <c r="O356" s="78">
        <f t="shared" si="168"/>
        <v>0</v>
      </c>
      <c r="P356" s="78">
        <f t="shared" si="169"/>
        <v>0</v>
      </c>
      <c r="Q356" s="78">
        <f t="shared" si="170"/>
        <v>20</v>
      </c>
      <c r="R356" s="78">
        <f t="shared" si="171"/>
        <v>20</v>
      </c>
      <c r="S356" s="78">
        <f t="shared" si="172"/>
        <v>580000</v>
      </c>
      <c r="T356" s="78">
        <f t="shared" si="173"/>
        <v>580000</v>
      </c>
      <c r="U356" s="78">
        <f t="shared" si="174"/>
        <v>0</v>
      </c>
      <c r="V356" s="78">
        <f t="shared" si="175"/>
        <v>0</v>
      </c>
      <c r="W356" s="78">
        <f t="shared" si="176"/>
        <v>0</v>
      </c>
      <c r="X356" s="78">
        <f t="shared" si="177"/>
        <v>0</v>
      </c>
      <c r="Y356" s="78">
        <f t="shared" si="178"/>
        <v>120000</v>
      </c>
      <c r="Z356" s="78">
        <f t="shared" si="179"/>
        <v>120000</v>
      </c>
      <c r="AA356" s="76"/>
      <c r="AB356" s="76"/>
      <c r="AC356" s="79">
        <f t="shared" si="163"/>
        <v>0</v>
      </c>
      <c r="AD356" s="79">
        <f t="shared" si="164"/>
        <v>0</v>
      </c>
      <c r="AE356" s="79"/>
      <c r="AF356" s="79"/>
      <c r="AG356" s="79">
        <f t="shared" si="180"/>
        <v>5</v>
      </c>
      <c r="AH356" s="79">
        <f t="shared" si="165"/>
        <v>5</v>
      </c>
    </row>
    <row r="357" spans="2:34" x14ac:dyDescent="0.15">
      <c r="B357" s="79" t="str">
        <f t="shared" si="157"/>
        <v/>
      </c>
      <c r="C357" s="85"/>
      <c r="D357" s="79">
        <f>INDEX(节奏总纲!$AM$4:$AM$83,$F357)</f>
        <v>2559.375</v>
      </c>
      <c r="E357" s="79">
        <f>求节点(节奏总纲!$P$4:$P$163,节奏总纲!$O$4:$O$163,$D357)</f>
        <v>113.21545878873063</v>
      </c>
      <c r="F357" s="78">
        <v>60</v>
      </c>
      <c r="G357" s="85"/>
      <c r="H357" s="78" t="s">
        <v>750</v>
      </c>
      <c r="I357" s="78"/>
      <c r="J357" s="78"/>
      <c r="K357" s="78"/>
      <c r="L357" s="78"/>
      <c r="M357" s="78">
        <f t="shared" si="166"/>
        <v>60</v>
      </c>
      <c r="N357" s="78">
        <f t="shared" si="167"/>
        <v>60</v>
      </c>
      <c r="O357" s="78">
        <f t="shared" si="168"/>
        <v>0</v>
      </c>
      <c r="P357" s="78">
        <f t="shared" si="169"/>
        <v>0</v>
      </c>
      <c r="Q357" s="78">
        <f t="shared" si="170"/>
        <v>20</v>
      </c>
      <c r="R357" s="78">
        <f t="shared" si="171"/>
        <v>20</v>
      </c>
      <c r="S357" s="78">
        <f t="shared" si="172"/>
        <v>580000</v>
      </c>
      <c r="T357" s="78">
        <f t="shared" si="173"/>
        <v>580000</v>
      </c>
      <c r="U357" s="78">
        <f t="shared" si="174"/>
        <v>0</v>
      </c>
      <c r="V357" s="78">
        <f t="shared" si="175"/>
        <v>0</v>
      </c>
      <c r="W357" s="78">
        <f t="shared" si="176"/>
        <v>0</v>
      </c>
      <c r="X357" s="78">
        <f t="shared" si="177"/>
        <v>0</v>
      </c>
      <c r="Y357" s="78">
        <f t="shared" si="178"/>
        <v>120000</v>
      </c>
      <c r="Z357" s="78">
        <f t="shared" si="179"/>
        <v>120000</v>
      </c>
      <c r="AA357" s="76"/>
      <c r="AB357" s="76"/>
      <c r="AC357" s="79">
        <f t="shared" si="163"/>
        <v>0</v>
      </c>
      <c r="AD357" s="79">
        <f t="shared" si="164"/>
        <v>0</v>
      </c>
      <c r="AE357" s="79"/>
      <c r="AF357" s="79"/>
      <c r="AG357" s="79">
        <f t="shared" si="180"/>
        <v>5</v>
      </c>
      <c r="AH357" s="79">
        <f t="shared" si="165"/>
        <v>5</v>
      </c>
    </row>
    <row r="358" spans="2:34" x14ac:dyDescent="0.15">
      <c r="B358" s="79" t="str">
        <f t="shared" si="157"/>
        <v/>
      </c>
      <c r="C358" s="85"/>
      <c r="D358" s="79">
        <f>INDEX(节奏总纲!$AM$4:$AM$83,$F358)</f>
        <v>2559.375</v>
      </c>
      <c r="E358" s="79">
        <f>求节点(节奏总纲!$P$4:$P$163,节奏总纲!$O$4:$O$163,$D358)</f>
        <v>113.21545878873063</v>
      </c>
      <c r="F358" s="78">
        <v>60</v>
      </c>
      <c r="G358" s="85"/>
      <c r="H358" s="78" t="s">
        <v>751</v>
      </c>
      <c r="I358" s="78"/>
      <c r="J358" s="78"/>
      <c r="K358" s="78"/>
      <c r="L358" s="78"/>
      <c r="M358" s="78">
        <f t="shared" si="166"/>
        <v>60</v>
      </c>
      <c r="N358" s="78">
        <f t="shared" si="167"/>
        <v>60</v>
      </c>
      <c r="O358" s="78">
        <f t="shared" si="168"/>
        <v>0</v>
      </c>
      <c r="P358" s="78">
        <f t="shared" si="169"/>
        <v>0</v>
      </c>
      <c r="Q358" s="78">
        <f t="shared" si="170"/>
        <v>20</v>
      </c>
      <c r="R358" s="78">
        <f t="shared" si="171"/>
        <v>20</v>
      </c>
      <c r="S358" s="78">
        <f t="shared" si="172"/>
        <v>580000</v>
      </c>
      <c r="T358" s="78">
        <f t="shared" si="173"/>
        <v>580000</v>
      </c>
      <c r="U358" s="78">
        <f t="shared" si="174"/>
        <v>0</v>
      </c>
      <c r="V358" s="78">
        <f t="shared" si="175"/>
        <v>0</v>
      </c>
      <c r="W358" s="78">
        <f t="shared" si="176"/>
        <v>0</v>
      </c>
      <c r="X358" s="78">
        <f t="shared" si="177"/>
        <v>0</v>
      </c>
      <c r="Y358" s="78">
        <f t="shared" si="178"/>
        <v>120000</v>
      </c>
      <c r="Z358" s="78">
        <f t="shared" si="179"/>
        <v>120000</v>
      </c>
      <c r="AA358" s="76"/>
      <c r="AB358" s="76"/>
      <c r="AC358" s="79">
        <f t="shared" si="163"/>
        <v>0</v>
      </c>
      <c r="AD358" s="79">
        <f t="shared" si="164"/>
        <v>0</v>
      </c>
      <c r="AE358" s="79"/>
      <c r="AF358" s="79"/>
      <c r="AG358" s="79">
        <f t="shared" si="180"/>
        <v>5</v>
      </c>
      <c r="AH358" s="79">
        <f t="shared" si="165"/>
        <v>5</v>
      </c>
    </row>
    <row r="359" spans="2:34" x14ac:dyDescent="0.15"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</row>
  </sheetData>
  <mergeCells count="74">
    <mergeCell ref="G334:G338"/>
    <mergeCell ref="G339:G343"/>
    <mergeCell ref="G344:G348"/>
    <mergeCell ref="G349:G353"/>
    <mergeCell ref="G354:G358"/>
    <mergeCell ref="G319:G323"/>
    <mergeCell ref="G324:G328"/>
    <mergeCell ref="G329:G333"/>
    <mergeCell ref="G234:G239"/>
    <mergeCell ref="G245:G250"/>
    <mergeCell ref="G251:G253"/>
    <mergeCell ref="G254:G260"/>
    <mergeCell ref="G261:G263"/>
    <mergeCell ref="G264:G270"/>
    <mergeCell ref="G271:G273"/>
    <mergeCell ref="G274:G279"/>
    <mergeCell ref="G280:G283"/>
    <mergeCell ref="G284:G289"/>
    <mergeCell ref="G300:G303"/>
    <mergeCell ref="G304:G308"/>
    <mergeCell ref="G240:G244"/>
    <mergeCell ref="G309:G313"/>
    <mergeCell ref="G314:G318"/>
    <mergeCell ref="G156:G160"/>
    <mergeCell ref="G175:G178"/>
    <mergeCell ref="G146:G150"/>
    <mergeCell ref="G290:G293"/>
    <mergeCell ref="G294:G299"/>
    <mergeCell ref="C166:C233"/>
    <mergeCell ref="G166:G171"/>
    <mergeCell ref="G189:G191"/>
    <mergeCell ref="G192:G198"/>
    <mergeCell ref="G199:G201"/>
    <mergeCell ref="G202:G208"/>
    <mergeCell ref="G209:G214"/>
    <mergeCell ref="G215:G219"/>
    <mergeCell ref="G220:G223"/>
    <mergeCell ref="G224:G229"/>
    <mergeCell ref="G230:G233"/>
    <mergeCell ref="G172:G174"/>
    <mergeCell ref="G179:G184"/>
    <mergeCell ref="G185:G188"/>
    <mergeCell ref="G161:G165"/>
    <mergeCell ref="AX3:BE3"/>
    <mergeCell ref="Y6:Z6"/>
    <mergeCell ref="M6:N6"/>
    <mergeCell ref="O6:P6"/>
    <mergeCell ref="Q6:R6"/>
    <mergeCell ref="S6:T6"/>
    <mergeCell ref="AA6:AB6"/>
    <mergeCell ref="AC6:AD6"/>
    <mergeCell ref="AE6:AF6"/>
    <mergeCell ref="W6:X6"/>
    <mergeCell ref="AG6:AH6"/>
    <mergeCell ref="AM6:AU6"/>
    <mergeCell ref="U6:V6"/>
    <mergeCell ref="G109:G113"/>
    <mergeCell ref="G104:G108"/>
    <mergeCell ref="C234:C358"/>
    <mergeCell ref="C8:C54"/>
    <mergeCell ref="G35:G54"/>
    <mergeCell ref="G8:G34"/>
    <mergeCell ref="G131:G138"/>
    <mergeCell ref="G55:G67"/>
    <mergeCell ref="G68:G77"/>
    <mergeCell ref="G78:G89"/>
    <mergeCell ref="G90:G94"/>
    <mergeCell ref="G95:G103"/>
    <mergeCell ref="G114:G120"/>
    <mergeCell ref="G121:G124"/>
    <mergeCell ref="G125:G130"/>
    <mergeCell ref="C55:C165"/>
    <mergeCell ref="G139:G145"/>
    <mergeCell ref="G151:G15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DBB53-054F-4E65-9811-02FC1D01A8A1}">
  <dimension ref="E5:M92"/>
  <sheetViews>
    <sheetView tabSelected="1" workbookViewId="0">
      <selection activeCell="O22" sqref="O22"/>
    </sheetView>
  </sheetViews>
  <sheetFormatPr defaultRowHeight="11.25" x14ac:dyDescent="0.15"/>
  <cols>
    <col min="1" max="5" width="9" style="80"/>
    <col min="6" max="6" width="15.25" style="80" bestFit="1" customWidth="1"/>
    <col min="7" max="16384" width="9" style="80"/>
  </cols>
  <sheetData>
    <row r="5" spans="5:13" x14ac:dyDescent="0.15">
      <c r="E5" s="80" t="s">
        <v>18</v>
      </c>
      <c r="F5" s="80" t="s">
        <v>797</v>
      </c>
      <c r="G5" s="80" t="s">
        <v>798</v>
      </c>
      <c r="H5" s="80" t="s">
        <v>799</v>
      </c>
      <c r="I5" s="80" t="s">
        <v>800</v>
      </c>
      <c r="J5" s="80" t="s">
        <v>801</v>
      </c>
      <c r="K5" s="80" t="s">
        <v>802</v>
      </c>
      <c r="L5" s="80" t="s">
        <v>803</v>
      </c>
      <c r="M5" s="80" t="s">
        <v>804</v>
      </c>
    </row>
    <row r="6" spans="5:13" x14ac:dyDescent="0.15">
      <c r="E6" s="80">
        <v>51</v>
      </c>
      <c r="F6" s="80" t="s">
        <v>752</v>
      </c>
      <c r="G6" s="80">
        <v>50</v>
      </c>
      <c r="H6" s="80">
        <v>5</v>
      </c>
      <c r="I6" s="80">
        <v>48000</v>
      </c>
      <c r="J6" s="80">
        <v>51500</v>
      </c>
      <c r="K6" s="80">
        <v>51500</v>
      </c>
      <c r="L6" s="80">
        <v>51500</v>
      </c>
      <c r="M6" s="80">
        <v>51500</v>
      </c>
    </row>
    <row r="7" spans="5:13" x14ac:dyDescent="0.15">
      <c r="E7" s="80">
        <v>51</v>
      </c>
      <c r="F7" s="80" t="s">
        <v>782</v>
      </c>
      <c r="G7" s="80">
        <v>50</v>
      </c>
      <c r="H7" s="80">
        <v>5</v>
      </c>
      <c r="I7" s="80">
        <v>48000</v>
      </c>
      <c r="J7" s="80">
        <v>54000</v>
      </c>
      <c r="K7" s="80">
        <v>54000</v>
      </c>
      <c r="L7" s="80">
        <v>54000</v>
      </c>
      <c r="M7" s="80">
        <v>54000</v>
      </c>
    </row>
    <row r="8" spans="5:13" x14ac:dyDescent="0.15">
      <c r="E8" s="80">
        <v>51</v>
      </c>
      <c r="F8" s="80" t="s">
        <v>753</v>
      </c>
      <c r="G8" s="80">
        <v>50</v>
      </c>
      <c r="H8" s="80">
        <v>5</v>
      </c>
      <c r="I8" s="80">
        <v>48000</v>
      </c>
      <c r="J8" s="80">
        <v>54000</v>
      </c>
      <c r="K8" s="80">
        <v>54000</v>
      </c>
      <c r="L8" s="80">
        <v>54000</v>
      </c>
      <c r="M8" s="80">
        <v>54000</v>
      </c>
    </row>
    <row r="9" spans="5:13" x14ac:dyDescent="0.15">
      <c r="E9" s="80">
        <v>51</v>
      </c>
      <c r="F9" s="80" t="s">
        <v>754</v>
      </c>
      <c r="G9" s="80">
        <v>50</v>
      </c>
      <c r="H9" s="80">
        <v>5</v>
      </c>
      <c r="I9" s="80">
        <v>48000</v>
      </c>
      <c r="J9" s="80">
        <v>54000</v>
      </c>
      <c r="K9" s="80">
        <v>54000</v>
      </c>
      <c r="L9" s="80">
        <v>54000</v>
      </c>
      <c r="M9" s="80">
        <v>54000</v>
      </c>
    </row>
    <row r="10" spans="5:13" x14ac:dyDescent="0.15">
      <c r="E10" s="80">
        <v>51</v>
      </c>
      <c r="F10" s="80" t="s">
        <v>755</v>
      </c>
      <c r="G10" s="80">
        <v>50</v>
      </c>
      <c r="H10" s="80">
        <v>5</v>
      </c>
      <c r="I10" s="80">
        <v>48000</v>
      </c>
      <c r="J10" s="80">
        <v>54000</v>
      </c>
      <c r="K10" s="80">
        <v>54000</v>
      </c>
      <c r="L10" s="80">
        <v>54000</v>
      </c>
      <c r="M10" s="80">
        <v>54000</v>
      </c>
    </row>
    <row r="11" spans="5:13" x14ac:dyDescent="0.15">
      <c r="E11" s="80">
        <v>52</v>
      </c>
      <c r="F11" s="80" t="s">
        <v>732</v>
      </c>
      <c r="G11" s="80">
        <v>50</v>
      </c>
      <c r="H11" s="80">
        <v>5</v>
      </c>
      <c r="I11" s="80">
        <v>48000</v>
      </c>
      <c r="J11" s="80">
        <v>54000</v>
      </c>
      <c r="K11" s="80">
        <v>54000</v>
      </c>
      <c r="L11" s="80">
        <v>54000</v>
      </c>
      <c r="M11" s="80">
        <v>54000</v>
      </c>
    </row>
    <row r="12" spans="5:13" x14ac:dyDescent="0.15">
      <c r="E12" s="80">
        <v>52</v>
      </c>
      <c r="F12" s="80" t="s">
        <v>783</v>
      </c>
      <c r="G12" s="80">
        <v>50</v>
      </c>
      <c r="H12" s="80">
        <v>5</v>
      </c>
      <c r="I12" s="80">
        <v>48000</v>
      </c>
      <c r="J12" s="80">
        <v>55000</v>
      </c>
      <c r="K12" s="80">
        <v>55000</v>
      </c>
      <c r="L12" s="80">
        <v>55000</v>
      </c>
      <c r="M12" s="80">
        <v>55000</v>
      </c>
    </row>
    <row r="13" spans="5:13" x14ac:dyDescent="0.15">
      <c r="E13" s="80">
        <v>52</v>
      </c>
      <c r="F13" s="80" t="s">
        <v>784</v>
      </c>
      <c r="G13" s="80">
        <v>50</v>
      </c>
      <c r="H13" s="80">
        <v>5</v>
      </c>
      <c r="I13" s="80">
        <v>48000</v>
      </c>
      <c r="J13" s="80">
        <v>55000</v>
      </c>
      <c r="K13" s="80">
        <v>55000</v>
      </c>
      <c r="L13" s="80">
        <v>55000</v>
      </c>
      <c r="M13" s="80">
        <v>55000</v>
      </c>
    </row>
    <row r="14" spans="5:13" x14ac:dyDescent="0.15">
      <c r="E14" s="80">
        <v>52</v>
      </c>
      <c r="F14" s="80" t="s">
        <v>756</v>
      </c>
      <c r="G14" s="80">
        <v>50</v>
      </c>
      <c r="H14" s="80">
        <v>5</v>
      </c>
      <c r="I14" s="80">
        <v>48000</v>
      </c>
      <c r="J14" s="80">
        <v>55000</v>
      </c>
      <c r="K14" s="80">
        <v>55000</v>
      </c>
      <c r="L14" s="80">
        <v>55000</v>
      </c>
      <c r="M14" s="80">
        <v>55000</v>
      </c>
    </row>
    <row r="15" spans="5:13" x14ac:dyDescent="0.15">
      <c r="E15" s="80">
        <v>52</v>
      </c>
      <c r="F15" s="80" t="s">
        <v>757</v>
      </c>
      <c r="G15" s="80">
        <v>50</v>
      </c>
      <c r="H15" s="80">
        <v>5</v>
      </c>
      <c r="I15" s="80">
        <v>48000</v>
      </c>
      <c r="J15" s="80">
        <v>55000</v>
      </c>
      <c r="K15" s="80">
        <v>55000</v>
      </c>
      <c r="L15" s="80">
        <v>55000</v>
      </c>
      <c r="M15" s="80">
        <v>55000</v>
      </c>
    </row>
    <row r="16" spans="5:13" x14ac:dyDescent="0.15">
      <c r="E16" s="80">
        <v>53</v>
      </c>
      <c r="F16" s="80" t="s">
        <v>733</v>
      </c>
      <c r="G16" s="80">
        <v>50</v>
      </c>
      <c r="H16" s="80">
        <v>5</v>
      </c>
      <c r="I16" s="80">
        <v>48000</v>
      </c>
      <c r="J16" s="80">
        <v>55000</v>
      </c>
      <c r="K16" s="80">
        <v>55000</v>
      </c>
      <c r="L16" s="80">
        <v>55000</v>
      </c>
      <c r="M16" s="80">
        <v>55000</v>
      </c>
    </row>
    <row r="17" spans="5:13" x14ac:dyDescent="0.15">
      <c r="E17" s="80">
        <v>53</v>
      </c>
      <c r="F17" s="80" t="s">
        <v>758</v>
      </c>
      <c r="G17" s="80">
        <v>50</v>
      </c>
      <c r="H17" s="80">
        <v>5</v>
      </c>
      <c r="I17" s="80">
        <v>53000</v>
      </c>
      <c r="J17" s="80">
        <v>57500</v>
      </c>
      <c r="K17" s="80">
        <v>57500</v>
      </c>
      <c r="L17" s="80">
        <v>57500</v>
      </c>
      <c r="M17" s="80">
        <v>57500</v>
      </c>
    </row>
    <row r="18" spans="5:13" x14ac:dyDescent="0.15">
      <c r="E18" s="80">
        <v>53</v>
      </c>
      <c r="F18" s="80" t="s">
        <v>785</v>
      </c>
      <c r="G18" s="80">
        <v>50</v>
      </c>
      <c r="H18" s="80">
        <v>5</v>
      </c>
      <c r="I18" s="80">
        <v>53000</v>
      </c>
      <c r="J18" s="80">
        <v>57500</v>
      </c>
      <c r="K18" s="80">
        <v>57500</v>
      </c>
      <c r="L18" s="80">
        <v>57500</v>
      </c>
      <c r="M18" s="80">
        <v>57500</v>
      </c>
    </row>
    <row r="19" spans="5:13" x14ac:dyDescent="0.15">
      <c r="E19" s="80">
        <v>53</v>
      </c>
      <c r="F19" s="80" t="s">
        <v>759</v>
      </c>
      <c r="G19" s="80">
        <v>50</v>
      </c>
      <c r="H19" s="80">
        <v>5</v>
      </c>
      <c r="I19" s="80">
        <v>53000</v>
      </c>
      <c r="J19" s="80">
        <v>57500</v>
      </c>
      <c r="K19" s="80">
        <v>57500</v>
      </c>
      <c r="L19" s="80">
        <v>57500</v>
      </c>
      <c r="M19" s="80">
        <v>57500</v>
      </c>
    </row>
    <row r="20" spans="5:13" x14ac:dyDescent="0.15">
      <c r="E20" s="80">
        <v>53</v>
      </c>
      <c r="F20" s="80" t="s">
        <v>760</v>
      </c>
      <c r="G20" s="80">
        <v>50</v>
      </c>
      <c r="H20" s="80">
        <v>5</v>
      </c>
      <c r="I20" s="80">
        <v>53000</v>
      </c>
      <c r="J20" s="80">
        <v>57500</v>
      </c>
      <c r="K20" s="80">
        <v>57500</v>
      </c>
      <c r="L20" s="80">
        <v>57500</v>
      </c>
      <c r="M20" s="80">
        <v>57500</v>
      </c>
    </row>
    <row r="21" spans="5:13" x14ac:dyDescent="0.15">
      <c r="E21" s="80">
        <v>54</v>
      </c>
      <c r="F21" s="80" t="s">
        <v>734</v>
      </c>
      <c r="G21" s="80">
        <v>50</v>
      </c>
      <c r="H21" s="80">
        <v>5</v>
      </c>
      <c r="I21" s="80">
        <v>53000</v>
      </c>
      <c r="J21" s="80">
        <v>57500</v>
      </c>
      <c r="K21" s="80">
        <v>57500</v>
      </c>
      <c r="L21" s="80">
        <v>57500</v>
      </c>
      <c r="M21" s="80">
        <v>57500</v>
      </c>
    </row>
    <row r="22" spans="5:13" x14ac:dyDescent="0.15">
      <c r="E22" s="80">
        <v>54</v>
      </c>
      <c r="F22" s="80" t="s">
        <v>786</v>
      </c>
      <c r="G22" s="80">
        <v>60</v>
      </c>
      <c r="H22" s="80">
        <v>5</v>
      </c>
      <c r="I22" s="80">
        <v>53000</v>
      </c>
      <c r="J22" s="80">
        <v>59000</v>
      </c>
      <c r="K22" s="80">
        <v>59000</v>
      </c>
      <c r="L22" s="80">
        <v>59000</v>
      </c>
      <c r="M22" s="80">
        <v>59000</v>
      </c>
    </row>
    <row r="23" spans="5:13" x14ac:dyDescent="0.15">
      <c r="E23" s="80">
        <v>54</v>
      </c>
      <c r="F23" s="80" t="s">
        <v>787</v>
      </c>
      <c r="G23" s="80">
        <v>60</v>
      </c>
      <c r="H23" s="80">
        <v>5</v>
      </c>
      <c r="I23" s="80">
        <v>53000</v>
      </c>
      <c r="J23" s="80">
        <v>59000</v>
      </c>
      <c r="K23" s="80">
        <v>59000</v>
      </c>
      <c r="L23" s="80">
        <v>59000</v>
      </c>
      <c r="M23" s="80">
        <v>59000</v>
      </c>
    </row>
    <row r="24" spans="5:13" x14ac:dyDescent="0.15">
      <c r="E24" s="80">
        <v>54</v>
      </c>
      <c r="F24" s="80" t="s">
        <v>762</v>
      </c>
      <c r="G24" s="80">
        <v>60</v>
      </c>
      <c r="H24" s="80">
        <v>5</v>
      </c>
      <c r="I24" s="80">
        <v>53000</v>
      </c>
      <c r="J24" s="80">
        <v>59000</v>
      </c>
      <c r="K24" s="80">
        <v>59000</v>
      </c>
      <c r="L24" s="80">
        <v>59000</v>
      </c>
      <c r="M24" s="80">
        <v>59000</v>
      </c>
    </row>
    <row r="25" spans="5:13" x14ac:dyDescent="0.15">
      <c r="E25" s="80">
        <v>54</v>
      </c>
      <c r="F25" s="80" t="s">
        <v>763</v>
      </c>
      <c r="G25" s="80">
        <v>60</v>
      </c>
      <c r="H25" s="80">
        <v>5</v>
      </c>
      <c r="I25" s="80">
        <v>53000</v>
      </c>
      <c r="J25" s="80">
        <v>59000</v>
      </c>
      <c r="K25" s="80">
        <v>59000</v>
      </c>
      <c r="L25" s="80">
        <v>59000</v>
      </c>
      <c r="M25" s="80">
        <v>59000</v>
      </c>
    </row>
    <row r="26" spans="5:13" x14ac:dyDescent="0.15">
      <c r="E26" s="80">
        <v>55</v>
      </c>
      <c r="F26" s="80" t="s">
        <v>735</v>
      </c>
      <c r="G26" s="80">
        <v>60</v>
      </c>
      <c r="H26" s="80">
        <v>5</v>
      </c>
      <c r="I26" s="80">
        <v>53000</v>
      </c>
      <c r="J26" s="80">
        <v>59000</v>
      </c>
      <c r="K26" s="80">
        <v>59000</v>
      </c>
      <c r="L26" s="80">
        <v>59000</v>
      </c>
      <c r="M26" s="80">
        <v>59000</v>
      </c>
    </row>
    <row r="27" spans="5:13" x14ac:dyDescent="0.15">
      <c r="E27" s="80">
        <v>55</v>
      </c>
      <c r="F27" s="80" t="s">
        <v>764</v>
      </c>
      <c r="G27" s="80">
        <v>60</v>
      </c>
      <c r="H27" s="80">
        <v>5</v>
      </c>
      <c r="I27" s="80">
        <v>53000</v>
      </c>
      <c r="J27" s="80">
        <v>60000</v>
      </c>
      <c r="K27" s="80">
        <v>60000</v>
      </c>
      <c r="L27" s="80">
        <v>60000</v>
      </c>
      <c r="M27" s="80">
        <v>60000</v>
      </c>
    </row>
    <row r="28" spans="5:13" x14ac:dyDescent="0.15">
      <c r="E28" s="80">
        <v>55</v>
      </c>
      <c r="F28" s="80" t="s">
        <v>788</v>
      </c>
      <c r="G28" s="80">
        <v>60</v>
      </c>
      <c r="H28" s="80">
        <v>5</v>
      </c>
      <c r="I28" s="80">
        <v>53000</v>
      </c>
      <c r="J28" s="80">
        <v>60000</v>
      </c>
      <c r="K28" s="80">
        <v>60000</v>
      </c>
      <c r="L28" s="80">
        <v>60000</v>
      </c>
      <c r="M28" s="80">
        <v>60000</v>
      </c>
    </row>
    <row r="29" spans="5:13" x14ac:dyDescent="0.15">
      <c r="E29" s="80">
        <v>55</v>
      </c>
      <c r="F29" s="80" t="s">
        <v>765</v>
      </c>
      <c r="G29" s="80">
        <v>60</v>
      </c>
      <c r="H29" s="80">
        <v>5</v>
      </c>
      <c r="I29" s="80">
        <v>53000</v>
      </c>
      <c r="J29" s="80">
        <v>60000</v>
      </c>
      <c r="K29" s="80">
        <v>60000</v>
      </c>
      <c r="L29" s="80">
        <v>60000</v>
      </c>
      <c r="M29" s="80">
        <v>60000</v>
      </c>
    </row>
    <row r="30" spans="5:13" x14ac:dyDescent="0.15">
      <c r="E30" s="80">
        <v>55</v>
      </c>
      <c r="F30" s="80" t="s">
        <v>766</v>
      </c>
      <c r="G30" s="80">
        <v>60</v>
      </c>
      <c r="H30" s="80">
        <v>5</v>
      </c>
      <c r="I30" s="80">
        <v>53000</v>
      </c>
      <c r="J30" s="80">
        <v>60000</v>
      </c>
      <c r="K30" s="80">
        <v>60000</v>
      </c>
      <c r="L30" s="80">
        <v>60000</v>
      </c>
      <c r="M30" s="80">
        <v>60000</v>
      </c>
    </row>
    <row r="31" spans="5:13" x14ac:dyDescent="0.15">
      <c r="E31" s="80">
        <v>56</v>
      </c>
      <c r="F31" s="80" t="s">
        <v>737</v>
      </c>
      <c r="G31" s="80">
        <v>60</v>
      </c>
      <c r="H31" s="80">
        <v>5</v>
      </c>
      <c r="I31" s="80">
        <v>53000</v>
      </c>
      <c r="J31" s="80">
        <v>60000</v>
      </c>
      <c r="K31" s="80">
        <v>60000</v>
      </c>
      <c r="L31" s="80">
        <v>60000</v>
      </c>
      <c r="M31" s="80">
        <v>60000</v>
      </c>
    </row>
    <row r="32" spans="5:13" x14ac:dyDescent="0.15">
      <c r="E32" s="80">
        <v>56</v>
      </c>
      <c r="F32" s="80" t="s">
        <v>789</v>
      </c>
      <c r="G32" s="80">
        <v>60</v>
      </c>
      <c r="H32" s="80">
        <v>5</v>
      </c>
      <c r="I32" s="80">
        <v>53000</v>
      </c>
      <c r="J32" s="80">
        <v>62500</v>
      </c>
      <c r="K32" s="80">
        <v>62500</v>
      </c>
      <c r="L32" s="80">
        <v>62500</v>
      </c>
      <c r="M32" s="80">
        <v>62500</v>
      </c>
    </row>
    <row r="33" spans="5:13" x14ac:dyDescent="0.15">
      <c r="E33" s="80">
        <v>56</v>
      </c>
      <c r="F33" s="80" t="s">
        <v>790</v>
      </c>
      <c r="G33" s="80">
        <v>60</v>
      </c>
      <c r="H33" s="80">
        <v>5</v>
      </c>
      <c r="I33" s="80">
        <v>53000</v>
      </c>
      <c r="J33" s="80">
        <v>62500</v>
      </c>
      <c r="K33" s="80">
        <v>62500</v>
      </c>
      <c r="L33" s="80">
        <v>62500</v>
      </c>
      <c r="M33" s="80">
        <v>62500</v>
      </c>
    </row>
    <row r="34" spans="5:13" x14ac:dyDescent="0.15">
      <c r="E34" s="80">
        <v>56</v>
      </c>
      <c r="F34" s="80" t="s">
        <v>738</v>
      </c>
      <c r="G34" s="80">
        <v>60</v>
      </c>
      <c r="H34" s="80">
        <v>5</v>
      </c>
      <c r="I34" s="80">
        <v>53000</v>
      </c>
      <c r="J34" s="80">
        <v>62500</v>
      </c>
      <c r="K34" s="80">
        <v>62500</v>
      </c>
      <c r="L34" s="80">
        <v>62500</v>
      </c>
      <c r="M34" s="80">
        <v>62500</v>
      </c>
    </row>
    <row r="35" spans="5:13" x14ac:dyDescent="0.15">
      <c r="E35" s="80">
        <v>56</v>
      </c>
      <c r="F35" s="80" t="s">
        <v>739</v>
      </c>
      <c r="G35" s="80">
        <v>60</v>
      </c>
      <c r="H35" s="80">
        <v>5</v>
      </c>
      <c r="I35" s="80">
        <v>53000</v>
      </c>
      <c r="J35" s="80">
        <v>62500</v>
      </c>
      <c r="K35" s="80">
        <v>62500</v>
      </c>
      <c r="L35" s="80">
        <v>62500</v>
      </c>
      <c r="M35" s="80">
        <v>62500</v>
      </c>
    </row>
    <row r="36" spans="5:13" x14ac:dyDescent="0.15">
      <c r="E36" s="80">
        <v>57</v>
      </c>
      <c r="F36" s="80" t="s">
        <v>740</v>
      </c>
      <c r="G36" s="80">
        <v>60</v>
      </c>
      <c r="H36" s="80">
        <v>5</v>
      </c>
      <c r="I36" s="80">
        <v>53000</v>
      </c>
      <c r="J36" s="80">
        <v>62500</v>
      </c>
      <c r="K36" s="80">
        <v>62500</v>
      </c>
      <c r="L36" s="80">
        <v>62500</v>
      </c>
      <c r="M36" s="80">
        <v>62500</v>
      </c>
    </row>
    <row r="37" spans="5:13" x14ac:dyDescent="0.15">
      <c r="E37" s="80">
        <v>57</v>
      </c>
      <c r="F37" s="80" t="s">
        <v>791</v>
      </c>
      <c r="G37" s="80">
        <v>60</v>
      </c>
      <c r="H37" s="80">
        <v>5</v>
      </c>
      <c r="I37" s="80">
        <v>53000</v>
      </c>
      <c r="J37" s="80">
        <v>63500</v>
      </c>
      <c r="K37" s="80">
        <v>63500</v>
      </c>
      <c r="L37" s="80">
        <v>63500</v>
      </c>
      <c r="M37" s="80">
        <v>63500</v>
      </c>
    </row>
    <row r="38" spans="5:13" x14ac:dyDescent="0.15">
      <c r="E38" s="80">
        <v>57</v>
      </c>
      <c r="F38" s="80" t="s">
        <v>792</v>
      </c>
      <c r="G38" s="80">
        <v>60</v>
      </c>
      <c r="H38" s="80">
        <v>5</v>
      </c>
      <c r="I38" s="80">
        <v>53000</v>
      </c>
      <c r="J38" s="80">
        <v>63500</v>
      </c>
      <c r="K38" s="80">
        <v>63500</v>
      </c>
      <c r="L38" s="80">
        <v>63500</v>
      </c>
      <c r="M38" s="80">
        <v>63500</v>
      </c>
    </row>
    <row r="39" spans="5:13" x14ac:dyDescent="0.15">
      <c r="E39" s="80">
        <v>57</v>
      </c>
      <c r="F39" s="80" t="s">
        <v>741</v>
      </c>
      <c r="G39" s="80">
        <v>60</v>
      </c>
      <c r="H39" s="80">
        <v>5</v>
      </c>
      <c r="I39" s="80">
        <v>53000</v>
      </c>
      <c r="J39" s="80">
        <v>63500</v>
      </c>
      <c r="K39" s="80">
        <v>63500</v>
      </c>
      <c r="L39" s="80">
        <v>63500</v>
      </c>
      <c r="M39" s="80">
        <v>63500</v>
      </c>
    </row>
    <row r="40" spans="5:13" x14ac:dyDescent="0.15">
      <c r="E40" s="80">
        <v>57</v>
      </c>
      <c r="F40" s="80" t="s">
        <v>742</v>
      </c>
      <c r="G40" s="80">
        <v>60</v>
      </c>
      <c r="H40" s="80">
        <v>5</v>
      </c>
      <c r="I40" s="80">
        <v>53000</v>
      </c>
      <c r="J40" s="80">
        <v>63500</v>
      </c>
      <c r="K40" s="80">
        <v>63500</v>
      </c>
      <c r="L40" s="80">
        <v>63500</v>
      </c>
      <c r="M40" s="80">
        <v>63500</v>
      </c>
    </row>
    <row r="41" spans="5:13" x14ac:dyDescent="0.15">
      <c r="E41" s="80">
        <v>58</v>
      </c>
      <c r="F41" s="80" t="s">
        <v>743</v>
      </c>
      <c r="G41" s="80">
        <v>60</v>
      </c>
      <c r="H41" s="80">
        <v>5</v>
      </c>
      <c r="I41" s="80">
        <v>53000</v>
      </c>
      <c r="J41" s="80">
        <v>63500</v>
      </c>
      <c r="K41" s="80">
        <v>63500</v>
      </c>
      <c r="L41" s="80">
        <v>63500</v>
      </c>
      <c r="M41" s="80">
        <v>63500</v>
      </c>
    </row>
    <row r="42" spans="5:13" x14ac:dyDescent="0.15">
      <c r="E42" s="80">
        <v>58</v>
      </c>
      <c r="F42" s="80" t="s">
        <v>793</v>
      </c>
      <c r="G42" s="80">
        <v>60</v>
      </c>
      <c r="H42" s="80">
        <v>5</v>
      </c>
      <c r="I42" s="80">
        <v>57500</v>
      </c>
      <c r="J42" s="80">
        <v>66000</v>
      </c>
      <c r="K42" s="80">
        <v>66000</v>
      </c>
      <c r="L42" s="80">
        <v>66000</v>
      </c>
      <c r="M42" s="80">
        <v>66000</v>
      </c>
    </row>
    <row r="43" spans="5:13" x14ac:dyDescent="0.15">
      <c r="E43" s="80">
        <v>58</v>
      </c>
      <c r="F43" s="80" t="s">
        <v>758</v>
      </c>
      <c r="G43" s="80">
        <v>60</v>
      </c>
      <c r="H43" s="80">
        <v>5</v>
      </c>
      <c r="I43" s="80">
        <v>57500</v>
      </c>
      <c r="J43" s="80">
        <v>66000</v>
      </c>
      <c r="K43" s="80">
        <v>66000</v>
      </c>
      <c r="L43" s="80">
        <v>66000</v>
      </c>
      <c r="M43" s="80">
        <v>66000</v>
      </c>
    </row>
    <row r="44" spans="5:13" x14ac:dyDescent="0.15">
      <c r="E44" s="80">
        <v>58</v>
      </c>
      <c r="F44" s="80" t="s">
        <v>744</v>
      </c>
      <c r="G44" s="80">
        <v>60</v>
      </c>
      <c r="H44" s="80">
        <v>5</v>
      </c>
      <c r="I44" s="80">
        <v>57500</v>
      </c>
      <c r="J44" s="80">
        <v>66000</v>
      </c>
      <c r="K44" s="80">
        <v>66000</v>
      </c>
      <c r="L44" s="80">
        <v>66000</v>
      </c>
      <c r="M44" s="80">
        <v>66000</v>
      </c>
    </row>
    <row r="45" spans="5:13" x14ac:dyDescent="0.15">
      <c r="E45" s="80">
        <v>58</v>
      </c>
      <c r="F45" s="80" t="s">
        <v>745</v>
      </c>
      <c r="G45" s="80">
        <v>60</v>
      </c>
      <c r="H45" s="80">
        <v>5</v>
      </c>
      <c r="I45" s="80">
        <v>57500</v>
      </c>
      <c r="J45" s="80">
        <v>66000</v>
      </c>
      <c r="K45" s="80">
        <v>66000</v>
      </c>
      <c r="L45" s="80">
        <v>66000</v>
      </c>
      <c r="M45" s="80">
        <v>66000</v>
      </c>
    </row>
    <row r="46" spans="5:13" x14ac:dyDescent="0.15">
      <c r="E46" s="80">
        <v>59</v>
      </c>
      <c r="F46" s="80" t="s">
        <v>746</v>
      </c>
      <c r="G46" s="80">
        <v>60</v>
      </c>
      <c r="H46" s="80">
        <v>5</v>
      </c>
      <c r="I46" s="80">
        <v>57500</v>
      </c>
      <c r="J46" s="80">
        <v>66000</v>
      </c>
      <c r="K46" s="80">
        <v>66000</v>
      </c>
      <c r="L46" s="80">
        <v>66000</v>
      </c>
      <c r="M46" s="80">
        <v>66000</v>
      </c>
    </row>
    <row r="47" spans="5:13" x14ac:dyDescent="0.15">
      <c r="E47" s="80">
        <v>59</v>
      </c>
      <c r="F47" s="80" t="s">
        <v>794</v>
      </c>
      <c r="G47" s="80">
        <v>60</v>
      </c>
      <c r="H47" s="80">
        <v>5</v>
      </c>
      <c r="I47" s="80">
        <v>57500</v>
      </c>
      <c r="J47" s="80">
        <v>67000</v>
      </c>
      <c r="K47" s="80">
        <v>67000</v>
      </c>
      <c r="L47" s="80">
        <v>67000</v>
      </c>
      <c r="M47" s="80">
        <v>67000</v>
      </c>
    </row>
    <row r="48" spans="5:13" x14ac:dyDescent="0.15">
      <c r="E48" s="80">
        <v>59</v>
      </c>
      <c r="F48" s="80" t="s">
        <v>761</v>
      </c>
      <c r="G48" s="80">
        <v>60</v>
      </c>
      <c r="H48" s="80">
        <v>5</v>
      </c>
      <c r="I48" s="80">
        <v>57500</v>
      </c>
      <c r="J48" s="80">
        <v>67000</v>
      </c>
      <c r="K48" s="80">
        <v>67000</v>
      </c>
      <c r="L48" s="80">
        <v>67000</v>
      </c>
      <c r="M48" s="80">
        <v>67000</v>
      </c>
    </row>
    <row r="49" spans="5:13" x14ac:dyDescent="0.15">
      <c r="E49" s="80">
        <v>59</v>
      </c>
      <c r="F49" s="80" t="s">
        <v>747</v>
      </c>
      <c r="G49" s="80">
        <v>60</v>
      </c>
      <c r="H49" s="80">
        <v>5</v>
      </c>
      <c r="I49" s="80">
        <v>57500</v>
      </c>
      <c r="J49" s="80">
        <v>67000</v>
      </c>
      <c r="K49" s="80">
        <v>67000</v>
      </c>
      <c r="L49" s="80">
        <v>67000</v>
      </c>
      <c r="M49" s="80">
        <v>67000</v>
      </c>
    </row>
    <row r="50" spans="5:13" x14ac:dyDescent="0.15">
      <c r="E50" s="80">
        <v>59</v>
      </c>
      <c r="F50" s="80" t="s">
        <v>748</v>
      </c>
      <c r="G50" s="80">
        <v>60</v>
      </c>
      <c r="H50" s="80">
        <v>5</v>
      </c>
      <c r="I50" s="80">
        <v>57500</v>
      </c>
      <c r="J50" s="80">
        <v>67000</v>
      </c>
      <c r="K50" s="80">
        <v>67000</v>
      </c>
      <c r="L50" s="80">
        <v>67000</v>
      </c>
      <c r="M50" s="80">
        <v>67000</v>
      </c>
    </row>
    <row r="51" spans="5:13" x14ac:dyDescent="0.15">
      <c r="E51" s="80">
        <v>60</v>
      </c>
      <c r="F51" s="80" t="s">
        <v>749</v>
      </c>
      <c r="G51" s="80">
        <v>60</v>
      </c>
      <c r="H51" s="80">
        <v>5</v>
      </c>
      <c r="I51" s="80">
        <v>57500</v>
      </c>
      <c r="J51" s="80">
        <v>67000</v>
      </c>
      <c r="K51" s="80">
        <v>67000</v>
      </c>
      <c r="L51" s="80">
        <v>67000</v>
      </c>
      <c r="M51" s="80">
        <v>67000</v>
      </c>
    </row>
    <row r="52" spans="5:13" x14ac:dyDescent="0.15">
      <c r="E52" s="80">
        <v>60</v>
      </c>
      <c r="F52" s="80" t="s">
        <v>795</v>
      </c>
      <c r="G52" s="80">
        <v>60</v>
      </c>
      <c r="H52" s="80">
        <v>5</v>
      </c>
      <c r="I52" s="80">
        <v>57500</v>
      </c>
      <c r="J52" s="80">
        <v>69500</v>
      </c>
      <c r="K52" s="80">
        <v>69500</v>
      </c>
      <c r="L52" s="80">
        <v>69500</v>
      </c>
      <c r="M52" s="80">
        <v>69500</v>
      </c>
    </row>
    <row r="53" spans="5:13" x14ac:dyDescent="0.15">
      <c r="E53" s="80">
        <v>60</v>
      </c>
      <c r="F53" s="80" t="s">
        <v>796</v>
      </c>
      <c r="G53" s="80">
        <v>60</v>
      </c>
      <c r="H53" s="80">
        <v>5</v>
      </c>
      <c r="I53" s="80">
        <v>57500</v>
      </c>
      <c r="J53" s="80">
        <v>69500</v>
      </c>
      <c r="K53" s="80">
        <v>69500</v>
      </c>
      <c r="L53" s="80">
        <v>69500</v>
      </c>
      <c r="M53" s="80">
        <v>69500</v>
      </c>
    </row>
    <row r="54" spans="5:13" x14ac:dyDescent="0.15">
      <c r="E54" s="80">
        <v>60</v>
      </c>
      <c r="F54" s="80" t="s">
        <v>750</v>
      </c>
      <c r="G54" s="80">
        <v>60</v>
      </c>
      <c r="H54" s="80">
        <v>5</v>
      </c>
      <c r="I54" s="80">
        <v>57500</v>
      </c>
      <c r="J54" s="80">
        <v>69500</v>
      </c>
      <c r="K54" s="80">
        <v>69500</v>
      </c>
      <c r="L54" s="80">
        <v>69500</v>
      </c>
      <c r="M54" s="80">
        <v>69500</v>
      </c>
    </row>
    <row r="55" spans="5:13" x14ac:dyDescent="0.15">
      <c r="E55" s="80">
        <v>60</v>
      </c>
      <c r="F55" s="80" t="s">
        <v>751</v>
      </c>
      <c r="G55" s="80">
        <v>60</v>
      </c>
      <c r="H55" s="80">
        <v>5</v>
      </c>
      <c r="I55" s="80">
        <v>57500</v>
      </c>
      <c r="J55" s="80">
        <v>69500</v>
      </c>
      <c r="K55" s="80">
        <v>69500</v>
      </c>
      <c r="L55" s="80">
        <v>69500</v>
      </c>
      <c r="M55" s="80">
        <v>69500</v>
      </c>
    </row>
    <row r="56" spans="5:13" x14ac:dyDescent="0.15">
      <c r="G56" s="80" t="s">
        <v>16</v>
      </c>
      <c r="H56" s="80" t="s">
        <v>16</v>
      </c>
      <c r="I56" s="80" t="s">
        <v>16</v>
      </c>
      <c r="J56" s="80" t="s">
        <v>16</v>
      </c>
      <c r="K56" s="80" t="s">
        <v>16</v>
      </c>
      <c r="L56" s="80" t="s">
        <v>16</v>
      </c>
      <c r="M56" s="80" t="s">
        <v>16</v>
      </c>
    </row>
    <row r="57" spans="5:13" x14ac:dyDescent="0.15">
      <c r="G57" s="80" t="s">
        <v>16</v>
      </c>
      <c r="H57" s="80" t="s">
        <v>16</v>
      </c>
      <c r="I57" s="80" t="s">
        <v>16</v>
      </c>
      <c r="J57" s="80" t="s">
        <v>16</v>
      </c>
      <c r="K57" s="80" t="s">
        <v>16</v>
      </c>
      <c r="L57" s="80" t="s">
        <v>16</v>
      </c>
      <c r="M57" s="80" t="s">
        <v>16</v>
      </c>
    </row>
    <row r="58" spans="5:13" x14ac:dyDescent="0.15">
      <c r="G58" s="80" t="s">
        <v>16</v>
      </c>
      <c r="H58" s="80" t="s">
        <v>16</v>
      </c>
      <c r="I58" s="80" t="s">
        <v>16</v>
      </c>
      <c r="J58" s="80" t="s">
        <v>16</v>
      </c>
      <c r="K58" s="80" t="s">
        <v>16</v>
      </c>
      <c r="L58" s="80" t="s">
        <v>16</v>
      </c>
      <c r="M58" s="80" t="s">
        <v>16</v>
      </c>
    </row>
    <row r="59" spans="5:13" x14ac:dyDescent="0.15">
      <c r="G59" s="80" t="s">
        <v>16</v>
      </c>
      <c r="H59" s="80" t="s">
        <v>16</v>
      </c>
      <c r="I59" s="80" t="s">
        <v>16</v>
      </c>
      <c r="J59" s="80" t="s">
        <v>16</v>
      </c>
      <c r="K59" s="80" t="s">
        <v>16</v>
      </c>
      <c r="L59" s="80" t="s">
        <v>16</v>
      </c>
      <c r="M59" s="80" t="s">
        <v>16</v>
      </c>
    </row>
    <row r="60" spans="5:13" x14ac:dyDescent="0.15">
      <c r="G60" s="80" t="s">
        <v>16</v>
      </c>
      <c r="H60" s="80" t="s">
        <v>16</v>
      </c>
      <c r="I60" s="80" t="s">
        <v>16</v>
      </c>
      <c r="J60" s="80" t="s">
        <v>16</v>
      </c>
      <c r="K60" s="80" t="s">
        <v>16</v>
      </c>
      <c r="L60" s="80" t="s">
        <v>16</v>
      </c>
      <c r="M60" s="80" t="s">
        <v>16</v>
      </c>
    </row>
    <row r="61" spans="5:13" x14ac:dyDescent="0.15">
      <c r="G61" s="80" t="s">
        <v>16</v>
      </c>
      <c r="H61" s="80" t="s">
        <v>16</v>
      </c>
      <c r="I61" s="80" t="s">
        <v>16</v>
      </c>
      <c r="J61" s="80" t="s">
        <v>16</v>
      </c>
      <c r="K61" s="80" t="s">
        <v>16</v>
      </c>
      <c r="L61" s="80" t="s">
        <v>16</v>
      </c>
      <c r="M61" s="80" t="s">
        <v>16</v>
      </c>
    </row>
    <row r="62" spans="5:13" x14ac:dyDescent="0.15">
      <c r="G62" s="80" t="s">
        <v>16</v>
      </c>
      <c r="H62" s="80" t="s">
        <v>16</v>
      </c>
      <c r="I62" s="80" t="s">
        <v>16</v>
      </c>
      <c r="J62" s="80" t="s">
        <v>16</v>
      </c>
      <c r="K62" s="80" t="s">
        <v>16</v>
      </c>
      <c r="L62" s="80" t="s">
        <v>16</v>
      </c>
      <c r="M62" s="80" t="s">
        <v>16</v>
      </c>
    </row>
    <row r="63" spans="5:13" x14ac:dyDescent="0.15">
      <c r="G63" s="80" t="s">
        <v>16</v>
      </c>
      <c r="H63" s="80" t="s">
        <v>16</v>
      </c>
      <c r="I63" s="80" t="s">
        <v>16</v>
      </c>
      <c r="J63" s="80" t="s">
        <v>16</v>
      </c>
      <c r="K63" s="80" t="s">
        <v>16</v>
      </c>
      <c r="L63" s="80" t="s">
        <v>16</v>
      </c>
      <c r="M63" s="80" t="s">
        <v>16</v>
      </c>
    </row>
    <row r="64" spans="5:13" x14ac:dyDescent="0.15">
      <c r="G64" s="80" t="s">
        <v>16</v>
      </c>
      <c r="H64" s="80" t="s">
        <v>16</v>
      </c>
      <c r="I64" s="80" t="s">
        <v>16</v>
      </c>
      <c r="J64" s="80" t="s">
        <v>16</v>
      </c>
      <c r="K64" s="80" t="s">
        <v>16</v>
      </c>
      <c r="L64" s="80" t="s">
        <v>16</v>
      </c>
      <c r="M64" s="80" t="s">
        <v>16</v>
      </c>
    </row>
    <row r="65" spans="7:13" x14ac:dyDescent="0.15">
      <c r="G65" s="80" t="s">
        <v>16</v>
      </c>
      <c r="H65" s="80" t="s">
        <v>16</v>
      </c>
      <c r="I65" s="80" t="s">
        <v>16</v>
      </c>
      <c r="J65" s="80" t="s">
        <v>16</v>
      </c>
      <c r="K65" s="80" t="s">
        <v>16</v>
      </c>
      <c r="L65" s="80" t="s">
        <v>16</v>
      </c>
      <c r="M65" s="80" t="s">
        <v>16</v>
      </c>
    </row>
    <row r="66" spans="7:13" x14ac:dyDescent="0.15">
      <c r="G66" s="80" t="s">
        <v>16</v>
      </c>
      <c r="H66" s="80" t="s">
        <v>16</v>
      </c>
      <c r="I66" s="80" t="s">
        <v>16</v>
      </c>
      <c r="J66" s="80" t="s">
        <v>16</v>
      </c>
      <c r="K66" s="80" t="s">
        <v>16</v>
      </c>
      <c r="L66" s="80" t="s">
        <v>16</v>
      </c>
      <c r="M66" s="80" t="s">
        <v>16</v>
      </c>
    </row>
    <row r="67" spans="7:13" x14ac:dyDescent="0.15">
      <c r="G67" s="80" t="s">
        <v>16</v>
      </c>
      <c r="H67" s="80" t="s">
        <v>16</v>
      </c>
      <c r="I67" s="80" t="s">
        <v>16</v>
      </c>
      <c r="J67" s="80" t="s">
        <v>16</v>
      </c>
      <c r="K67" s="80" t="s">
        <v>16</v>
      </c>
      <c r="L67" s="80" t="s">
        <v>16</v>
      </c>
      <c r="M67" s="80" t="s">
        <v>16</v>
      </c>
    </row>
    <row r="68" spans="7:13" x14ac:dyDescent="0.15">
      <c r="G68" s="80" t="s">
        <v>16</v>
      </c>
      <c r="H68" s="80" t="s">
        <v>16</v>
      </c>
      <c r="I68" s="80" t="s">
        <v>16</v>
      </c>
      <c r="J68" s="80" t="s">
        <v>16</v>
      </c>
      <c r="K68" s="80" t="s">
        <v>16</v>
      </c>
      <c r="L68" s="80" t="s">
        <v>16</v>
      </c>
      <c r="M68" s="80" t="s">
        <v>16</v>
      </c>
    </row>
    <row r="69" spans="7:13" x14ac:dyDescent="0.15">
      <c r="G69" s="80" t="s">
        <v>16</v>
      </c>
      <c r="H69" s="80" t="s">
        <v>16</v>
      </c>
      <c r="I69" s="80" t="s">
        <v>16</v>
      </c>
      <c r="J69" s="80" t="s">
        <v>16</v>
      </c>
      <c r="K69" s="80" t="s">
        <v>16</v>
      </c>
      <c r="L69" s="80" t="s">
        <v>16</v>
      </c>
      <c r="M69" s="80" t="s">
        <v>16</v>
      </c>
    </row>
    <row r="70" spans="7:13" x14ac:dyDescent="0.15">
      <c r="G70" s="80" t="s">
        <v>16</v>
      </c>
      <c r="H70" s="80" t="s">
        <v>16</v>
      </c>
      <c r="I70" s="80" t="s">
        <v>16</v>
      </c>
      <c r="J70" s="80" t="s">
        <v>16</v>
      </c>
      <c r="K70" s="80" t="s">
        <v>16</v>
      </c>
      <c r="L70" s="80" t="s">
        <v>16</v>
      </c>
      <c r="M70" s="80" t="s">
        <v>16</v>
      </c>
    </row>
    <row r="71" spans="7:13" x14ac:dyDescent="0.15">
      <c r="G71" s="80" t="s">
        <v>16</v>
      </c>
      <c r="H71" s="80" t="s">
        <v>16</v>
      </c>
      <c r="I71" s="80" t="s">
        <v>16</v>
      </c>
      <c r="J71" s="80" t="s">
        <v>16</v>
      </c>
      <c r="K71" s="80" t="s">
        <v>16</v>
      </c>
      <c r="L71" s="80" t="s">
        <v>16</v>
      </c>
      <c r="M71" s="80" t="s">
        <v>16</v>
      </c>
    </row>
    <row r="72" spans="7:13" x14ac:dyDescent="0.15">
      <c r="G72" s="80" t="s">
        <v>16</v>
      </c>
      <c r="H72" s="80" t="s">
        <v>16</v>
      </c>
      <c r="I72" s="80" t="s">
        <v>16</v>
      </c>
      <c r="J72" s="80" t="s">
        <v>16</v>
      </c>
      <c r="K72" s="80" t="s">
        <v>16</v>
      </c>
      <c r="L72" s="80" t="s">
        <v>16</v>
      </c>
      <c r="M72" s="80" t="s">
        <v>16</v>
      </c>
    </row>
    <row r="73" spans="7:13" x14ac:dyDescent="0.15">
      <c r="G73" s="80" t="s">
        <v>16</v>
      </c>
      <c r="H73" s="80" t="s">
        <v>16</v>
      </c>
      <c r="I73" s="80" t="s">
        <v>16</v>
      </c>
      <c r="J73" s="80" t="s">
        <v>16</v>
      </c>
      <c r="K73" s="80" t="s">
        <v>16</v>
      </c>
      <c r="L73" s="80" t="s">
        <v>16</v>
      </c>
      <c r="M73" s="80" t="s">
        <v>16</v>
      </c>
    </row>
    <row r="74" spans="7:13" x14ac:dyDescent="0.15">
      <c r="G74" s="80" t="s">
        <v>16</v>
      </c>
      <c r="H74" s="80" t="s">
        <v>16</v>
      </c>
      <c r="I74" s="80" t="s">
        <v>16</v>
      </c>
      <c r="J74" s="80" t="s">
        <v>16</v>
      </c>
      <c r="K74" s="80" t="s">
        <v>16</v>
      </c>
      <c r="L74" s="80" t="s">
        <v>16</v>
      </c>
      <c r="M74" s="80" t="s">
        <v>16</v>
      </c>
    </row>
    <row r="75" spans="7:13" x14ac:dyDescent="0.15">
      <c r="G75" s="80" t="s">
        <v>16</v>
      </c>
      <c r="H75" s="80" t="s">
        <v>16</v>
      </c>
      <c r="I75" s="80" t="s">
        <v>16</v>
      </c>
      <c r="J75" s="80" t="s">
        <v>16</v>
      </c>
      <c r="K75" s="80" t="s">
        <v>16</v>
      </c>
      <c r="L75" s="80" t="s">
        <v>16</v>
      </c>
      <c r="M75" s="80" t="s">
        <v>16</v>
      </c>
    </row>
    <row r="76" spans="7:13" x14ac:dyDescent="0.15">
      <c r="G76" s="80" t="s">
        <v>16</v>
      </c>
      <c r="H76" s="80" t="s">
        <v>16</v>
      </c>
      <c r="I76" s="80" t="s">
        <v>16</v>
      </c>
      <c r="J76" s="80" t="s">
        <v>16</v>
      </c>
      <c r="K76" s="80" t="s">
        <v>16</v>
      </c>
      <c r="L76" s="80" t="s">
        <v>16</v>
      </c>
      <c r="M76" s="80" t="s">
        <v>16</v>
      </c>
    </row>
    <row r="77" spans="7:13" x14ac:dyDescent="0.15">
      <c r="G77" s="80" t="s">
        <v>16</v>
      </c>
      <c r="H77" s="80" t="s">
        <v>16</v>
      </c>
      <c r="I77" s="80" t="s">
        <v>16</v>
      </c>
      <c r="J77" s="80" t="s">
        <v>16</v>
      </c>
      <c r="K77" s="80" t="s">
        <v>16</v>
      </c>
      <c r="L77" s="80" t="s">
        <v>16</v>
      </c>
      <c r="M77" s="80" t="s">
        <v>16</v>
      </c>
    </row>
    <row r="78" spans="7:13" x14ac:dyDescent="0.15">
      <c r="G78" s="80" t="s">
        <v>16</v>
      </c>
      <c r="H78" s="80" t="s">
        <v>16</v>
      </c>
      <c r="I78" s="80" t="s">
        <v>16</v>
      </c>
      <c r="J78" s="80" t="s">
        <v>16</v>
      </c>
      <c r="K78" s="80" t="s">
        <v>16</v>
      </c>
      <c r="L78" s="80" t="s">
        <v>16</v>
      </c>
      <c r="M78" s="80" t="s">
        <v>16</v>
      </c>
    </row>
    <row r="79" spans="7:13" x14ac:dyDescent="0.15">
      <c r="G79" s="80" t="s">
        <v>16</v>
      </c>
      <c r="H79" s="80" t="s">
        <v>16</v>
      </c>
      <c r="I79" s="80" t="s">
        <v>16</v>
      </c>
      <c r="J79" s="80" t="s">
        <v>16</v>
      </c>
      <c r="K79" s="80" t="s">
        <v>16</v>
      </c>
      <c r="L79" s="80" t="s">
        <v>16</v>
      </c>
      <c r="M79" s="80" t="s">
        <v>16</v>
      </c>
    </row>
    <row r="80" spans="7:13" x14ac:dyDescent="0.15">
      <c r="G80" s="80" t="s">
        <v>16</v>
      </c>
      <c r="H80" s="80" t="s">
        <v>16</v>
      </c>
      <c r="I80" s="80" t="s">
        <v>16</v>
      </c>
      <c r="J80" s="80" t="s">
        <v>16</v>
      </c>
      <c r="K80" s="80" t="s">
        <v>16</v>
      </c>
      <c r="L80" s="80" t="s">
        <v>16</v>
      </c>
      <c r="M80" s="80" t="s">
        <v>16</v>
      </c>
    </row>
    <row r="81" spans="7:13" x14ac:dyDescent="0.15">
      <c r="G81" s="80" t="s">
        <v>16</v>
      </c>
      <c r="H81" s="80" t="s">
        <v>16</v>
      </c>
      <c r="I81" s="80" t="s">
        <v>16</v>
      </c>
      <c r="J81" s="80" t="s">
        <v>16</v>
      </c>
      <c r="K81" s="80" t="s">
        <v>16</v>
      </c>
      <c r="L81" s="80" t="s">
        <v>16</v>
      </c>
      <c r="M81" s="80" t="s">
        <v>16</v>
      </c>
    </row>
    <row r="82" spans="7:13" x14ac:dyDescent="0.15">
      <c r="G82" s="80" t="s">
        <v>16</v>
      </c>
      <c r="H82" s="80" t="s">
        <v>16</v>
      </c>
      <c r="I82" s="80" t="s">
        <v>16</v>
      </c>
      <c r="J82" s="80" t="s">
        <v>16</v>
      </c>
      <c r="K82" s="80" t="s">
        <v>16</v>
      </c>
      <c r="L82" s="80" t="s">
        <v>16</v>
      </c>
      <c r="M82" s="80" t="s">
        <v>16</v>
      </c>
    </row>
    <row r="83" spans="7:13" x14ac:dyDescent="0.15">
      <c r="G83" s="80" t="s">
        <v>16</v>
      </c>
      <c r="H83" s="80" t="s">
        <v>16</v>
      </c>
      <c r="I83" s="80" t="s">
        <v>16</v>
      </c>
      <c r="J83" s="80" t="s">
        <v>16</v>
      </c>
      <c r="K83" s="80" t="s">
        <v>16</v>
      </c>
      <c r="L83" s="80" t="s">
        <v>16</v>
      </c>
      <c r="M83" s="80" t="s">
        <v>16</v>
      </c>
    </row>
    <row r="84" spans="7:13" x14ac:dyDescent="0.15">
      <c r="G84" s="80" t="s">
        <v>16</v>
      </c>
      <c r="H84" s="80" t="s">
        <v>16</v>
      </c>
      <c r="I84" s="80" t="s">
        <v>16</v>
      </c>
      <c r="J84" s="80" t="s">
        <v>16</v>
      </c>
      <c r="K84" s="80" t="s">
        <v>16</v>
      </c>
      <c r="L84" s="80" t="s">
        <v>16</v>
      </c>
      <c r="M84" s="80" t="s">
        <v>16</v>
      </c>
    </row>
    <row r="85" spans="7:13" x14ac:dyDescent="0.15">
      <c r="G85" s="80" t="s">
        <v>16</v>
      </c>
      <c r="H85" s="80" t="s">
        <v>16</v>
      </c>
      <c r="I85" s="80" t="s">
        <v>16</v>
      </c>
      <c r="J85" s="80" t="s">
        <v>16</v>
      </c>
      <c r="K85" s="80" t="s">
        <v>16</v>
      </c>
      <c r="L85" s="80" t="s">
        <v>16</v>
      </c>
      <c r="M85" s="80" t="s">
        <v>16</v>
      </c>
    </row>
    <row r="86" spans="7:13" x14ac:dyDescent="0.15">
      <c r="G86" s="80" t="s">
        <v>16</v>
      </c>
      <c r="H86" s="80" t="s">
        <v>16</v>
      </c>
      <c r="I86" s="80" t="s">
        <v>16</v>
      </c>
      <c r="J86" s="80" t="s">
        <v>16</v>
      </c>
      <c r="K86" s="80" t="s">
        <v>16</v>
      </c>
      <c r="L86" s="80" t="s">
        <v>16</v>
      </c>
      <c r="M86" s="80" t="s">
        <v>16</v>
      </c>
    </row>
    <row r="87" spans="7:13" x14ac:dyDescent="0.15">
      <c r="G87" s="80" t="s">
        <v>16</v>
      </c>
      <c r="H87" s="80" t="s">
        <v>16</v>
      </c>
      <c r="I87" s="80" t="s">
        <v>16</v>
      </c>
      <c r="J87" s="80" t="s">
        <v>16</v>
      </c>
      <c r="K87" s="80" t="s">
        <v>16</v>
      </c>
      <c r="L87" s="80" t="s">
        <v>16</v>
      </c>
      <c r="M87" s="80" t="s">
        <v>16</v>
      </c>
    </row>
    <row r="88" spans="7:13" x14ac:dyDescent="0.15">
      <c r="G88" s="80" t="s">
        <v>16</v>
      </c>
      <c r="H88" s="80" t="s">
        <v>16</v>
      </c>
      <c r="I88" s="80" t="s">
        <v>16</v>
      </c>
      <c r="J88" s="80" t="s">
        <v>16</v>
      </c>
      <c r="K88" s="80" t="s">
        <v>16</v>
      </c>
      <c r="L88" s="80" t="s">
        <v>16</v>
      </c>
      <c r="M88" s="80" t="s">
        <v>16</v>
      </c>
    </row>
    <row r="89" spans="7:13" x14ac:dyDescent="0.15">
      <c r="G89" s="80" t="s">
        <v>16</v>
      </c>
      <c r="H89" s="80" t="s">
        <v>16</v>
      </c>
      <c r="I89" s="80" t="s">
        <v>16</v>
      </c>
      <c r="J89" s="80" t="s">
        <v>16</v>
      </c>
      <c r="K89" s="80" t="s">
        <v>16</v>
      </c>
      <c r="L89" s="80" t="s">
        <v>16</v>
      </c>
      <c r="M89" s="80" t="s">
        <v>16</v>
      </c>
    </row>
    <row r="90" spans="7:13" x14ac:dyDescent="0.15">
      <c r="G90" s="80" t="s">
        <v>16</v>
      </c>
      <c r="H90" s="80" t="s">
        <v>16</v>
      </c>
      <c r="I90" s="80" t="s">
        <v>16</v>
      </c>
      <c r="J90" s="80" t="s">
        <v>16</v>
      </c>
      <c r="K90" s="80" t="s">
        <v>16</v>
      </c>
      <c r="L90" s="80" t="s">
        <v>16</v>
      </c>
      <c r="M90" s="80" t="s">
        <v>16</v>
      </c>
    </row>
    <row r="91" spans="7:13" x14ac:dyDescent="0.15">
      <c r="G91" s="80" t="s">
        <v>16</v>
      </c>
      <c r="H91" s="80" t="s">
        <v>16</v>
      </c>
      <c r="I91" s="80" t="s">
        <v>16</v>
      </c>
      <c r="J91" s="80" t="s">
        <v>16</v>
      </c>
      <c r="K91" s="80" t="s">
        <v>16</v>
      </c>
      <c r="L91" s="80" t="s">
        <v>16</v>
      </c>
      <c r="M91" s="80" t="s">
        <v>16</v>
      </c>
    </row>
    <row r="92" spans="7:13" x14ac:dyDescent="0.15">
      <c r="G92" s="80" t="s">
        <v>16</v>
      </c>
      <c r="H92" s="80" t="s">
        <v>16</v>
      </c>
      <c r="I92" s="80" t="s">
        <v>16</v>
      </c>
      <c r="J92" s="80" t="s">
        <v>16</v>
      </c>
      <c r="K92" s="80" t="s">
        <v>16</v>
      </c>
      <c r="L92" s="80" t="s">
        <v>16</v>
      </c>
      <c r="M92" s="80" t="s">
        <v>16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42D1-011C-4BEB-A372-5261050B9A13}">
  <sheetPr codeName="Sheet5"/>
  <dimension ref="C3:BZ53"/>
  <sheetViews>
    <sheetView workbookViewId="0">
      <selection activeCell="I22" sqref="I22"/>
    </sheetView>
  </sheetViews>
  <sheetFormatPr defaultColWidth="6.625" defaultRowHeight="11.25" x14ac:dyDescent="0.15"/>
  <cols>
    <col min="1" max="2" width="6.625" style="20"/>
    <col min="3" max="4" width="10.5" style="20" bestFit="1" customWidth="1"/>
    <col min="5" max="5" width="12.25" style="20" bestFit="1" customWidth="1"/>
    <col min="6" max="6" width="13.875" style="20" bestFit="1" customWidth="1"/>
    <col min="7" max="8" width="10.5" style="20" bestFit="1" customWidth="1"/>
    <col min="9" max="9" width="18.875" style="20" bestFit="1" customWidth="1"/>
    <col min="10" max="10" width="10.5" style="20" bestFit="1" customWidth="1"/>
    <col min="11" max="11" width="16.375" style="20" bestFit="1" customWidth="1"/>
    <col min="12" max="14" width="9.75" style="20" bestFit="1" customWidth="1"/>
    <col min="15" max="15" width="6" style="20" bestFit="1" customWidth="1"/>
    <col min="16" max="16" width="4.5" style="20" bestFit="1" customWidth="1"/>
    <col min="17" max="17" width="6" style="20" bestFit="1" customWidth="1"/>
    <col min="18" max="18" width="9" style="20" bestFit="1" customWidth="1"/>
    <col min="19" max="23" width="9.75" style="20" bestFit="1" customWidth="1"/>
    <col min="24" max="24" width="7.5" style="20" bestFit="1" customWidth="1"/>
    <col min="25" max="26" width="6.75" style="20" bestFit="1" customWidth="1"/>
    <col min="27" max="27" width="4.5" style="20" bestFit="1" customWidth="1"/>
    <col min="28" max="28" width="6.75" style="20" bestFit="1" customWidth="1"/>
    <col min="29" max="32" width="7.5" style="20" bestFit="1" customWidth="1"/>
    <col min="33" max="33" width="5.25" style="20" bestFit="1" customWidth="1"/>
    <col min="34" max="34" width="7.5" style="20" bestFit="1" customWidth="1"/>
    <col min="35" max="36" width="6" style="20" bestFit="1" customWidth="1"/>
    <col min="37" max="37" width="7.5" style="20" bestFit="1" customWidth="1"/>
    <col min="38" max="38" width="4.5" style="20" bestFit="1" customWidth="1"/>
    <col min="39" max="40" width="6.75" style="20" bestFit="1" customWidth="1"/>
    <col min="41" max="43" width="4.5" style="20" bestFit="1" customWidth="1"/>
    <col min="44" max="47" width="7.5" style="20" bestFit="1" customWidth="1"/>
    <col min="48" max="48" width="4.5" style="20" bestFit="1" customWidth="1"/>
    <col min="49" max="53" width="7.5" style="20" bestFit="1" customWidth="1"/>
    <col min="54" max="58" width="6" style="20" bestFit="1" customWidth="1"/>
    <col min="59" max="59" width="4.5" style="20" bestFit="1" customWidth="1"/>
    <col min="60" max="60" width="6" style="20" bestFit="1" customWidth="1"/>
    <col min="61" max="65" width="7.5" style="20" bestFit="1" customWidth="1"/>
    <col min="66" max="66" width="4.5" style="20" bestFit="1" customWidth="1"/>
    <col min="67" max="68" width="3.75" style="20" bestFit="1" customWidth="1"/>
    <col min="69" max="73" width="3" style="20" bestFit="1" customWidth="1"/>
    <col min="74" max="74" width="18.875" style="20" bestFit="1" customWidth="1"/>
    <col min="75" max="75" width="16.375" style="20" bestFit="1" customWidth="1"/>
    <col min="76" max="77" width="7.5" style="20" bestFit="1" customWidth="1"/>
    <col min="78" max="78" width="4.5" style="20" bestFit="1" customWidth="1"/>
    <col min="79" max="16384" width="6.625" style="20"/>
  </cols>
  <sheetData>
    <row r="3" spans="3:14" x14ac:dyDescent="0.15">
      <c r="C3" s="44"/>
      <c r="D3" s="27" t="s">
        <v>180</v>
      </c>
      <c r="E3" s="27" t="s">
        <v>180</v>
      </c>
      <c r="F3" s="27" t="s">
        <v>180</v>
      </c>
      <c r="G3" s="27" t="s">
        <v>180</v>
      </c>
      <c r="H3" s="55"/>
      <c r="I3" s="55"/>
      <c r="J3" s="27"/>
      <c r="K3" s="27"/>
      <c r="L3" s="27"/>
      <c r="M3" s="31"/>
      <c r="N3" s="32"/>
    </row>
    <row r="4" spans="3:14" x14ac:dyDescent="0.15">
      <c r="C4" s="44"/>
      <c r="D4" s="33" t="s">
        <v>112</v>
      </c>
      <c r="E4" s="33" t="s">
        <v>113</v>
      </c>
      <c r="F4" s="33" t="s">
        <v>114</v>
      </c>
      <c r="G4" s="33" t="s">
        <v>115</v>
      </c>
      <c r="H4" s="33"/>
      <c r="I4" s="33"/>
      <c r="J4" s="33" t="s">
        <v>116</v>
      </c>
      <c r="K4" s="33" t="s">
        <v>117</v>
      </c>
      <c r="L4" s="33" t="s">
        <v>138</v>
      </c>
      <c r="M4" s="33" t="s">
        <v>139</v>
      </c>
      <c r="N4" s="33" t="s">
        <v>156</v>
      </c>
    </row>
    <row r="5" spans="3:14" x14ac:dyDescent="0.15">
      <c r="C5" s="44"/>
      <c r="D5" s="55" t="s">
        <v>148</v>
      </c>
      <c r="E5" s="56" t="s">
        <v>193</v>
      </c>
      <c r="F5" s="55" t="s">
        <v>48</v>
      </c>
      <c r="G5" s="55" t="s">
        <v>535</v>
      </c>
      <c r="H5" s="56" t="s">
        <v>132</v>
      </c>
      <c r="I5" s="56" t="s">
        <v>151</v>
      </c>
      <c r="J5" s="55" t="s">
        <v>120</v>
      </c>
      <c r="K5" s="55" t="s">
        <v>134</v>
      </c>
      <c r="L5" s="27" t="s">
        <v>118</v>
      </c>
      <c r="M5" s="27" t="s">
        <v>140</v>
      </c>
      <c r="N5" s="27" t="s">
        <v>146</v>
      </c>
    </row>
    <row r="6" spans="3:14" x14ac:dyDescent="0.15">
      <c r="C6" s="44"/>
      <c r="D6" s="55" t="s">
        <v>149</v>
      </c>
      <c r="E6" s="55"/>
      <c r="F6" s="55" t="s">
        <v>56</v>
      </c>
      <c r="G6" s="55" t="s">
        <v>181</v>
      </c>
      <c r="H6" s="56" t="s">
        <v>133</v>
      </c>
      <c r="I6" s="56" t="s">
        <v>152</v>
      </c>
      <c r="J6" s="55" t="s">
        <v>121</v>
      </c>
      <c r="K6" s="55" t="s">
        <v>135</v>
      </c>
      <c r="L6" s="27" t="s">
        <v>485</v>
      </c>
      <c r="M6" s="27" t="s">
        <v>141</v>
      </c>
      <c r="N6" s="27" t="s">
        <v>147</v>
      </c>
    </row>
    <row r="7" spans="3:14" x14ac:dyDescent="0.15">
      <c r="C7" s="44"/>
      <c r="D7" s="55" t="s">
        <v>150</v>
      </c>
      <c r="E7" s="55"/>
      <c r="F7" s="55" t="s">
        <v>63</v>
      </c>
      <c r="G7" s="55" t="s">
        <v>536</v>
      </c>
      <c r="H7" s="56" t="s">
        <v>136</v>
      </c>
      <c r="I7" s="56" t="s">
        <v>153</v>
      </c>
      <c r="J7" s="55" t="s">
        <v>122</v>
      </c>
      <c r="K7" s="55" t="s">
        <v>163</v>
      </c>
      <c r="L7" s="27" t="s">
        <v>119</v>
      </c>
      <c r="M7" s="27" t="s">
        <v>144</v>
      </c>
      <c r="N7" s="27" t="s">
        <v>142</v>
      </c>
    </row>
    <row r="8" spans="3:14" x14ac:dyDescent="0.15">
      <c r="C8" s="44"/>
      <c r="D8" s="55"/>
      <c r="E8" s="55"/>
      <c r="F8" s="55" t="s">
        <v>137</v>
      </c>
      <c r="G8" s="55" t="s">
        <v>537</v>
      </c>
      <c r="H8" s="56" t="s">
        <v>172</v>
      </c>
      <c r="I8" s="55"/>
      <c r="J8" s="55" t="s">
        <v>123</v>
      </c>
      <c r="K8" s="55" t="s">
        <v>287</v>
      </c>
      <c r="L8" s="27" t="s">
        <v>154</v>
      </c>
      <c r="M8" s="27" t="s">
        <v>145</v>
      </c>
      <c r="N8" s="27" t="s">
        <v>143</v>
      </c>
    </row>
    <row r="9" spans="3:14" x14ac:dyDescent="0.15">
      <c r="C9" s="44"/>
      <c r="D9" s="55"/>
      <c r="E9" s="55"/>
      <c r="F9" s="55" t="s">
        <v>164</v>
      </c>
      <c r="G9" s="55" t="s">
        <v>538</v>
      </c>
      <c r="H9" s="56" t="s">
        <v>169</v>
      </c>
      <c r="I9" s="55"/>
      <c r="J9" s="55" t="s">
        <v>124</v>
      </c>
      <c r="K9" s="55" t="s">
        <v>539</v>
      </c>
      <c r="L9" s="27" t="s">
        <v>179</v>
      </c>
      <c r="M9" s="27" t="s">
        <v>177</v>
      </c>
      <c r="N9" s="27"/>
    </row>
    <row r="10" spans="3:14" x14ac:dyDescent="0.15">
      <c r="C10" s="44"/>
      <c r="D10" s="55"/>
      <c r="E10" s="55"/>
      <c r="F10" s="55" t="s">
        <v>165</v>
      </c>
      <c r="G10" s="55" t="s">
        <v>157</v>
      </c>
      <c r="H10" s="56" t="s">
        <v>170</v>
      </c>
      <c r="I10" s="55"/>
      <c r="J10" s="55" t="s">
        <v>125</v>
      </c>
      <c r="K10" s="55" t="s">
        <v>155</v>
      </c>
      <c r="L10" s="27"/>
      <c r="M10" s="27"/>
      <c r="N10" s="27"/>
    </row>
    <row r="11" spans="3:14" x14ac:dyDescent="0.15">
      <c r="C11" s="44"/>
      <c r="D11" s="55"/>
      <c r="E11" s="55"/>
      <c r="F11" s="55" t="s">
        <v>166</v>
      </c>
      <c r="G11" s="55" t="s">
        <v>158</v>
      </c>
      <c r="H11" s="56" t="s">
        <v>171</v>
      </c>
      <c r="I11" s="55"/>
      <c r="J11" s="55" t="s">
        <v>126</v>
      </c>
      <c r="K11" s="55"/>
      <c r="L11" s="27"/>
      <c r="M11" s="27"/>
      <c r="N11" s="27"/>
    </row>
    <row r="12" spans="3:14" x14ac:dyDescent="0.15">
      <c r="C12" s="44"/>
      <c r="D12" s="55"/>
      <c r="E12" s="55"/>
      <c r="F12" s="55" t="s">
        <v>167</v>
      </c>
      <c r="G12" s="55" t="s">
        <v>159</v>
      </c>
      <c r="H12" s="56" t="s">
        <v>173</v>
      </c>
      <c r="I12" s="55"/>
      <c r="J12" s="55" t="s">
        <v>127</v>
      </c>
      <c r="K12" s="55"/>
      <c r="L12" s="27"/>
      <c r="M12" s="27"/>
      <c r="N12" s="27"/>
    </row>
    <row r="13" spans="3:14" x14ac:dyDescent="0.15">
      <c r="C13" s="44"/>
      <c r="D13" s="55"/>
      <c r="E13" s="55"/>
      <c r="F13" s="55" t="s">
        <v>168</v>
      </c>
      <c r="G13" s="55" t="s">
        <v>160</v>
      </c>
      <c r="H13" s="56" t="s">
        <v>174</v>
      </c>
      <c r="I13" s="55"/>
      <c r="J13" s="55" t="s">
        <v>128</v>
      </c>
      <c r="K13" s="55"/>
      <c r="L13" s="27"/>
      <c r="M13" s="27"/>
      <c r="N13" s="27"/>
    </row>
    <row r="14" spans="3:14" x14ac:dyDescent="0.15">
      <c r="C14" s="44"/>
      <c r="D14" s="55"/>
      <c r="E14" s="55"/>
      <c r="F14" s="55"/>
      <c r="G14" s="55" t="s">
        <v>161</v>
      </c>
      <c r="H14" s="56" t="s">
        <v>175</v>
      </c>
      <c r="I14" s="55"/>
      <c r="J14" s="55" t="s">
        <v>129</v>
      </c>
      <c r="K14" s="55"/>
      <c r="L14" s="27"/>
      <c r="M14" s="27"/>
      <c r="N14" s="27"/>
    </row>
    <row r="15" spans="3:14" x14ac:dyDescent="0.15">
      <c r="C15" s="44"/>
      <c r="D15" s="55"/>
      <c r="E15" s="55"/>
      <c r="F15" s="55"/>
      <c r="G15" s="55" t="s">
        <v>162</v>
      </c>
      <c r="H15" s="56" t="s">
        <v>176</v>
      </c>
      <c r="I15" s="55"/>
      <c r="J15" s="55" t="s">
        <v>130</v>
      </c>
      <c r="K15" s="55"/>
      <c r="L15" s="27"/>
      <c r="M15" s="27"/>
      <c r="N15" s="27"/>
    </row>
    <row r="16" spans="3:14" x14ac:dyDescent="0.15">
      <c r="C16" s="44"/>
      <c r="D16" s="55"/>
      <c r="E16" s="55"/>
      <c r="F16" s="55"/>
      <c r="G16" s="55"/>
      <c r="H16" s="55"/>
      <c r="I16" s="55"/>
      <c r="J16" s="55" t="s">
        <v>131</v>
      </c>
      <c r="K16" s="55"/>
      <c r="L16" s="27"/>
      <c r="M16" s="27"/>
      <c r="N16" s="27"/>
    </row>
    <row r="17" spans="3:78" x14ac:dyDescent="0.15">
      <c r="C17" s="44"/>
      <c r="D17" s="55"/>
      <c r="E17" s="55"/>
      <c r="F17" s="55"/>
      <c r="G17" s="55"/>
      <c r="H17" s="55"/>
      <c r="I17" s="55"/>
      <c r="J17" s="55"/>
      <c r="K17" s="55"/>
      <c r="L17" s="27"/>
      <c r="M17" s="27"/>
      <c r="N17" s="27"/>
    </row>
    <row r="18" spans="3:78" x14ac:dyDescent="0.15">
      <c r="C18" s="44"/>
      <c r="D18" s="55"/>
      <c r="E18" s="55"/>
      <c r="F18" s="55"/>
      <c r="G18" s="55"/>
      <c r="H18" s="55"/>
      <c r="I18" s="55"/>
      <c r="J18" s="55"/>
      <c r="K18" s="55"/>
      <c r="L18" s="27"/>
      <c r="M18" s="27"/>
      <c r="N18" s="27"/>
    </row>
    <row r="19" spans="3:78" x14ac:dyDescent="0.15">
      <c r="C19" s="44"/>
    </row>
    <row r="20" spans="3:78" x14ac:dyDescent="0.15">
      <c r="C20" s="44"/>
    </row>
    <row r="26" spans="3:78" x14ac:dyDescent="0.15">
      <c r="C26" s="20" t="s">
        <v>210</v>
      </c>
      <c r="D26" s="92" t="s">
        <v>211</v>
      </c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89" t="s">
        <v>212</v>
      </c>
      <c r="AH26" s="91"/>
      <c r="AI26" s="91"/>
      <c r="AJ26" s="90"/>
      <c r="AK26" s="92" t="s">
        <v>213</v>
      </c>
      <c r="AL26" s="92"/>
      <c r="AM26" s="92"/>
      <c r="AN26" s="92"/>
      <c r="AO26" s="92" t="s">
        <v>214</v>
      </c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89" t="s">
        <v>215</v>
      </c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0"/>
      <c r="BV26" s="92" t="s">
        <v>216</v>
      </c>
      <c r="BW26" s="92"/>
      <c r="BX26" s="92"/>
      <c r="BY26" s="92"/>
      <c r="BZ26" s="92"/>
    </row>
    <row r="27" spans="3:78" x14ac:dyDescent="0.15">
      <c r="C27" s="20" t="s">
        <v>217</v>
      </c>
      <c r="D27" s="27" t="s">
        <v>118</v>
      </c>
      <c r="E27" s="89" t="s">
        <v>218</v>
      </c>
      <c r="F27" s="91"/>
      <c r="G27" s="90"/>
      <c r="H27" s="92" t="s">
        <v>219</v>
      </c>
      <c r="I27" s="92"/>
      <c r="J27" s="92"/>
      <c r="K27" s="92"/>
      <c r="L27" s="92"/>
      <c r="M27" s="92"/>
      <c r="N27" s="92"/>
      <c r="O27" s="28" t="s">
        <v>64</v>
      </c>
      <c r="P27" s="27" t="s">
        <v>220</v>
      </c>
      <c r="Q27" s="92" t="s">
        <v>221</v>
      </c>
      <c r="R27" s="92"/>
      <c r="S27" s="92"/>
      <c r="T27" s="92"/>
      <c r="U27" s="92"/>
      <c r="V27" s="92"/>
      <c r="W27" s="92"/>
      <c r="X27" s="27" t="s">
        <v>49</v>
      </c>
      <c r="Y27" s="89" t="s">
        <v>59</v>
      </c>
      <c r="Z27" s="90"/>
      <c r="AA27" s="27" t="s">
        <v>222</v>
      </c>
      <c r="AB27" s="27" t="s">
        <v>223</v>
      </c>
      <c r="AC27" s="92" t="s">
        <v>224</v>
      </c>
      <c r="AD27" s="92"/>
      <c r="AE27" s="92"/>
      <c r="AF27" s="92"/>
      <c r="AG27" s="27" t="s">
        <v>225</v>
      </c>
      <c r="AH27" s="27" t="s">
        <v>226</v>
      </c>
      <c r="AI27" s="27" t="s">
        <v>221</v>
      </c>
      <c r="AJ27" s="27" t="s">
        <v>227</v>
      </c>
      <c r="AK27" s="27" t="s">
        <v>228</v>
      </c>
      <c r="AL27" s="27" t="s">
        <v>229</v>
      </c>
      <c r="AM27" s="27" t="s">
        <v>221</v>
      </c>
      <c r="AN27" s="27" t="s">
        <v>227</v>
      </c>
      <c r="AO27" s="92" t="s">
        <v>230</v>
      </c>
      <c r="AP27" s="92"/>
      <c r="AQ27" s="92"/>
      <c r="AR27" s="92"/>
      <c r="AS27" s="92"/>
      <c r="AT27" s="92"/>
      <c r="AU27" s="92"/>
      <c r="AV27" s="27" t="s">
        <v>231</v>
      </c>
      <c r="AW27" s="27" t="s">
        <v>232</v>
      </c>
      <c r="AX27" s="27" t="s">
        <v>233</v>
      </c>
      <c r="AY27" s="27" t="s">
        <v>234</v>
      </c>
      <c r="AZ27" s="27" t="s">
        <v>235</v>
      </c>
      <c r="BA27" s="27" t="s">
        <v>236</v>
      </c>
      <c r="BB27" s="27" t="s">
        <v>237</v>
      </c>
      <c r="BC27" s="93" t="s">
        <v>238</v>
      </c>
      <c r="BD27" s="94"/>
      <c r="BE27" s="94"/>
      <c r="BF27" s="94"/>
      <c r="BG27" s="94"/>
      <c r="BH27" s="95"/>
      <c r="BI27" s="27" t="s">
        <v>239</v>
      </c>
      <c r="BJ27" s="27" t="s">
        <v>240</v>
      </c>
      <c r="BK27" s="27" t="s">
        <v>241</v>
      </c>
      <c r="BL27" s="27" t="s">
        <v>242</v>
      </c>
      <c r="BM27" s="27" t="s">
        <v>243</v>
      </c>
      <c r="BN27" s="89" t="s">
        <v>244</v>
      </c>
      <c r="BO27" s="91"/>
      <c r="BP27" s="91"/>
      <c r="BQ27" s="90"/>
      <c r="BR27" s="89" t="s">
        <v>245</v>
      </c>
      <c r="BS27" s="91"/>
      <c r="BT27" s="91"/>
      <c r="BU27" s="90"/>
      <c r="BV27" s="89" t="s">
        <v>246</v>
      </c>
      <c r="BW27" s="90"/>
      <c r="BX27" s="89" t="s">
        <v>247</v>
      </c>
      <c r="BY27" s="90"/>
      <c r="BZ27" s="27" t="s">
        <v>248</v>
      </c>
    </row>
    <row r="28" spans="3:78" x14ac:dyDescent="0.15">
      <c r="C28" s="20" t="s">
        <v>249</v>
      </c>
      <c r="D28" s="27" t="s">
        <v>250</v>
      </c>
      <c r="E28" s="27" t="s">
        <v>104</v>
      </c>
      <c r="F28" s="27" t="s">
        <v>119</v>
      </c>
      <c r="G28" s="27" t="s">
        <v>251</v>
      </c>
      <c r="H28" s="27" t="s">
        <v>199</v>
      </c>
      <c r="I28" s="27" t="s">
        <v>252</v>
      </c>
      <c r="J28" s="27" t="s">
        <v>253</v>
      </c>
      <c r="K28" s="27" t="s">
        <v>254</v>
      </c>
      <c r="L28" s="27" t="s">
        <v>255</v>
      </c>
      <c r="M28" s="27" t="s">
        <v>256</v>
      </c>
      <c r="N28" s="27" t="s">
        <v>209</v>
      </c>
      <c r="O28" s="27" t="s">
        <v>257</v>
      </c>
      <c r="P28" s="27" t="s">
        <v>258</v>
      </c>
      <c r="Q28" s="27" t="s">
        <v>199</v>
      </c>
      <c r="R28" s="27" t="s">
        <v>252</v>
      </c>
      <c r="S28" s="27" t="s">
        <v>253</v>
      </c>
      <c r="T28" s="27" t="s">
        <v>254</v>
      </c>
      <c r="U28" s="27" t="s">
        <v>255</v>
      </c>
      <c r="V28" s="27" t="s">
        <v>256</v>
      </c>
      <c r="W28" s="27" t="s">
        <v>209</v>
      </c>
      <c r="X28" s="27" t="s">
        <v>259</v>
      </c>
      <c r="Y28" s="27" t="s">
        <v>260</v>
      </c>
      <c r="Z28" s="27" t="s">
        <v>261</v>
      </c>
      <c r="AA28" s="27" t="s">
        <v>221</v>
      </c>
      <c r="AB28" s="27" t="s">
        <v>262</v>
      </c>
      <c r="AC28" s="27" t="s">
        <v>263</v>
      </c>
      <c r="AD28" s="27" t="s">
        <v>264</v>
      </c>
      <c r="AE28" s="27" t="s">
        <v>265</v>
      </c>
      <c r="AF28" s="27" t="s">
        <v>266</v>
      </c>
      <c r="AG28" s="27" t="s">
        <v>250</v>
      </c>
      <c r="AH28" s="27" t="s">
        <v>267</v>
      </c>
      <c r="AI28" s="27" t="s">
        <v>268</v>
      </c>
      <c r="AJ28" s="27" t="s">
        <v>268</v>
      </c>
      <c r="AK28" s="27" t="s">
        <v>250</v>
      </c>
      <c r="AL28" s="27" t="s">
        <v>269</v>
      </c>
      <c r="AM28" s="27" t="s">
        <v>270</v>
      </c>
      <c r="AN28" s="27" t="s">
        <v>270</v>
      </c>
      <c r="AO28" s="27" t="s">
        <v>271</v>
      </c>
      <c r="AP28" s="27" t="s">
        <v>272</v>
      </c>
      <c r="AQ28" s="27" t="s">
        <v>273</v>
      </c>
      <c r="AR28" s="27" t="s">
        <v>274</v>
      </c>
      <c r="AS28" s="27" t="s">
        <v>275</v>
      </c>
      <c r="AT28" s="27" t="s">
        <v>276</v>
      </c>
      <c r="AU28" s="27" t="s">
        <v>277</v>
      </c>
      <c r="AV28" s="27" t="s">
        <v>19</v>
      </c>
      <c r="AW28" s="27" t="s">
        <v>278</v>
      </c>
      <c r="AX28" s="29" t="s">
        <v>250</v>
      </c>
      <c r="AY28" s="29" t="s">
        <v>250</v>
      </c>
      <c r="AZ28" s="29" t="s">
        <v>250</v>
      </c>
      <c r="BA28" s="29" t="s">
        <v>250</v>
      </c>
      <c r="BB28" s="29" t="s">
        <v>250</v>
      </c>
      <c r="BC28" s="26" t="s">
        <v>14</v>
      </c>
      <c r="BD28" s="26" t="s">
        <v>279</v>
      </c>
      <c r="BE28" s="26" t="s">
        <v>280</v>
      </c>
      <c r="BF28" s="26" t="s">
        <v>281</v>
      </c>
      <c r="BG28" s="26" t="s">
        <v>15</v>
      </c>
      <c r="BH28" s="26" t="s">
        <v>282</v>
      </c>
      <c r="BI28" s="27" t="s">
        <v>283</v>
      </c>
      <c r="BJ28" s="27" t="s">
        <v>0</v>
      </c>
      <c r="BK28" s="27" t="s">
        <v>284</v>
      </c>
      <c r="BL28" s="27" t="s">
        <v>285</v>
      </c>
      <c r="BM28" s="27" t="s">
        <v>284</v>
      </c>
      <c r="BN28" s="27" t="s">
        <v>286</v>
      </c>
      <c r="BO28" s="27" t="s">
        <v>1</v>
      </c>
      <c r="BP28" s="27" t="s">
        <v>3</v>
      </c>
      <c r="BQ28" s="27" t="s">
        <v>5</v>
      </c>
      <c r="BR28" s="27" t="s">
        <v>286</v>
      </c>
      <c r="BS28" s="27" t="s">
        <v>1</v>
      </c>
      <c r="BT28" s="27" t="s">
        <v>3</v>
      </c>
      <c r="BU28" s="27" t="s">
        <v>5</v>
      </c>
      <c r="BV28" s="27" t="s">
        <v>287</v>
      </c>
      <c r="BW28" s="27" t="s">
        <v>288</v>
      </c>
      <c r="BX28" s="27" t="s">
        <v>178</v>
      </c>
      <c r="BY28" s="27" t="s">
        <v>289</v>
      </c>
      <c r="BZ28" s="27" t="s">
        <v>283</v>
      </c>
    </row>
    <row r="29" spans="3:78" x14ac:dyDescent="0.15">
      <c r="C29" s="20">
        <v>1</v>
      </c>
      <c r="D29" s="30">
        <v>1</v>
      </c>
      <c r="E29" s="30">
        <v>5</v>
      </c>
      <c r="F29" s="30">
        <v>1</v>
      </c>
      <c r="G29" s="30">
        <v>5</v>
      </c>
      <c r="H29" s="30">
        <v>100</v>
      </c>
      <c r="I29" s="30">
        <v>20000</v>
      </c>
      <c r="J29" s="30">
        <v>5000</v>
      </c>
      <c r="K29" s="30">
        <v>5000</v>
      </c>
      <c r="L29" s="30">
        <v>5000</v>
      </c>
      <c r="M29" s="30">
        <v>5000</v>
      </c>
      <c r="N29" s="30">
        <v>500000</v>
      </c>
      <c r="O29" s="30" t="s">
        <v>290</v>
      </c>
      <c r="P29" s="30">
        <v>2000</v>
      </c>
      <c r="Q29" s="30">
        <v>100</v>
      </c>
      <c r="R29" s="30">
        <v>20000</v>
      </c>
      <c r="S29" s="30">
        <v>2000</v>
      </c>
      <c r="T29" s="30">
        <v>2000</v>
      </c>
      <c r="U29" s="30">
        <v>2000</v>
      </c>
      <c r="V29" s="30">
        <v>2000</v>
      </c>
      <c r="W29" s="30">
        <v>500000</v>
      </c>
      <c r="X29" s="30" t="s">
        <v>291</v>
      </c>
      <c r="Y29" s="30">
        <v>5</v>
      </c>
      <c r="Z29" s="30" t="s">
        <v>16</v>
      </c>
      <c r="AA29" s="30">
        <v>1</v>
      </c>
      <c r="AB29" s="30">
        <v>200</v>
      </c>
      <c r="AC29" s="30">
        <v>1000</v>
      </c>
      <c r="AD29" s="30">
        <v>1000</v>
      </c>
      <c r="AE29" s="30">
        <v>1000</v>
      </c>
      <c r="AF29" s="30">
        <v>1000</v>
      </c>
      <c r="AG29" s="30">
        <v>1</v>
      </c>
      <c r="AH29" s="30">
        <v>1</v>
      </c>
      <c r="AI29" s="30">
        <v>500</v>
      </c>
      <c r="AJ29" s="30">
        <v>500</v>
      </c>
      <c r="AK29" s="30">
        <v>10</v>
      </c>
      <c r="AL29" s="30">
        <v>10</v>
      </c>
      <c r="AM29" s="30">
        <v>1000</v>
      </c>
      <c r="AN29" s="30">
        <v>1000</v>
      </c>
      <c r="AO29" s="30">
        <v>1</v>
      </c>
      <c r="AP29" s="30">
        <v>1</v>
      </c>
      <c r="AQ29" s="30">
        <v>1</v>
      </c>
      <c r="AR29" s="30">
        <v>1</v>
      </c>
      <c r="AS29" s="30">
        <v>1</v>
      </c>
      <c r="AT29" s="30">
        <v>1</v>
      </c>
      <c r="AU29" s="30">
        <v>1</v>
      </c>
      <c r="AV29" s="30">
        <v>2</v>
      </c>
      <c r="AW29" s="30">
        <v>5</v>
      </c>
      <c r="AX29" s="30">
        <v>1</v>
      </c>
      <c r="AY29" s="30">
        <v>1</v>
      </c>
      <c r="AZ29" s="30">
        <v>1</v>
      </c>
      <c r="BA29" s="30">
        <v>1</v>
      </c>
      <c r="BB29" s="30">
        <v>20</v>
      </c>
      <c r="BC29" s="30">
        <v>200</v>
      </c>
      <c r="BD29" s="30">
        <v>200</v>
      </c>
      <c r="BE29" s="30">
        <v>200</v>
      </c>
      <c r="BF29" s="30">
        <v>200</v>
      </c>
      <c r="BG29" s="30">
        <v>1000</v>
      </c>
      <c r="BH29" s="30">
        <v>5000</v>
      </c>
      <c r="BI29" s="30" t="s">
        <v>16</v>
      </c>
      <c r="BJ29" s="30">
        <v>60</v>
      </c>
      <c r="BK29" s="30">
        <v>40</v>
      </c>
      <c r="BL29" s="30">
        <v>2000</v>
      </c>
      <c r="BM29" s="30">
        <v>5</v>
      </c>
      <c r="BN29" s="30">
        <v>10</v>
      </c>
      <c r="BO29" s="30">
        <v>2</v>
      </c>
      <c r="BP29" s="30">
        <v>3</v>
      </c>
      <c r="BQ29" s="30">
        <v>1</v>
      </c>
      <c r="BR29" s="30">
        <v>1</v>
      </c>
      <c r="BS29" s="30">
        <v>1</v>
      </c>
      <c r="BT29" s="30">
        <v>1</v>
      </c>
      <c r="BU29" s="30">
        <v>1</v>
      </c>
      <c r="BV29" s="30">
        <v>10</v>
      </c>
      <c r="BW29" s="30">
        <v>5</v>
      </c>
      <c r="BX29" s="30">
        <v>5</v>
      </c>
      <c r="BY29" s="30">
        <v>10</v>
      </c>
      <c r="BZ29" s="30">
        <v>5</v>
      </c>
    </row>
    <row r="30" spans="3:78" x14ac:dyDescent="0.15">
      <c r="C30" s="20">
        <v>2</v>
      </c>
      <c r="D30" s="30">
        <v>5</v>
      </c>
      <c r="E30" s="30">
        <v>10</v>
      </c>
      <c r="F30" s="30">
        <v>2</v>
      </c>
      <c r="G30" s="30">
        <v>10</v>
      </c>
      <c r="H30" s="30">
        <v>200</v>
      </c>
      <c r="I30" s="30">
        <v>30000</v>
      </c>
      <c r="J30" s="30">
        <v>10000</v>
      </c>
      <c r="K30" s="30">
        <v>10000</v>
      </c>
      <c r="L30" s="30">
        <v>10000</v>
      </c>
      <c r="M30" s="30">
        <v>10000</v>
      </c>
      <c r="N30" s="30">
        <v>1000000</v>
      </c>
      <c r="O30" s="30" t="s">
        <v>292</v>
      </c>
      <c r="P30" s="30">
        <v>1000</v>
      </c>
      <c r="Q30" s="30">
        <v>200</v>
      </c>
      <c r="R30" s="30">
        <v>30000</v>
      </c>
      <c r="S30" s="30">
        <v>5000</v>
      </c>
      <c r="T30" s="30">
        <v>5000</v>
      </c>
      <c r="U30" s="30">
        <v>5000</v>
      </c>
      <c r="V30" s="30">
        <v>5000</v>
      </c>
      <c r="W30" s="30">
        <v>1000000</v>
      </c>
      <c r="X30" s="30" t="s">
        <v>293</v>
      </c>
      <c r="Y30" s="30">
        <v>10</v>
      </c>
      <c r="Z30" s="30" t="s">
        <v>16</v>
      </c>
      <c r="AA30" s="30">
        <v>2</v>
      </c>
      <c r="AB30" s="30">
        <v>500</v>
      </c>
      <c r="AC30" s="30">
        <v>2000</v>
      </c>
      <c r="AD30" s="30">
        <v>2000</v>
      </c>
      <c r="AE30" s="30">
        <v>2000</v>
      </c>
      <c r="AF30" s="30">
        <v>2000</v>
      </c>
      <c r="AG30" s="30">
        <v>5</v>
      </c>
      <c r="AH30" s="30">
        <v>2</v>
      </c>
      <c r="AI30" s="30">
        <v>1000</v>
      </c>
      <c r="AJ30" s="30">
        <v>1000</v>
      </c>
      <c r="AK30" s="30">
        <v>20</v>
      </c>
      <c r="AL30" s="30">
        <v>20</v>
      </c>
      <c r="AM30" s="30">
        <v>1500</v>
      </c>
      <c r="AN30" s="30">
        <v>1500</v>
      </c>
      <c r="AO30" s="30">
        <v>3</v>
      </c>
      <c r="AP30" s="30">
        <v>3</v>
      </c>
      <c r="AQ30" s="30">
        <v>3</v>
      </c>
      <c r="AR30" s="30">
        <v>2</v>
      </c>
      <c r="AS30" s="30">
        <v>2</v>
      </c>
      <c r="AT30" s="30">
        <v>2</v>
      </c>
      <c r="AU30" s="30">
        <v>2</v>
      </c>
      <c r="AV30" s="30">
        <v>3</v>
      </c>
      <c r="AW30" s="30">
        <v>10</v>
      </c>
      <c r="AX30" s="30">
        <v>2</v>
      </c>
      <c r="AY30" s="30">
        <v>2</v>
      </c>
      <c r="AZ30" s="30">
        <v>2</v>
      </c>
      <c r="BA30" s="30">
        <v>2</v>
      </c>
      <c r="BB30" s="30">
        <v>30</v>
      </c>
      <c r="BC30" s="30">
        <v>500</v>
      </c>
      <c r="BD30" s="30">
        <v>500</v>
      </c>
      <c r="BE30" s="30">
        <v>500</v>
      </c>
      <c r="BF30" s="30">
        <v>500</v>
      </c>
      <c r="BG30" s="30">
        <v>1500</v>
      </c>
      <c r="BH30" s="30">
        <v>7500</v>
      </c>
      <c r="BI30" s="30" t="s">
        <v>16</v>
      </c>
      <c r="BJ30" s="30">
        <v>140</v>
      </c>
      <c r="BK30" s="30">
        <v>60</v>
      </c>
      <c r="BL30" s="30">
        <v>5000</v>
      </c>
      <c r="BM30" s="30">
        <v>10</v>
      </c>
      <c r="BN30" s="30">
        <v>20</v>
      </c>
      <c r="BO30" s="30">
        <v>4</v>
      </c>
      <c r="BP30" s="30">
        <v>3</v>
      </c>
      <c r="BQ30" s="30">
        <v>2</v>
      </c>
      <c r="BR30" s="30">
        <v>2</v>
      </c>
      <c r="BS30" s="30">
        <v>2</v>
      </c>
      <c r="BT30" s="30">
        <v>2</v>
      </c>
      <c r="BU30" s="30">
        <v>2</v>
      </c>
      <c r="BV30" s="30">
        <v>20</v>
      </c>
      <c r="BW30" s="30">
        <v>10</v>
      </c>
      <c r="BX30" s="30">
        <v>10</v>
      </c>
      <c r="BY30" s="30">
        <v>20</v>
      </c>
      <c r="BZ30" s="30">
        <v>10</v>
      </c>
    </row>
    <row r="31" spans="3:78" x14ac:dyDescent="0.15">
      <c r="C31" s="20">
        <v>3</v>
      </c>
      <c r="D31" s="30">
        <v>10</v>
      </c>
      <c r="E31" s="30">
        <v>15</v>
      </c>
      <c r="F31" s="30">
        <v>3</v>
      </c>
      <c r="G31" s="30">
        <v>15</v>
      </c>
      <c r="H31" s="30">
        <v>300</v>
      </c>
      <c r="I31" s="30">
        <v>50000</v>
      </c>
      <c r="J31" s="30">
        <v>20000</v>
      </c>
      <c r="K31" s="30">
        <v>20000</v>
      </c>
      <c r="L31" s="30">
        <v>20000</v>
      </c>
      <c r="M31" s="30">
        <v>20000</v>
      </c>
      <c r="N31" s="30">
        <v>2000000</v>
      </c>
      <c r="O31" s="30" t="s">
        <v>294</v>
      </c>
      <c r="P31" s="30">
        <v>500</v>
      </c>
      <c r="Q31" s="30">
        <v>300</v>
      </c>
      <c r="R31" s="30">
        <v>50000</v>
      </c>
      <c r="S31" s="30">
        <v>10000</v>
      </c>
      <c r="T31" s="30">
        <v>10000</v>
      </c>
      <c r="U31" s="30">
        <v>10000</v>
      </c>
      <c r="V31" s="30">
        <v>10000</v>
      </c>
      <c r="W31" s="30">
        <v>2000000</v>
      </c>
      <c r="X31" s="30" t="s">
        <v>295</v>
      </c>
      <c r="Y31" s="30">
        <v>20</v>
      </c>
      <c r="Z31" s="30" t="s">
        <v>16</v>
      </c>
      <c r="AA31" s="30">
        <v>3</v>
      </c>
      <c r="AB31" s="30">
        <v>1000</v>
      </c>
      <c r="AC31" s="30">
        <v>5000</v>
      </c>
      <c r="AD31" s="30">
        <v>5000</v>
      </c>
      <c r="AE31" s="30">
        <v>5000</v>
      </c>
      <c r="AF31" s="30">
        <v>5000</v>
      </c>
      <c r="AG31" s="30">
        <v>10</v>
      </c>
      <c r="AH31" s="30">
        <v>3</v>
      </c>
      <c r="AI31" s="30">
        <v>1500</v>
      </c>
      <c r="AJ31" s="30">
        <v>1500</v>
      </c>
      <c r="AK31" s="30">
        <v>30</v>
      </c>
      <c r="AL31" s="30">
        <v>30</v>
      </c>
      <c r="AM31" s="30">
        <v>2500</v>
      </c>
      <c r="AN31" s="30">
        <v>2500</v>
      </c>
      <c r="AO31" s="30">
        <v>6</v>
      </c>
      <c r="AP31" s="30">
        <v>6</v>
      </c>
      <c r="AQ31" s="30">
        <v>6</v>
      </c>
      <c r="AR31" s="30">
        <v>4</v>
      </c>
      <c r="AS31" s="30">
        <v>4</v>
      </c>
      <c r="AT31" s="30">
        <v>4</v>
      </c>
      <c r="AU31" s="30">
        <v>3</v>
      </c>
      <c r="AV31" s="30">
        <v>5</v>
      </c>
      <c r="AW31" s="30">
        <v>15</v>
      </c>
      <c r="AX31" s="30">
        <v>3</v>
      </c>
      <c r="AY31" s="30">
        <v>3</v>
      </c>
      <c r="AZ31" s="30">
        <v>3</v>
      </c>
      <c r="BA31" s="30">
        <v>3</v>
      </c>
      <c r="BB31" s="30">
        <v>40</v>
      </c>
      <c r="BC31" s="30">
        <v>1000</v>
      </c>
      <c r="BD31" s="30">
        <v>1000</v>
      </c>
      <c r="BE31" s="30">
        <v>1000</v>
      </c>
      <c r="BF31" s="30">
        <v>1000</v>
      </c>
      <c r="BG31" s="30">
        <v>2000</v>
      </c>
      <c r="BH31" s="30">
        <v>10000</v>
      </c>
      <c r="BI31" s="30" t="s">
        <v>16</v>
      </c>
      <c r="BJ31" s="30">
        <v>160</v>
      </c>
      <c r="BK31" s="30">
        <v>100</v>
      </c>
      <c r="BL31" s="30">
        <v>15000</v>
      </c>
      <c r="BM31" s="30">
        <v>15</v>
      </c>
      <c r="BN31" s="30">
        <v>35</v>
      </c>
      <c r="BO31" s="30">
        <v>7</v>
      </c>
      <c r="BP31" s="30">
        <v>5</v>
      </c>
      <c r="BQ31" s="30">
        <v>3</v>
      </c>
      <c r="BR31" s="30">
        <v>4</v>
      </c>
      <c r="BS31" s="30">
        <v>3</v>
      </c>
      <c r="BT31" s="30">
        <v>3</v>
      </c>
      <c r="BU31" s="30">
        <v>3</v>
      </c>
      <c r="BV31" s="30">
        <v>30</v>
      </c>
      <c r="BW31" s="30">
        <v>20</v>
      </c>
      <c r="BX31" s="30">
        <v>15</v>
      </c>
      <c r="BY31" s="30">
        <v>30</v>
      </c>
      <c r="BZ31" s="30">
        <v>20</v>
      </c>
    </row>
    <row r="32" spans="3:78" x14ac:dyDescent="0.15">
      <c r="C32" s="20">
        <v>4</v>
      </c>
      <c r="D32" s="30">
        <v>20</v>
      </c>
      <c r="E32" s="30">
        <v>20</v>
      </c>
      <c r="F32" s="30">
        <v>4</v>
      </c>
      <c r="G32" s="30">
        <v>20</v>
      </c>
      <c r="H32" s="30">
        <v>500</v>
      </c>
      <c r="I32" s="30">
        <v>80000</v>
      </c>
      <c r="J32" s="30">
        <v>50000</v>
      </c>
      <c r="K32" s="30">
        <v>50000</v>
      </c>
      <c r="L32" s="30">
        <v>50000</v>
      </c>
      <c r="M32" s="30">
        <v>50000</v>
      </c>
      <c r="N32" s="30">
        <v>5000000</v>
      </c>
      <c r="O32" s="30" t="s">
        <v>296</v>
      </c>
      <c r="P32" s="30">
        <v>200</v>
      </c>
      <c r="Q32" s="30">
        <v>500</v>
      </c>
      <c r="R32" s="30">
        <v>80000</v>
      </c>
      <c r="S32" s="30">
        <v>20000</v>
      </c>
      <c r="T32" s="30">
        <v>20000</v>
      </c>
      <c r="U32" s="30">
        <v>20000</v>
      </c>
      <c r="V32" s="30">
        <v>20000</v>
      </c>
      <c r="W32" s="30">
        <v>5000000</v>
      </c>
      <c r="X32" s="30" t="s">
        <v>292</v>
      </c>
      <c r="Y32" s="30">
        <v>30</v>
      </c>
      <c r="Z32" s="30" t="s">
        <v>16</v>
      </c>
      <c r="AA32" s="30">
        <v>4</v>
      </c>
      <c r="AB32" s="30">
        <v>1500</v>
      </c>
      <c r="AC32" s="30">
        <v>10000</v>
      </c>
      <c r="AD32" s="30">
        <v>10000</v>
      </c>
      <c r="AE32" s="30">
        <v>10000</v>
      </c>
      <c r="AF32" s="30">
        <v>10000</v>
      </c>
      <c r="AG32" s="30">
        <v>20</v>
      </c>
      <c r="AH32" s="30">
        <v>4</v>
      </c>
      <c r="AI32" s="30">
        <v>2250</v>
      </c>
      <c r="AJ32" s="30">
        <v>2250</v>
      </c>
      <c r="AK32" s="30">
        <v>50</v>
      </c>
      <c r="AL32" s="30">
        <v>50</v>
      </c>
      <c r="AM32" s="30">
        <v>4500</v>
      </c>
      <c r="AN32" s="30">
        <v>4500</v>
      </c>
      <c r="AO32" s="30">
        <v>10</v>
      </c>
      <c r="AP32" s="30">
        <v>10</v>
      </c>
      <c r="AQ32" s="30">
        <v>10</v>
      </c>
      <c r="AR32" s="30">
        <v>8</v>
      </c>
      <c r="AS32" s="30">
        <v>8</v>
      </c>
      <c r="AT32" s="30">
        <v>8</v>
      </c>
      <c r="AU32" s="30">
        <v>5</v>
      </c>
      <c r="AV32" s="30">
        <v>7</v>
      </c>
      <c r="AW32" s="30">
        <v>20</v>
      </c>
      <c r="AX32" s="30">
        <v>6</v>
      </c>
      <c r="AY32" s="30">
        <v>6</v>
      </c>
      <c r="AZ32" s="30">
        <v>6</v>
      </c>
      <c r="BA32" s="30">
        <v>6</v>
      </c>
      <c r="BB32" s="30">
        <v>60</v>
      </c>
      <c r="BC32" s="30">
        <v>2000</v>
      </c>
      <c r="BD32" s="30">
        <v>2000</v>
      </c>
      <c r="BE32" s="30">
        <v>2000</v>
      </c>
      <c r="BF32" s="30">
        <v>2000</v>
      </c>
      <c r="BG32" s="30">
        <v>2500</v>
      </c>
      <c r="BH32" s="30">
        <v>15000</v>
      </c>
      <c r="BI32" s="30" t="s">
        <v>16</v>
      </c>
      <c r="BJ32" s="30">
        <v>220</v>
      </c>
      <c r="BK32" s="30">
        <v>140</v>
      </c>
      <c r="BL32" s="30">
        <v>45000</v>
      </c>
      <c r="BM32" s="30">
        <v>20</v>
      </c>
      <c r="BN32" s="30">
        <v>50</v>
      </c>
      <c r="BO32" s="30">
        <v>10</v>
      </c>
      <c r="BP32" s="30">
        <v>6</v>
      </c>
      <c r="BQ32" s="30">
        <v>4</v>
      </c>
      <c r="BR32" s="30">
        <v>6</v>
      </c>
      <c r="BS32" s="30">
        <v>4</v>
      </c>
      <c r="BT32" s="30">
        <v>4</v>
      </c>
      <c r="BU32" s="30">
        <v>4</v>
      </c>
      <c r="BV32" s="30">
        <v>50</v>
      </c>
      <c r="BW32" s="30">
        <v>50</v>
      </c>
      <c r="BX32" s="30">
        <v>20</v>
      </c>
      <c r="BY32" s="30">
        <v>40</v>
      </c>
      <c r="BZ32" s="30">
        <v>30</v>
      </c>
    </row>
    <row r="33" spans="3:78" x14ac:dyDescent="0.15">
      <c r="C33" s="20">
        <v>5</v>
      </c>
      <c r="D33" s="30">
        <v>30</v>
      </c>
      <c r="E33" s="30">
        <v>25</v>
      </c>
      <c r="F33" s="30">
        <v>5</v>
      </c>
      <c r="G33" s="30">
        <v>25</v>
      </c>
      <c r="H33" s="30">
        <v>1000</v>
      </c>
      <c r="I33" s="30">
        <v>130000</v>
      </c>
      <c r="J33" s="30">
        <v>100000</v>
      </c>
      <c r="K33" s="30">
        <v>100000</v>
      </c>
      <c r="L33" s="30">
        <v>100000</v>
      </c>
      <c r="M33" s="30">
        <v>100000</v>
      </c>
      <c r="N33" s="30">
        <v>10000000</v>
      </c>
      <c r="O33" s="30" t="s">
        <v>297</v>
      </c>
      <c r="P33" s="30">
        <v>100</v>
      </c>
      <c r="Q33" s="30">
        <v>1000</v>
      </c>
      <c r="R33" s="30">
        <v>130000</v>
      </c>
      <c r="S33" s="30">
        <v>50000</v>
      </c>
      <c r="T33" s="30">
        <v>50000</v>
      </c>
      <c r="U33" s="30">
        <v>50000</v>
      </c>
      <c r="V33" s="30">
        <v>50000</v>
      </c>
      <c r="W33" s="30">
        <v>10000000</v>
      </c>
      <c r="X33" s="30" t="s">
        <v>298</v>
      </c>
      <c r="Y33" s="30">
        <v>40</v>
      </c>
      <c r="Z33" s="30" t="s">
        <v>16</v>
      </c>
      <c r="AA33" s="30">
        <v>5</v>
      </c>
      <c r="AB33" s="30">
        <v>2000</v>
      </c>
      <c r="AC33" s="30">
        <v>20000</v>
      </c>
      <c r="AD33" s="30">
        <v>20000</v>
      </c>
      <c r="AE33" s="30">
        <v>20000</v>
      </c>
      <c r="AF33" s="30">
        <v>20000</v>
      </c>
      <c r="AG33" s="30">
        <v>50</v>
      </c>
      <c r="AH33" s="30">
        <v>5</v>
      </c>
      <c r="AI33" s="30">
        <v>3380</v>
      </c>
      <c r="AJ33" s="30">
        <v>3380</v>
      </c>
      <c r="AK33" s="30">
        <v>80</v>
      </c>
      <c r="AL33" s="30">
        <v>80</v>
      </c>
      <c r="AM33" s="30">
        <v>8000</v>
      </c>
      <c r="AN33" s="30">
        <v>8000</v>
      </c>
      <c r="AO33" s="30">
        <v>15</v>
      </c>
      <c r="AP33" s="30">
        <v>15</v>
      </c>
      <c r="AQ33" s="30">
        <v>15</v>
      </c>
      <c r="AR33" s="30">
        <v>12</v>
      </c>
      <c r="AS33" s="30">
        <v>12</v>
      </c>
      <c r="AT33" s="30">
        <v>12</v>
      </c>
      <c r="AU33" s="30">
        <v>8</v>
      </c>
      <c r="AV33" s="30">
        <v>10</v>
      </c>
      <c r="AW33" s="30">
        <v>25</v>
      </c>
      <c r="AX33" s="30">
        <v>9</v>
      </c>
      <c r="AY33" s="30">
        <v>9</v>
      </c>
      <c r="AZ33" s="30">
        <v>9</v>
      </c>
      <c r="BA33" s="30">
        <v>9</v>
      </c>
      <c r="BB33" s="30">
        <v>75</v>
      </c>
      <c r="BC33" s="30">
        <v>3000</v>
      </c>
      <c r="BD33" s="30">
        <v>3000</v>
      </c>
      <c r="BE33" s="30">
        <v>3000</v>
      </c>
      <c r="BF33" s="30">
        <v>3000</v>
      </c>
      <c r="BG33" s="30">
        <v>2500</v>
      </c>
      <c r="BH33" s="30">
        <v>20000</v>
      </c>
      <c r="BI33" s="30" t="s">
        <v>16</v>
      </c>
      <c r="BJ33" s="30">
        <v>320</v>
      </c>
      <c r="BK33" s="30">
        <v>140</v>
      </c>
      <c r="BL33" s="30">
        <v>120000</v>
      </c>
      <c r="BM33" s="30">
        <v>25</v>
      </c>
      <c r="BN33" s="30">
        <v>65</v>
      </c>
      <c r="BO33" s="30">
        <v>13</v>
      </c>
      <c r="BP33" s="30">
        <v>8</v>
      </c>
      <c r="BQ33" s="30">
        <v>5</v>
      </c>
      <c r="BR33" s="30">
        <v>8</v>
      </c>
      <c r="BS33" s="30">
        <v>6</v>
      </c>
      <c r="BT33" s="30">
        <v>5</v>
      </c>
      <c r="BU33" s="30">
        <v>5</v>
      </c>
      <c r="BV33" s="30">
        <v>80</v>
      </c>
      <c r="BW33" s="30">
        <v>100</v>
      </c>
      <c r="BX33" s="30">
        <v>25</v>
      </c>
      <c r="BY33" s="30">
        <v>50</v>
      </c>
      <c r="BZ33" s="30">
        <v>40</v>
      </c>
    </row>
    <row r="34" spans="3:78" x14ac:dyDescent="0.15">
      <c r="C34" s="20">
        <v>6</v>
      </c>
      <c r="D34" s="30">
        <v>50</v>
      </c>
      <c r="E34" s="30">
        <v>30</v>
      </c>
      <c r="F34" s="30">
        <v>6</v>
      </c>
      <c r="G34" s="30">
        <v>30</v>
      </c>
      <c r="H34" s="30">
        <v>2000</v>
      </c>
      <c r="I34" s="30">
        <v>210000</v>
      </c>
      <c r="J34" s="30">
        <v>200000</v>
      </c>
      <c r="K34" s="30">
        <v>200000</v>
      </c>
      <c r="L34" s="30">
        <v>200000</v>
      </c>
      <c r="M34" s="30">
        <v>200000</v>
      </c>
      <c r="N34" s="30">
        <v>20000000</v>
      </c>
      <c r="O34" s="30" t="s">
        <v>299</v>
      </c>
      <c r="P34" s="30">
        <v>50</v>
      </c>
      <c r="Q34" s="30">
        <v>2000</v>
      </c>
      <c r="R34" s="30">
        <v>210000</v>
      </c>
      <c r="S34" s="30">
        <v>100000</v>
      </c>
      <c r="T34" s="30">
        <v>100000</v>
      </c>
      <c r="U34" s="30">
        <v>100000</v>
      </c>
      <c r="V34" s="30">
        <v>100000</v>
      </c>
      <c r="W34" s="30">
        <v>20000000</v>
      </c>
      <c r="X34" s="30" t="s">
        <v>300</v>
      </c>
      <c r="Y34" s="30">
        <v>50</v>
      </c>
      <c r="Z34" s="30" t="s">
        <v>16</v>
      </c>
      <c r="AA34" s="30">
        <v>6</v>
      </c>
      <c r="AB34" s="30">
        <v>3000</v>
      </c>
      <c r="AC34" s="30">
        <v>30000</v>
      </c>
      <c r="AD34" s="30">
        <v>30000</v>
      </c>
      <c r="AE34" s="30">
        <v>30000</v>
      </c>
      <c r="AF34" s="30">
        <v>30000</v>
      </c>
      <c r="AG34" s="30">
        <v>100</v>
      </c>
      <c r="AH34" s="30">
        <v>6</v>
      </c>
      <c r="AI34" s="30">
        <v>5070</v>
      </c>
      <c r="AJ34" s="30">
        <v>5070</v>
      </c>
      <c r="AK34" s="30">
        <v>120</v>
      </c>
      <c r="AL34" s="30">
        <v>120</v>
      </c>
      <c r="AM34" s="30">
        <v>12500</v>
      </c>
      <c r="AN34" s="30">
        <v>12500</v>
      </c>
      <c r="AO34" s="30">
        <v>20</v>
      </c>
      <c r="AP34" s="30">
        <v>20</v>
      </c>
      <c r="AQ34" s="30">
        <v>20</v>
      </c>
      <c r="AR34" s="30">
        <v>18</v>
      </c>
      <c r="AS34" s="30">
        <v>18</v>
      </c>
      <c r="AT34" s="30">
        <v>18</v>
      </c>
      <c r="AU34" s="30">
        <v>12</v>
      </c>
      <c r="AV34" s="30">
        <v>14</v>
      </c>
      <c r="AW34" s="30">
        <v>30</v>
      </c>
      <c r="AX34" s="30">
        <v>14</v>
      </c>
      <c r="AY34" s="30">
        <v>14</v>
      </c>
      <c r="AZ34" s="30">
        <v>14</v>
      </c>
      <c r="BA34" s="30">
        <v>14</v>
      </c>
      <c r="BB34" s="30">
        <v>100</v>
      </c>
      <c r="BC34" s="30">
        <v>4000</v>
      </c>
      <c r="BD34" s="30">
        <v>4000</v>
      </c>
      <c r="BE34" s="30">
        <v>4000</v>
      </c>
      <c r="BF34" s="30">
        <v>4000</v>
      </c>
      <c r="BG34" s="30">
        <v>3000</v>
      </c>
      <c r="BH34" s="30">
        <v>25000</v>
      </c>
      <c r="BI34" s="30" t="s">
        <v>16</v>
      </c>
      <c r="BJ34" s="30">
        <v>360</v>
      </c>
      <c r="BK34" s="30">
        <v>140</v>
      </c>
      <c r="BL34" s="30">
        <v>180000</v>
      </c>
      <c r="BM34" s="30">
        <v>30</v>
      </c>
      <c r="BN34" s="30">
        <v>90</v>
      </c>
      <c r="BO34" s="30">
        <v>18</v>
      </c>
      <c r="BP34" s="30">
        <v>10</v>
      </c>
      <c r="BQ34" s="30">
        <v>6</v>
      </c>
      <c r="BR34" s="30">
        <v>10</v>
      </c>
      <c r="BS34" s="30">
        <v>8</v>
      </c>
      <c r="BT34" s="30">
        <v>6</v>
      </c>
      <c r="BU34" s="30">
        <v>6</v>
      </c>
      <c r="BV34" s="30">
        <v>120</v>
      </c>
      <c r="BW34" s="30">
        <v>150</v>
      </c>
      <c r="BX34" s="30">
        <v>30</v>
      </c>
      <c r="BY34" s="30">
        <v>60</v>
      </c>
      <c r="BZ34" s="30">
        <v>50</v>
      </c>
    </row>
    <row r="35" spans="3:78" x14ac:dyDescent="0.15">
      <c r="C35" s="20">
        <v>7</v>
      </c>
      <c r="D35" s="30">
        <v>80</v>
      </c>
      <c r="E35" s="30">
        <v>35</v>
      </c>
      <c r="F35" s="30">
        <v>7</v>
      </c>
      <c r="G35" s="30">
        <v>35</v>
      </c>
      <c r="H35" s="30">
        <v>5000</v>
      </c>
      <c r="I35" s="30">
        <v>340000</v>
      </c>
      <c r="J35" s="30">
        <v>500000</v>
      </c>
      <c r="K35" s="30">
        <v>500000</v>
      </c>
      <c r="L35" s="30">
        <v>500000</v>
      </c>
      <c r="M35" s="30">
        <v>500000</v>
      </c>
      <c r="N35" s="30">
        <v>50000000</v>
      </c>
      <c r="O35" s="30" t="s">
        <v>301</v>
      </c>
      <c r="P35" s="30">
        <v>20</v>
      </c>
      <c r="Q35" s="30">
        <v>5000</v>
      </c>
      <c r="R35" s="30">
        <v>340000</v>
      </c>
      <c r="S35" s="30">
        <v>200000</v>
      </c>
      <c r="T35" s="30">
        <v>200000</v>
      </c>
      <c r="U35" s="30">
        <v>200000</v>
      </c>
      <c r="V35" s="30">
        <v>200000</v>
      </c>
      <c r="W35" s="30">
        <v>50000000</v>
      </c>
      <c r="X35" s="30" t="s">
        <v>302</v>
      </c>
      <c r="Y35" s="30">
        <v>70</v>
      </c>
      <c r="Z35" s="30" t="s">
        <v>16</v>
      </c>
      <c r="AA35" s="30">
        <v>7</v>
      </c>
      <c r="AB35" s="30">
        <v>5000</v>
      </c>
      <c r="AC35" s="30">
        <v>50000</v>
      </c>
      <c r="AD35" s="30">
        <v>50000</v>
      </c>
      <c r="AE35" s="30">
        <v>50000</v>
      </c>
      <c r="AF35" s="30">
        <v>50000</v>
      </c>
      <c r="AG35" s="30">
        <v>200</v>
      </c>
      <c r="AH35" s="30">
        <v>8</v>
      </c>
      <c r="AI35" s="30">
        <v>7610</v>
      </c>
      <c r="AJ35" s="30">
        <v>7610</v>
      </c>
      <c r="AK35" s="30">
        <v>180</v>
      </c>
      <c r="AL35" s="30">
        <v>180</v>
      </c>
      <c r="AM35" s="30">
        <v>17500</v>
      </c>
      <c r="AN35" s="30">
        <v>17500</v>
      </c>
      <c r="AO35" s="30">
        <v>30</v>
      </c>
      <c r="AP35" s="30">
        <v>30</v>
      </c>
      <c r="AQ35" s="30">
        <v>30</v>
      </c>
      <c r="AR35" s="30">
        <v>25</v>
      </c>
      <c r="AS35" s="30">
        <v>25</v>
      </c>
      <c r="AT35" s="30">
        <v>25</v>
      </c>
      <c r="AU35" s="30">
        <v>16</v>
      </c>
      <c r="AV35" s="30">
        <v>20</v>
      </c>
      <c r="AW35" s="30">
        <v>50</v>
      </c>
      <c r="AX35" s="30">
        <v>20</v>
      </c>
      <c r="AY35" s="30">
        <v>20</v>
      </c>
      <c r="AZ35" s="30">
        <v>20</v>
      </c>
      <c r="BA35" s="30">
        <v>20</v>
      </c>
      <c r="BB35" s="30">
        <v>140</v>
      </c>
      <c r="BC35" s="30">
        <v>6000</v>
      </c>
      <c r="BD35" s="30">
        <v>6000</v>
      </c>
      <c r="BE35" s="30">
        <v>6000</v>
      </c>
      <c r="BF35" s="30">
        <v>6000</v>
      </c>
      <c r="BG35" s="30">
        <v>4500</v>
      </c>
      <c r="BH35" s="30">
        <v>35000</v>
      </c>
      <c r="BI35" s="30" t="s">
        <v>16</v>
      </c>
      <c r="BJ35" s="30">
        <v>380</v>
      </c>
      <c r="BK35" s="30">
        <v>160</v>
      </c>
      <c r="BL35" s="30">
        <v>260000</v>
      </c>
      <c r="BM35" s="30">
        <v>35</v>
      </c>
      <c r="BN35" s="30">
        <v>120</v>
      </c>
      <c r="BO35" s="30">
        <v>24</v>
      </c>
      <c r="BP35" s="30">
        <v>15</v>
      </c>
      <c r="BQ35" s="30">
        <v>7</v>
      </c>
      <c r="BR35" s="30">
        <v>12</v>
      </c>
      <c r="BS35" s="30">
        <v>10</v>
      </c>
      <c r="BT35" s="30">
        <v>7</v>
      </c>
      <c r="BU35" s="30">
        <v>7</v>
      </c>
      <c r="BV35" s="30">
        <v>180</v>
      </c>
      <c r="BW35" s="30">
        <v>250</v>
      </c>
      <c r="BX35" s="30">
        <v>35</v>
      </c>
      <c r="BY35" s="30">
        <v>70</v>
      </c>
      <c r="BZ35" s="30">
        <v>70</v>
      </c>
    </row>
    <row r="36" spans="3:78" x14ac:dyDescent="0.15">
      <c r="C36" s="20">
        <v>8</v>
      </c>
      <c r="D36" s="30">
        <v>120</v>
      </c>
      <c r="E36" s="30">
        <v>40</v>
      </c>
      <c r="F36" s="30">
        <v>8</v>
      </c>
      <c r="G36" s="30">
        <v>40</v>
      </c>
      <c r="H36" s="30">
        <v>10000</v>
      </c>
      <c r="I36" s="30">
        <v>550000</v>
      </c>
      <c r="J36" s="30">
        <v>1000000</v>
      </c>
      <c r="K36" s="30">
        <v>1000000</v>
      </c>
      <c r="L36" s="30">
        <v>1000000</v>
      </c>
      <c r="M36" s="30">
        <v>1000000</v>
      </c>
      <c r="N36" s="30">
        <v>100000000</v>
      </c>
      <c r="O36" s="30" t="s">
        <v>303</v>
      </c>
      <c r="P36" s="30">
        <v>10</v>
      </c>
      <c r="Q36" s="30">
        <v>10000</v>
      </c>
      <c r="R36" s="30">
        <v>550000</v>
      </c>
      <c r="S36" s="30">
        <v>500000</v>
      </c>
      <c r="T36" s="30">
        <v>500000</v>
      </c>
      <c r="U36" s="30">
        <v>500000</v>
      </c>
      <c r="V36" s="30">
        <v>500000</v>
      </c>
      <c r="W36" s="30">
        <v>100000000</v>
      </c>
      <c r="X36" s="30" t="s">
        <v>304</v>
      </c>
      <c r="Y36" s="30">
        <v>90</v>
      </c>
      <c r="Z36" s="30" t="s">
        <v>16</v>
      </c>
      <c r="AA36" s="30">
        <v>8</v>
      </c>
      <c r="AB36" s="30">
        <v>8000</v>
      </c>
      <c r="AC36" s="30">
        <v>80000</v>
      </c>
      <c r="AD36" s="30">
        <v>80000</v>
      </c>
      <c r="AE36" s="30">
        <v>80000</v>
      </c>
      <c r="AF36" s="30">
        <v>80000</v>
      </c>
      <c r="AG36" s="30">
        <v>500</v>
      </c>
      <c r="AH36" s="30">
        <v>10</v>
      </c>
      <c r="AI36" s="30">
        <v>11420</v>
      </c>
      <c r="AJ36" s="30">
        <v>11420</v>
      </c>
      <c r="AK36" s="30">
        <v>270</v>
      </c>
      <c r="AL36" s="30">
        <v>270</v>
      </c>
      <c r="AM36" s="30">
        <v>24500</v>
      </c>
      <c r="AN36" s="30">
        <v>24500</v>
      </c>
      <c r="AO36" s="30">
        <v>40</v>
      </c>
      <c r="AP36" s="30">
        <v>40</v>
      </c>
      <c r="AQ36" s="30">
        <v>40</v>
      </c>
      <c r="AR36" s="30">
        <v>40</v>
      </c>
      <c r="AS36" s="30">
        <v>40</v>
      </c>
      <c r="AT36" s="30">
        <v>40</v>
      </c>
      <c r="AU36" s="30">
        <v>20</v>
      </c>
      <c r="AV36" s="30">
        <v>30</v>
      </c>
      <c r="AW36" s="30">
        <v>80</v>
      </c>
      <c r="AX36" s="30">
        <v>30</v>
      </c>
      <c r="AY36" s="30">
        <v>30</v>
      </c>
      <c r="AZ36" s="30">
        <v>30</v>
      </c>
      <c r="BA36" s="30">
        <v>30</v>
      </c>
      <c r="BB36" s="30">
        <v>200</v>
      </c>
      <c r="BC36" s="30">
        <v>8000</v>
      </c>
      <c r="BD36" s="30">
        <v>8000</v>
      </c>
      <c r="BE36" s="30">
        <v>8000</v>
      </c>
      <c r="BF36" s="30">
        <v>8000</v>
      </c>
      <c r="BG36" s="30">
        <v>6500</v>
      </c>
      <c r="BH36" s="30">
        <v>47500</v>
      </c>
      <c r="BI36" s="30" t="s">
        <v>16</v>
      </c>
      <c r="BJ36" s="30">
        <v>420</v>
      </c>
      <c r="BK36" s="30">
        <v>160</v>
      </c>
      <c r="BL36" s="30">
        <v>360000</v>
      </c>
      <c r="BM36" s="30">
        <v>40</v>
      </c>
      <c r="BN36" s="30">
        <v>150</v>
      </c>
      <c r="BO36" s="30">
        <v>30</v>
      </c>
      <c r="BP36" s="30">
        <v>18</v>
      </c>
      <c r="BQ36" s="30">
        <v>8</v>
      </c>
      <c r="BR36" s="30">
        <v>14</v>
      </c>
      <c r="BS36" s="30">
        <v>12</v>
      </c>
      <c r="BT36" s="30">
        <v>8</v>
      </c>
      <c r="BU36" s="30" t="s">
        <v>16</v>
      </c>
      <c r="BV36" s="30">
        <v>270</v>
      </c>
      <c r="BW36" s="30">
        <v>400</v>
      </c>
      <c r="BX36" s="30">
        <v>40</v>
      </c>
      <c r="BY36" s="30">
        <v>80</v>
      </c>
      <c r="BZ36" s="30">
        <v>90</v>
      </c>
    </row>
    <row r="37" spans="3:78" x14ac:dyDescent="0.15">
      <c r="C37" s="20">
        <v>9</v>
      </c>
      <c r="D37" s="30">
        <v>200</v>
      </c>
      <c r="E37" s="30">
        <v>45</v>
      </c>
      <c r="F37" s="30">
        <v>9</v>
      </c>
      <c r="G37" s="30">
        <v>45</v>
      </c>
      <c r="H37" s="30">
        <v>20000</v>
      </c>
      <c r="I37" s="30">
        <v>890000</v>
      </c>
      <c r="J37" s="30">
        <v>2000000</v>
      </c>
      <c r="K37" s="30">
        <v>2000000</v>
      </c>
      <c r="L37" s="30">
        <v>2000000</v>
      </c>
      <c r="M37" s="30">
        <v>2000000</v>
      </c>
      <c r="N37" s="30">
        <v>200000000</v>
      </c>
      <c r="O37" s="30" t="s">
        <v>305</v>
      </c>
      <c r="P37" s="30">
        <v>5</v>
      </c>
      <c r="Q37" s="30">
        <v>20000</v>
      </c>
      <c r="R37" s="30">
        <v>890000</v>
      </c>
      <c r="S37" s="30">
        <v>1000000</v>
      </c>
      <c r="T37" s="30">
        <v>1000000</v>
      </c>
      <c r="U37" s="30">
        <v>1000000</v>
      </c>
      <c r="V37" s="30">
        <v>1000000</v>
      </c>
      <c r="W37" s="30">
        <v>200000000</v>
      </c>
      <c r="X37" s="30" t="s">
        <v>306</v>
      </c>
      <c r="Y37" s="30">
        <v>120</v>
      </c>
      <c r="Z37" s="30" t="s">
        <v>16</v>
      </c>
      <c r="AA37" s="30">
        <v>9</v>
      </c>
      <c r="AB37" s="30">
        <v>13000</v>
      </c>
      <c r="AC37" s="30">
        <v>130000</v>
      </c>
      <c r="AD37" s="30">
        <v>130000</v>
      </c>
      <c r="AE37" s="30">
        <v>130000</v>
      </c>
      <c r="AF37" s="30">
        <v>130000</v>
      </c>
      <c r="AG37" s="30">
        <v>1000</v>
      </c>
      <c r="AH37" s="30">
        <v>12</v>
      </c>
      <c r="AI37" s="30">
        <v>17130</v>
      </c>
      <c r="AJ37" s="30">
        <v>17130</v>
      </c>
      <c r="AK37" s="30">
        <v>410</v>
      </c>
      <c r="AL37" s="30">
        <v>410</v>
      </c>
      <c r="AM37" s="30">
        <v>37500</v>
      </c>
      <c r="AN37" s="30">
        <v>37500</v>
      </c>
      <c r="AO37" s="30">
        <v>50</v>
      </c>
      <c r="AP37" s="30">
        <v>50</v>
      </c>
      <c r="AQ37" s="30">
        <v>50</v>
      </c>
      <c r="AR37" s="30">
        <v>55</v>
      </c>
      <c r="AS37" s="30">
        <v>55</v>
      </c>
      <c r="AT37" s="30">
        <v>55</v>
      </c>
      <c r="AU37" s="30">
        <v>25</v>
      </c>
      <c r="AV37" s="30">
        <v>40</v>
      </c>
      <c r="AW37" s="30">
        <v>120</v>
      </c>
      <c r="AX37" s="30">
        <v>40</v>
      </c>
      <c r="AY37" s="30">
        <v>40</v>
      </c>
      <c r="AZ37" s="30">
        <v>40</v>
      </c>
      <c r="BA37" s="30">
        <v>40</v>
      </c>
      <c r="BB37" s="30">
        <v>280</v>
      </c>
      <c r="BC37" s="30">
        <v>12000</v>
      </c>
      <c r="BD37" s="30">
        <v>12000</v>
      </c>
      <c r="BE37" s="30">
        <v>12000</v>
      </c>
      <c r="BF37" s="30">
        <v>12000</v>
      </c>
      <c r="BG37" s="30">
        <v>6500</v>
      </c>
      <c r="BH37" s="30">
        <v>57500</v>
      </c>
      <c r="BI37" s="30" t="s">
        <v>16</v>
      </c>
      <c r="BJ37" s="30">
        <v>480</v>
      </c>
      <c r="BK37" s="30">
        <v>160</v>
      </c>
      <c r="BL37" s="30">
        <v>460000</v>
      </c>
      <c r="BM37" s="30">
        <v>45</v>
      </c>
      <c r="BN37" s="30">
        <v>200</v>
      </c>
      <c r="BO37" s="30">
        <v>40</v>
      </c>
      <c r="BP37" s="30">
        <v>25</v>
      </c>
      <c r="BQ37" s="30">
        <v>9</v>
      </c>
      <c r="BR37" s="30" t="s">
        <v>16</v>
      </c>
      <c r="BS37" s="30">
        <v>14</v>
      </c>
      <c r="BT37" s="30">
        <v>10</v>
      </c>
      <c r="BU37" s="30" t="s">
        <v>16</v>
      </c>
      <c r="BV37" s="30">
        <v>410</v>
      </c>
      <c r="BW37" s="30">
        <v>600</v>
      </c>
      <c r="BX37" s="30">
        <v>45</v>
      </c>
      <c r="BY37" s="30">
        <v>90</v>
      </c>
      <c r="BZ37" s="30">
        <v>120</v>
      </c>
    </row>
    <row r="38" spans="3:78" x14ac:dyDescent="0.15">
      <c r="C38" s="20">
        <v>10</v>
      </c>
      <c r="D38" s="30">
        <v>300</v>
      </c>
      <c r="E38" s="30">
        <v>50</v>
      </c>
      <c r="F38" s="30">
        <v>10</v>
      </c>
      <c r="G38" s="30">
        <v>50</v>
      </c>
      <c r="H38" s="30">
        <v>30000</v>
      </c>
      <c r="I38" s="30">
        <v>1440000</v>
      </c>
      <c r="J38" s="30">
        <v>5000000</v>
      </c>
      <c r="K38" s="30">
        <v>5000000</v>
      </c>
      <c r="L38" s="30">
        <v>5000000</v>
      </c>
      <c r="M38" s="30">
        <v>5000000</v>
      </c>
      <c r="N38" s="30">
        <v>500000000</v>
      </c>
      <c r="O38" s="30" t="s">
        <v>307</v>
      </c>
      <c r="P38" s="30">
        <v>4</v>
      </c>
      <c r="Q38" s="30">
        <v>30000</v>
      </c>
      <c r="R38" s="30">
        <v>1440000</v>
      </c>
      <c r="S38" s="30">
        <v>2000000</v>
      </c>
      <c r="T38" s="30">
        <v>2000000</v>
      </c>
      <c r="U38" s="30">
        <v>2000000</v>
      </c>
      <c r="V38" s="30">
        <v>2000000</v>
      </c>
      <c r="W38" s="30">
        <v>500000000</v>
      </c>
      <c r="X38" s="30" t="s">
        <v>308</v>
      </c>
      <c r="Y38" s="30">
        <v>150</v>
      </c>
      <c r="Z38" s="30" t="s">
        <v>16</v>
      </c>
      <c r="AA38" s="30">
        <v>10</v>
      </c>
      <c r="AB38" s="30">
        <v>21000</v>
      </c>
      <c r="AC38" s="30">
        <v>210000</v>
      </c>
      <c r="AD38" s="30">
        <v>210000</v>
      </c>
      <c r="AE38" s="30">
        <v>210000</v>
      </c>
      <c r="AF38" s="30">
        <v>210000</v>
      </c>
      <c r="AG38" s="30">
        <v>2000</v>
      </c>
      <c r="AH38" s="30">
        <v>14</v>
      </c>
      <c r="AI38" s="30">
        <v>25700</v>
      </c>
      <c r="AJ38" s="30">
        <v>25700</v>
      </c>
      <c r="AK38" s="30">
        <v>620</v>
      </c>
      <c r="AL38" s="30">
        <v>620</v>
      </c>
      <c r="AM38" s="30">
        <v>52000</v>
      </c>
      <c r="AN38" s="30">
        <v>52000</v>
      </c>
      <c r="AO38" s="30">
        <v>80</v>
      </c>
      <c r="AP38" s="30">
        <v>80</v>
      </c>
      <c r="AQ38" s="30">
        <v>80</v>
      </c>
      <c r="AR38" s="30">
        <v>80</v>
      </c>
      <c r="AS38" s="30">
        <v>80</v>
      </c>
      <c r="AT38" s="30">
        <v>80</v>
      </c>
      <c r="AU38" s="30">
        <v>30</v>
      </c>
      <c r="AV38" s="30">
        <v>50</v>
      </c>
      <c r="AW38" s="30">
        <v>200</v>
      </c>
      <c r="AX38" s="30">
        <v>60</v>
      </c>
      <c r="AY38" s="30">
        <v>60</v>
      </c>
      <c r="AZ38" s="30">
        <v>60</v>
      </c>
      <c r="BA38" s="30">
        <v>60</v>
      </c>
      <c r="BB38" s="30">
        <v>400</v>
      </c>
      <c r="BC38" s="30">
        <v>16000</v>
      </c>
      <c r="BD38" s="30">
        <v>16000</v>
      </c>
      <c r="BE38" s="30">
        <v>16000</v>
      </c>
      <c r="BF38" s="30">
        <v>16000</v>
      </c>
      <c r="BG38" s="30">
        <v>6500</v>
      </c>
      <c r="BH38" s="30">
        <v>70000</v>
      </c>
      <c r="BI38" s="30" t="s">
        <v>16</v>
      </c>
      <c r="BJ38" s="30">
        <v>580</v>
      </c>
      <c r="BK38" s="30">
        <v>180</v>
      </c>
      <c r="BL38" s="30">
        <v>620000</v>
      </c>
      <c r="BM38" s="30">
        <v>50</v>
      </c>
      <c r="BN38" s="30">
        <v>300</v>
      </c>
      <c r="BO38" s="30">
        <v>60</v>
      </c>
      <c r="BP38" s="30">
        <v>30</v>
      </c>
      <c r="BQ38" s="30">
        <v>10</v>
      </c>
      <c r="BR38" s="30" t="s">
        <v>16</v>
      </c>
      <c r="BS38" s="30">
        <v>16</v>
      </c>
      <c r="BT38" s="30">
        <v>12</v>
      </c>
      <c r="BU38" s="30" t="s">
        <v>16</v>
      </c>
      <c r="BV38" s="30">
        <v>620</v>
      </c>
      <c r="BW38" s="30">
        <v>900</v>
      </c>
      <c r="BX38" s="30">
        <v>50</v>
      </c>
      <c r="BY38" s="30">
        <v>100</v>
      </c>
      <c r="BZ38" s="30">
        <v>150</v>
      </c>
    </row>
    <row r="39" spans="3:78" x14ac:dyDescent="0.15">
      <c r="C39" s="20">
        <v>11</v>
      </c>
      <c r="D39" s="30">
        <v>500</v>
      </c>
      <c r="E39" s="30">
        <v>55</v>
      </c>
      <c r="F39" s="30">
        <v>11</v>
      </c>
      <c r="G39" s="30" t="s">
        <v>16</v>
      </c>
      <c r="H39" s="30">
        <v>40000</v>
      </c>
      <c r="I39" s="30">
        <v>2330000</v>
      </c>
      <c r="J39" s="30">
        <v>10000000</v>
      </c>
      <c r="K39" s="30">
        <v>10000000</v>
      </c>
      <c r="L39" s="30">
        <v>10000000</v>
      </c>
      <c r="M39" s="30">
        <v>10000000</v>
      </c>
      <c r="N39" s="30">
        <v>1000000000</v>
      </c>
      <c r="O39" s="30" t="s">
        <v>309</v>
      </c>
      <c r="P39" s="30">
        <v>3</v>
      </c>
      <c r="Q39" s="30">
        <v>40000</v>
      </c>
      <c r="R39" s="30">
        <v>2330000</v>
      </c>
      <c r="S39" s="30">
        <v>5000000</v>
      </c>
      <c r="T39" s="30">
        <v>5000000</v>
      </c>
      <c r="U39" s="30">
        <v>5000000</v>
      </c>
      <c r="V39" s="30">
        <v>5000000</v>
      </c>
      <c r="W39" s="30">
        <v>1000000000</v>
      </c>
      <c r="X39" s="30" t="s">
        <v>310</v>
      </c>
      <c r="Y39" s="30">
        <v>200</v>
      </c>
      <c r="Z39" s="30" t="s">
        <v>16</v>
      </c>
      <c r="AA39" s="30">
        <v>11</v>
      </c>
      <c r="AB39" s="30">
        <v>34000</v>
      </c>
      <c r="AC39" s="30">
        <v>340000</v>
      </c>
      <c r="AD39" s="30">
        <v>340000</v>
      </c>
      <c r="AE39" s="30">
        <v>340000</v>
      </c>
      <c r="AF39" s="30">
        <v>340000</v>
      </c>
      <c r="AG39" s="30">
        <v>5000</v>
      </c>
      <c r="AH39" s="30">
        <v>16</v>
      </c>
      <c r="AI39" s="30">
        <v>38550</v>
      </c>
      <c r="AJ39" s="30">
        <v>38550</v>
      </c>
      <c r="AK39" s="30">
        <v>930</v>
      </c>
      <c r="AL39" s="30">
        <v>930</v>
      </c>
      <c r="AM39" s="30">
        <v>73000</v>
      </c>
      <c r="AN39" s="30">
        <v>73000</v>
      </c>
      <c r="AO39" s="30">
        <v>100</v>
      </c>
      <c r="AP39" s="30">
        <v>100</v>
      </c>
      <c r="AQ39" s="30">
        <v>100</v>
      </c>
      <c r="AR39" s="30">
        <v>100</v>
      </c>
      <c r="AS39" s="30">
        <v>100</v>
      </c>
      <c r="AT39" s="30">
        <v>100</v>
      </c>
      <c r="AU39" s="30">
        <v>40</v>
      </c>
      <c r="AV39" s="30">
        <v>60</v>
      </c>
      <c r="AW39" s="30">
        <v>320</v>
      </c>
      <c r="AX39" s="30">
        <v>75</v>
      </c>
      <c r="AY39" s="30">
        <v>75</v>
      </c>
      <c r="AZ39" s="30">
        <v>75</v>
      </c>
      <c r="BA39" s="30">
        <v>75</v>
      </c>
      <c r="BB39" s="30">
        <v>550</v>
      </c>
      <c r="BC39" s="30">
        <v>20000</v>
      </c>
      <c r="BD39" s="30">
        <v>20000</v>
      </c>
      <c r="BE39" s="30">
        <v>20000</v>
      </c>
      <c r="BF39" s="30">
        <v>20000</v>
      </c>
      <c r="BG39" s="30">
        <v>6000</v>
      </c>
      <c r="BH39" s="30">
        <v>85000</v>
      </c>
      <c r="BI39" s="30" t="s">
        <v>16</v>
      </c>
      <c r="BJ39" s="30">
        <v>660</v>
      </c>
      <c r="BK39" s="30">
        <v>180</v>
      </c>
      <c r="BL39" s="30">
        <v>800000</v>
      </c>
      <c r="BM39" s="30">
        <v>60</v>
      </c>
      <c r="BN39" s="30">
        <v>350</v>
      </c>
      <c r="BO39" s="30">
        <v>70</v>
      </c>
      <c r="BP39" s="30">
        <v>45</v>
      </c>
      <c r="BQ39" s="30">
        <v>11</v>
      </c>
      <c r="BR39" s="30" t="s">
        <v>16</v>
      </c>
      <c r="BS39" s="30">
        <v>18</v>
      </c>
      <c r="BT39" s="30">
        <v>14</v>
      </c>
      <c r="BU39" s="30" t="s">
        <v>16</v>
      </c>
      <c r="BV39" s="30">
        <v>930</v>
      </c>
      <c r="BW39" s="30">
        <v>1350</v>
      </c>
      <c r="BX39" s="30">
        <v>60</v>
      </c>
      <c r="BY39" s="30">
        <v>120</v>
      </c>
      <c r="BZ39" s="30">
        <v>190</v>
      </c>
    </row>
    <row r="40" spans="3:78" x14ac:dyDescent="0.15">
      <c r="C40" s="20">
        <v>12</v>
      </c>
      <c r="D40" s="30">
        <v>800</v>
      </c>
      <c r="E40" s="30">
        <v>60</v>
      </c>
      <c r="F40" s="30">
        <v>12</v>
      </c>
      <c r="G40" s="30" t="s">
        <v>16</v>
      </c>
      <c r="H40" s="30">
        <v>50000</v>
      </c>
      <c r="I40" s="30">
        <v>3770000</v>
      </c>
      <c r="J40" s="30">
        <v>20000000</v>
      </c>
      <c r="K40" s="30">
        <v>20000000</v>
      </c>
      <c r="L40" s="30">
        <v>20000000</v>
      </c>
      <c r="M40" s="30">
        <v>20000000</v>
      </c>
      <c r="N40" s="30">
        <v>2000000000</v>
      </c>
      <c r="O40" s="30" t="s">
        <v>311</v>
      </c>
      <c r="P40" s="30">
        <v>2</v>
      </c>
      <c r="Q40" s="30">
        <v>50000</v>
      </c>
      <c r="R40" s="30">
        <v>3770000</v>
      </c>
      <c r="S40" s="30">
        <v>10000000</v>
      </c>
      <c r="T40" s="30">
        <v>10000000</v>
      </c>
      <c r="U40" s="30">
        <v>10000000</v>
      </c>
      <c r="V40" s="30">
        <v>10000000</v>
      </c>
      <c r="W40" s="30">
        <v>2000000000</v>
      </c>
      <c r="X40" s="30" t="s">
        <v>312</v>
      </c>
      <c r="Y40" s="30">
        <v>250</v>
      </c>
      <c r="Z40" s="30" t="s">
        <v>16</v>
      </c>
      <c r="AA40" s="30">
        <v>12</v>
      </c>
      <c r="AB40" s="30">
        <v>55000</v>
      </c>
      <c r="AC40" s="30">
        <v>550000</v>
      </c>
      <c r="AD40" s="30">
        <v>550000</v>
      </c>
      <c r="AE40" s="30">
        <v>550000</v>
      </c>
      <c r="AF40" s="30">
        <v>550000</v>
      </c>
      <c r="AG40" s="30">
        <v>10000</v>
      </c>
      <c r="AH40" s="30" t="s">
        <v>16</v>
      </c>
      <c r="AI40" s="30">
        <v>57830</v>
      </c>
      <c r="AJ40" s="30">
        <v>57830</v>
      </c>
      <c r="AK40" s="30">
        <v>1400</v>
      </c>
      <c r="AL40" s="30">
        <v>1400</v>
      </c>
      <c r="AM40" s="30">
        <v>100000</v>
      </c>
      <c r="AN40" s="30">
        <v>100000</v>
      </c>
      <c r="AO40" s="30">
        <v>140</v>
      </c>
      <c r="AP40" s="30">
        <v>140</v>
      </c>
      <c r="AQ40" s="30">
        <v>140</v>
      </c>
      <c r="AR40" s="30">
        <v>160</v>
      </c>
      <c r="AS40" s="30">
        <v>160</v>
      </c>
      <c r="AT40" s="30">
        <v>160</v>
      </c>
      <c r="AU40" s="30">
        <v>60</v>
      </c>
      <c r="AV40" s="30">
        <v>70</v>
      </c>
      <c r="AW40" s="30">
        <v>520</v>
      </c>
      <c r="AX40" s="30">
        <v>100</v>
      </c>
      <c r="AY40" s="30">
        <v>100</v>
      </c>
      <c r="AZ40" s="30">
        <v>100</v>
      </c>
      <c r="BA40" s="30">
        <v>100</v>
      </c>
      <c r="BB40" s="30">
        <v>800</v>
      </c>
      <c r="BC40" s="30">
        <v>28000</v>
      </c>
      <c r="BD40" s="30">
        <v>28000</v>
      </c>
      <c r="BE40" s="30">
        <v>28000</v>
      </c>
      <c r="BF40" s="30">
        <v>28000</v>
      </c>
      <c r="BG40" s="30">
        <v>6000</v>
      </c>
      <c r="BH40" s="30">
        <v>110000</v>
      </c>
      <c r="BI40" s="30" t="s">
        <v>16</v>
      </c>
      <c r="BJ40" s="30">
        <v>720</v>
      </c>
      <c r="BK40" s="30">
        <v>220</v>
      </c>
      <c r="BL40" s="30">
        <v>1040000</v>
      </c>
      <c r="BM40" s="30">
        <v>70</v>
      </c>
      <c r="BN40" s="30">
        <v>500</v>
      </c>
      <c r="BO40" s="30">
        <v>100</v>
      </c>
      <c r="BP40" s="30">
        <v>55</v>
      </c>
      <c r="BQ40" s="30">
        <v>12</v>
      </c>
      <c r="BR40" s="30" t="s">
        <v>16</v>
      </c>
      <c r="BS40" s="30">
        <v>20</v>
      </c>
      <c r="BT40" s="30">
        <v>16</v>
      </c>
      <c r="BU40" s="30" t="s">
        <v>16</v>
      </c>
      <c r="BV40" s="30">
        <v>1400</v>
      </c>
      <c r="BW40" s="30">
        <v>2050</v>
      </c>
      <c r="BX40" s="30">
        <v>70</v>
      </c>
      <c r="BY40" s="30">
        <v>140</v>
      </c>
      <c r="BZ40" s="30">
        <v>240</v>
      </c>
    </row>
    <row r="41" spans="3:78" x14ac:dyDescent="0.15">
      <c r="C41" s="20">
        <v>13</v>
      </c>
      <c r="D41" s="30">
        <v>1300</v>
      </c>
      <c r="E41" s="30">
        <v>65</v>
      </c>
      <c r="F41" s="30">
        <v>13</v>
      </c>
      <c r="G41" s="30" t="s">
        <v>16</v>
      </c>
      <c r="H41" s="30">
        <v>60000</v>
      </c>
      <c r="I41" s="30">
        <v>6100000</v>
      </c>
      <c r="J41" s="30">
        <v>50000000</v>
      </c>
      <c r="K41" s="30">
        <v>50000000</v>
      </c>
      <c r="L41" s="30">
        <v>50000000</v>
      </c>
      <c r="M41" s="30">
        <v>50000000</v>
      </c>
      <c r="N41" s="30">
        <v>5000000000</v>
      </c>
      <c r="O41" s="30" t="s">
        <v>313</v>
      </c>
      <c r="P41" s="30">
        <v>1</v>
      </c>
      <c r="Q41" s="30">
        <v>60000</v>
      </c>
      <c r="R41" s="30">
        <v>6100000</v>
      </c>
      <c r="S41" s="30">
        <v>20000000</v>
      </c>
      <c r="T41" s="30">
        <v>20000000</v>
      </c>
      <c r="U41" s="30">
        <v>20000000</v>
      </c>
      <c r="V41" s="30">
        <v>20000000</v>
      </c>
      <c r="W41" s="30">
        <v>5000000000</v>
      </c>
      <c r="X41" s="30" t="s">
        <v>314</v>
      </c>
      <c r="Y41" s="30">
        <v>350</v>
      </c>
      <c r="Z41" s="30" t="s">
        <v>16</v>
      </c>
      <c r="AA41" s="30">
        <v>13</v>
      </c>
      <c r="AB41" s="30">
        <v>89000</v>
      </c>
      <c r="AC41" s="30">
        <v>890000</v>
      </c>
      <c r="AD41" s="30">
        <v>890000</v>
      </c>
      <c r="AE41" s="30">
        <v>890000</v>
      </c>
      <c r="AF41" s="30">
        <v>890000</v>
      </c>
      <c r="AG41" s="30" t="s">
        <v>16</v>
      </c>
      <c r="AH41" s="30" t="s">
        <v>16</v>
      </c>
      <c r="AI41" s="30">
        <v>86750</v>
      </c>
      <c r="AJ41" s="30">
        <v>86750</v>
      </c>
      <c r="AK41" s="30">
        <v>2100</v>
      </c>
      <c r="AL41" s="30">
        <v>2100</v>
      </c>
      <c r="AM41" s="30">
        <v>137500</v>
      </c>
      <c r="AN41" s="30">
        <v>137500</v>
      </c>
      <c r="AO41" s="30">
        <v>190</v>
      </c>
      <c r="AP41" s="30">
        <v>190</v>
      </c>
      <c r="AQ41" s="30">
        <v>190</v>
      </c>
      <c r="AR41" s="30">
        <v>220</v>
      </c>
      <c r="AS41" s="30">
        <v>220</v>
      </c>
      <c r="AT41" s="30">
        <v>220</v>
      </c>
      <c r="AU41" s="30">
        <v>80</v>
      </c>
      <c r="AV41" s="30">
        <v>80</v>
      </c>
      <c r="AW41" s="30">
        <v>840</v>
      </c>
      <c r="AX41" s="30">
        <v>140</v>
      </c>
      <c r="AY41" s="30">
        <v>140</v>
      </c>
      <c r="AZ41" s="30">
        <v>140</v>
      </c>
      <c r="BA41" s="30">
        <v>140</v>
      </c>
      <c r="BB41" s="30">
        <v>1150</v>
      </c>
      <c r="BC41" s="30">
        <v>38000</v>
      </c>
      <c r="BD41" s="30">
        <v>38000</v>
      </c>
      <c r="BE41" s="30">
        <v>38000</v>
      </c>
      <c r="BF41" s="30">
        <v>38000</v>
      </c>
      <c r="BG41" s="30">
        <v>6000</v>
      </c>
      <c r="BH41" s="30">
        <v>145000</v>
      </c>
      <c r="BI41" s="30" t="s">
        <v>16</v>
      </c>
      <c r="BJ41" s="30">
        <v>780</v>
      </c>
      <c r="BK41" s="30">
        <v>280</v>
      </c>
      <c r="BL41" s="30">
        <v>1350000</v>
      </c>
      <c r="BM41" s="30">
        <v>80</v>
      </c>
      <c r="BN41" s="30">
        <v>600</v>
      </c>
      <c r="BO41" s="30">
        <v>120</v>
      </c>
      <c r="BP41" s="30">
        <v>70</v>
      </c>
      <c r="BQ41" s="30">
        <v>13</v>
      </c>
      <c r="BR41" s="30" t="s">
        <v>16</v>
      </c>
      <c r="BS41" s="30">
        <v>22</v>
      </c>
      <c r="BT41" s="30">
        <v>18</v>
      </c>
      <c r="BU41" s="30" t="s">
        <v>16</v>
      </c>
      <c r="BV41" s="30">
        <v>2100</v>
      </c>
      <c r="BW41" s="30">
        <v>3100</v>
      </c>
      <c r="BX41" s="30">
        <v>80</v>
      </c>
      <c r="BY41" s="30">
        <v>160</v>
      </c>
      <c r="BZ41" s="30">
        <v>300</v>
      </c>
    </row>
    <row r="42" spans="3:78" x14ac:dyDescent="0.15">
      <c r="C42" s="20">
        <v>14</v>
      </c>
      <c r="D42" s="30">
        <v>2100</v>
      </c>
      <c r="E42" s="30">
        <v>70</v>
      </c>
      <c r="F42" s="30">
        <v>14</v>
      </c>
      <c r="G42" s="30" t="s">
        <v>16</v>
      </c>
      <c r="H42" s="30">
        <v>70000</v>
      </c>
      <c r="I42" s="30">
        <v>9870000</v>
      </c>
      <c r="J42" s="30">
        <v>100000000</v>
      </c>
      <c r="K42" s="30">
        <v>100000000</v>
      </c>
      <c r="L42" s="30">
        <v>100000000</v>
      </c>
      <c r="M42" s="30">
        <v>100000000</v>
      </c>
      <c r="N42" s="30">
        <v>10000000000</v>
      </c>
      <c r="O42" s="30" t="s">
        <v>315</v>
      </c>
      <c r="P42" s="30" t="s">
        <v>16</v>
      </c>
      <c r="Q42" s="30">
        <v>70000</v>
      </c>
      <c r="R42" s="30">
        <v>9870000</v>
      </c>
      <c r="S42" s="30">
        <v>50000000</v>
      </c>
      <c r="T42" s="30">
        <v>50000000</v>
      </c>
      <c r="U42" s="30">
        <v>50000000</v>
      </c>
      <c r="V42" s="30">
        <v>50000000</v>
      </c>
      <c r="W42" s="30">
        <v>10000000000</v>
      </c>
      <c r="X42" s="30" t="s">
        <v>316</v>
      </c>
      <c r="Y42" s="30">
        <v>450</v>
      </c>
      <c r="Z42" s="30" t="s">
        <v>16</v>
      </c>
      <c r="AA42" s="30">
        <v>14</v>
      </c>
      <c r="AB42" s="30">
        <v>144000</v>
      </c>
      <c r="AC42" s="30">
        <v>1440000</v>
      </c>
      <c r="AD42" s="30">
        <v>1440000</v>
      </c>
      <c r="AE42" s="30">
        <v>1440000</v>
      </c>
      <c r="AF42" s="30">
        <v>1440000</v>
      </c>
      <c r="AG42" s="30" t="s">
        <v>16</v>
      </c>
      <c r="AH42" s="30" t="s">
        <v>16</v>
      </c>
      <c r="AI42" s="30">
        <v>130130</v>
      </c>
      <c r="AJ42" s="30">
        <v>130130</v>
      </c>
      <c r="AK42" s="30" t="s">
        <v>16</v>
      </c>
      <c r="AL42" s="30">
        <v>3150</v>
      </c>
      <c r="AM42" s="30">
        <v>185500</v>
      </c>
      <c r="AN42" s="30">
        <v>185500</v>
      </c>
      <c r="AO42" s="30">
        <v>250</v>
      </c>
      <c r="AP42" s="30">
        <v>250</v>
      </c>
      <c r="AQ42" s="30">
        <v>250</v>
      </c>
      <c r="AR42" s="30">
        <v>300</v>
      </c>
      <c r="AS42" s="30">
        <v>300</v>
      </c>
      <c r="AT42" s="30">
        <v>300</v>
      </c>
      <c r="AU42" s="30">
        <v>120</v>
      </c>
      <c r="AV42" s="30">
        <v>100</v>
      </c>
      <c r="AW42" s="30">
        <v>1360</v>
      </c>
      <c r="AX42" s="30">
        <v>200</v>
      </c>
      <c r="AY42" s="30">
        <v>200</v>
      </c>
      <c r="AZ42" s="30">
        <v>200</v>
      </c>
      <c r="BA42" s="30">
        <v>200</v>
      </c>
      <c r="BB42" s="30" t="s">
        <v>16</v>
      </c>
      <c r="BC42" s="30">
        <v>46000</v>
      </c>
      <c r="BD42" s="30">
        <v>46000</v>
      </c>
      <c r="BE42" s="30">
        <v>46000</v>
      </c>
      <c r="BF42" s="30">
        <v>46000</v>
      </c>
      <c r="BG42" s="30">
        <v>6000</v>
      </c>
      <c r="BH42" s="30">
        <v>177500</v>
      </c>
      <c r="BI42" s="30" t="s">
        <v>16</v>
      </c>
      <c r="BJ42" s="30">
        <v>860</v>
      </c>
      <c r="BK42" s="30">
        <v>280</v>
      </c>
      <c r="BL42" s="30">
        <v>1750000</v>
      </c>
      <c r="BM42" s="30">
        <v>90</v>
      </c>
      <c r="BN42" s="30">
        <v>850</v>
      </c>
      <c r="BO42" s="30">
        <v>170</v>
      </c>
      <c r="BP42" s="30">
        <v>90</v>
      </c>
      <c r="BQ42" s="30">
        <v>14</v>
      </c>
      <c r="BR42" s="30" t="s">
        <v>16</v>
      </c>
      <c r="BS42" s="30">
        <v>24</v>
      </c>
      <c r="BT42" s="30">
        <v>20</v>
      </c>
      <c r="BU42" s="30" t="s">
        <v>16</v>
      </c>
      <c r="BV42" s="30" t="s">
        <v>16</v>
      </c>
      <c r="BW42" s="30">
        <v>4650</v>
      </c>
      <c r="BX42" s="30">
        <v>90</v>
      </c>
      <c r="BY42" s="30">
        <v>180</v>
      </c>
      <c r="BZ42" s="30">
        <v>380</v>
      </c>
    </row>
    <row r="43" spans="3:78" x14ac:dyDescent="0.15">
      <c r="C43" s="20">
        <v>15</v>
      </c>
      <c r="D43" s="30">
        <v>3400</v>
      </c>
      <c r="E43" s="30">
        <v>75</v>
      </c>
      <c r="F43" s="30">
        <v>15</v>
      </c>
      <c r="G43" s="30" t="s">
        <v>16</v>
      </c>
      <c r="H43" s="30">
        <v>80000</v>
      </c>
      <c r="I43" s="30">
        <v>15970000</v>
      </c>
      <c r="J43" s="30">
        <v>200000000</v>
      </c>
      <c r="K43" s="30">
        <v>200000000</v>
      </c>
      <c r="L43" s="30">
        <v>200000000</v>
      </c>
      <c r="M43" s="30">
        <v>200000000</v>
      </c>
      <c r="N43" s="30">
        <v>20000000000</v>
      </c>
      <c r="O43" s="30" t="s">
        <v>317</v>
      </c>
      <c r="P43" s="30" t="s">
        <v>16</v>
      </c>
      <c r="Q43" s="30">
        <v>80000</v>
      </c>
      <c r="R43" s="30">
        <v>15970000</v>
      </c>
      <c r="S43" s="30">
        <v>100000000</v>
      </c>
      <c r="T43" s="30">
        <v>100000000</v>
      </c>
      <c r="U43" s="30">
        <v>100000000</v>
      </c>
      <c r="V43" s="30">
        <v>100000000</v>
      </c>
      <c r="W43" s="30">
        <v>20000000000</v>
      </c>
      <c r="X43" s="30" t="s">
        <v>318</v>
      </c>
      <c r="Y43" s="30">
        <v>600</v>
      </c>
      <c r="Z43" s="30" t="s">
        <v>16</v>
      </c>
      <c r="AA43" s="30">
        <v>15</v>
      </c>
      <c r="AB43" s="30">
        <v>233000</v>
      </c>
      <c r="AC43" s="30">
        <v>2330000</v>
      </c>
      <c r="AD43" s="30">
        <v>2330000</v>
      </c>
      <c r="AE43" s="30">
        <v>2330000</v>
      </c>
      <c r="AF43" s="30">
        <v>2330000</v>
      </c>
      <c r="AG43" s="30" t="s">
        <v>16</v>
      </c>
      <c r="AH43" s="30" t="s">
        <v>16</v>
      </c>
      <c r="AI43" s="30">
        <v>195200</v>
      </c>
      <c r="AJ43" s="30">
        <v>195200</v>
      </c>
      <c r="AK43" s="30" t="s">
        <v>16</v>
      </c>
      <c r="AL43" s="30">
        <v>4730</v>
      </c>
      <c r="AM43" s="30">
        <v>251500</v>
      </c>
      <c r="AN43" s="30">
        <v>251500</v>
      </c>
      <c r="AO43" s="30">
        <v>330</v>
      </c>
      <c r="AP43" s="30">
        <v>330</v>
      </c>
      <c r="AQ43" s="30">
        <v>330</v>
      </c>
      <c r="AR43" s="30">
        <v>400</v>
      </c>
      <c r="AS43" s="30">
        <v>400</v>
      </c>
      <c r="AT43" s="30">
        <v>400</v>
      </c>
      <c r="AU43" s="30">
        <v>180</v>
      </c>
      <c r="AV43" s="30">
        <v>120</v>
      </c>
      <c r="AW43" s="30">
        <v>2200</v>
      </c>
      <c r="AX43" s="30">
        <v>280</v>
      </c>
      <c r="AY43" s="30">
        <v>280</v>
      </c>
      <c r="AZ43" s="30">
        <v>280</v>
      </c>
      <c r="BA43" s="30">
        <v>280</v>
      </c>
      <c r="BB43" s="30" t="s">
        <v>16</v>
      </c>
      <c r="BC43" s="30">
        <v>56000</v>
      </c>
      <c r="BD43" s="30">
        <v>56000</v>
      </c>
      <c r="BE43" s="30">
        <v>56000</v>
      </c>
      <c r="BF43" s="30">
        <v>56000</v>
      </c>
      <c r="BG43" s="30">
        <v>6000</v>
      </c>
      <c r="BH43" s="30">
        <v>200000</v>
      </c>
      <c r="BI43" s="30" t="s">
        <v>16</v>
      </c>
      <c r="BJ43" s="30">
        <v>900</v>
      </c>
      <c r="BK43" s="30">
        <v>340</v>
      </c>
      <c r="BL43" s="30">
        <v>2250000</v>
      </c>
      <c r="BM43" s="30">
        <v>100</v>
      </c>
      <c r="BN43" s="30">
        <v>1100</v>
      </c>
      <c r="BO43" s="30">
        <v>220</v>
      </c>
      <c r="BP43" s="30">
        <v>115</v>
      </c>
      <c r="BQ43" s="30">
        <v>15</v>
      </c>
      <c r="BR43" s="30" t="s">
        <v>16</v>
      </c>
      <c r="BS43" s="30">
        <v>26</v>
      </c>
      <c r="BT43" s="30">
        <v>22</v>
      </c>
      <c r="BU43" s="30" t="s">
        <v>16</v>
      </c>
      <c r="BV43" s="30" t="s">
        <v>16</v>
      </c>
      <c r="BW43" s="30">
        <v>7000</v>
      </c>
      <c r="BX43" s="30">
        <v>100</v>
      </c>
      <c r="BY43" s="30">
        <v>200</v>
      </c>
      <c r="BZ43" s="30">
        <v>480</v>
      </c>
    </row>
    <row r="44" spans="3:78" x14ac:dyDescent="0.15">
      <c r="C44" s="20">
        <v>16</v>
      </c>
      <c r="D44" s="30">
        <v>5500</v>
      </c>
      <c r="E44" s="30">
        <v>80</v>
      </c>
      <c r="F44" s="30">
        <v>16</v>
      </c>
      <c r="G44" s="30" t="s">
        <v>16</v>
      </c>
      <c r="H44" s="30">
        <v>90000</v>
      </c>
      <c r="I44" s="30">
        <v>25840000</v>
      </c>
      <c r="J44" s="30">
        <v>500000000</v>
      </c>
      <c r="K44" s="30">
        <v>500000000</v>
      </c>
      <c r="L44" s="30">
        <v>500000000</v>
      </c>
      <c r="M44" s="30">
        <v>500000000</v>
      </c>
      <c r="N44" s="30" t="s">
        <v>16</v>
      </c>
      <c r="O44" s="30" t="s">
        <v>319</v>
      </c>
      <c r="P44" s="30" t="s">
        <v>16</v>
      </c>
      <c r="Q44" s="30">
        <v>90000</v>
      </c>
      <c r="R44" s="30">
        <v>25840000</v>
      </c>
      <c r="S44" s="30">
        <v>200000000</v>
      </c>
      <c r="T44" s="30">
        <v>200000000</v>
      </c>
      <c r="U44" s="30">
        <v>200000000</v>
      </c>
      <c r="V44" s="30">
        <v>200000000</v>
      </c>
      <c r="W44" s="30" t="s">
        <v>16</v>
      </c>
      <c r="X44" s="30" t="s">
        <v>320</v>
      </c>
      <c r="Y44" s="30">
        <v>750</v>
      </c>
      <c r="Z44" s="30" t="s">
        <v>16</v>
      </c>
      <c r="AA44" s="30">
        <v>16</v>
      </c>
      <c r="AB44" s="30">
        <v>377000</v>
      </c>
      <c r="AC44" s="30">
        <v>3770000</v>
      </c>
      <c r="AD44" s="30">
        <v>3770000</v>
      </c>
      <c r="AE44" s="30">
        <v>3770000</v>
      </c>
      <c r="AF44" s="30">
        <v>3770000</v>
      </c>
      <c r="AG44" s="30" t="s">
        <v>16</v>
      </c>
      <c r="AH44" s="30" t="s">
        <v>16</v>
      </c>
      <c r="AI44" s="30">
        <v>292800</v>
      </c>
      <c r="AJ44" s="30">
        <v>292800</v>
      </c>
      <c r="AK44" s="30" t="s">
        <v>16</v>
      </c>
      <c r="AL44" s="30">
        <v>7100</v>
      </c>
      <c r="AM44" s="30">
        <v>345500</v>
      </c>
      <c r="AN44" s="30">
        <v>345500</v>
      </c>
      <c r="AO44" s="30">
        <v>440</v>
      </c>
      <c r="AP44" s="30">
        <v>440</v>
      </c>
      <c r="AQ44" s="30">
        <v>440</v>
      </c>
      <c r="AR44" s="30">
        <v>600</v>
      </c>
      <c r="AS44" s="30">
        <v>600</v>
      </c>
      <c r="AT44" s="30">
        <v>600</v>
      </c>
      <c r="AU44" s="30">
        <v>250</v>
      </c>
      <c r="AV44" s="30">
        <v>140</v>
      </c>
      <c r="AW44" s="30">
        <v>3560</v>
      </c>
      <c r="AX44" s="30">
        <v>400</v>
      </c>
      <c r="AY44" s="30">
        <v>400</v>
      </c>
      <c r="AZ44" s="30">
        <v>400</v>
      </c>
      <c r="BA44" s="30">
        <v>400</v>
      </c>
      <c r="BB44" s="30" t="s">
        <v>16</v>
      </c>
      <c r="BC44" s="30">
        <v>68000</v>
      </c>
      <c r="BD44" s="30">
        <v>68000</v>
      </c>
      <c r="BE44" s="30">
        <v>68000</v>
      </c>
      <c r="BF44" s="30">
        <v>68000</v>
      </c>
      <c r="BG44" s="30">
        <v>6000</v>
      </c>
      <c r="BH44" s="30">
        <v>225000</v>
      </c>
      <c r="BI44" s="30" t="s">
        <v>16</v>
      </c>
      <c r="BJ44" s="30">
        <v>960</v>
      </c>
      <c r="BK44" s="30">
        <v>380</v>
      </c>
      <c r="BL44" s="30">
        <v>2950000</v>
      </c>
      <c r="BM44" s="30">
        <v>110</v>
      </c>
      <c r="BN44" s="30">
        <v>1400</v>
      </c>
      <c r="BO44" s="30">
        <v>280</v>
      </c>
      <c r="BP44" s="30">
        <v>150</v>
      </c>
      <c r="BQ44" s="30" t="s">
        <v>16</v>
      </c>
      <c r="BR44" s="30" t="s">
        <v>16</v>
      </c>
      <c r="BS44" s="30">
        <v>28</v>
      </c>
      <c r="BT44" s="30" t="s">
        <v>16</v>
      </c>
      <c r="BU44" s="30" t="s">
        <v>16</v>
      </c>
      <c r="BV44" s="30" t="s">
        <v>16</v>
      </c>
      <c r="BW44" s="30">
        <v>10500</v>
      </c>
      <c r="BX44" s="30">
        <v>110</v>
      </c>
      <c r="BY44" s="30">
        <v>220</v>
      </c>
      <c r="BZ44" s="30">
        <v>600</v>
      </c>
    </row>
    <row r="45" spans="3:78" x14ac:dyDescent="0.15">
      <c r="C45" s="20">
        <v>17</v>
      </c>
      <c r="D45" s="30">
        <v>8800</v>
      </c>
      <c r="E45" s="30">
        <v>85</v>
      </c>
      <c r="F45" s="30">
        <v>17</v>
      </c>
      <c r="G45" s="30" t="s">
        <v>16</v>
      </c>
      <c r="H45" s="30">
        <v>100000</v>
      </c>
      <c r="I45" s="30">
        <v>41810000</v>
      </c>
      <c r="J45" s="30">
        <v>1000000000</v>
      </c>
      <c r="K45" s="30">
        <v>1000000000</v>
      </c>
      <c r="L45" s="30">
        <v>1000000000</v>
      </c>
      <c r="M45" s="30">
        <v>1000000000</v>
      </c>
      <c r="N45" s="30" t="s">
        <v>16</v>
      </c>
      <c r="O45" s="30" t="s">
        <v>321</v>
      </c>
      <c r="P45" s="30" t="s">
        <v>16</v>
      </c>
      <c r="Q45" s="30">
        <v>100000</v>
      </c>
      <c r="R45" s="30">
        <v>41810000</v>
      </c>
      <c r="S45" s="30">
        <v>500000000</v>
      </c>
      <c r="T45" s="30">
        <v>500000000</v>
      </c>
      <c r="U45" s="30">
        <v>500000000</v>
      </c>
      <c r="V45" s="30">
        <v>500000000</v>
      </c>
      <c r="W45" s="30" t="s">
        <v>16</v>
      </c>
      <c r="X45" s="30" t="s">
        <v>322</v>
      </c>
      <c r="Y45" s="30">
        <v>950</v>
      </c>
      <c r="Z45" s="30" t="s">
        <v>16</v>
      </c>
      <c r="AA45" s="30">
        <v>17</v>
      </c>
      <c r="AB45" s="30">
        <v>610000</v>
      </c>
      <c r="AC45" s="30">
        <v>6100000</v>
      </c>
      <c r="AD45" s="30">
        <v>6100000</v>
      </c>
      <c r="AE45" s="30">
        <v>6100000</v>
      </c>
      <c r="AF45" s="30">
        <v>6100000</v>
      </c>
      <c r="AG45" s="30" t="s">
        <v>16</v>
      </c>
      <c r="AH45" s="30" t="s">
        <v>16</v>
      </c>
      <c r="AI45" s="30">
        <v>439200</v>
      </c>
      <c r="AJ45" s="30">
        <v>439200</v>
      </c>
      <c r="AK45" s="30" t="s">
        <v>16</v>
      </c>
      <c r="AL45" s="30" t="s">
        <v>16</v>
      </c>
      <c r="AM45" s="30">
        <v>478000</v>
      </c>
      <c r="AN45" s="30">
        <v>478000</v>
      </c>
      <c r="AO45" s="30">
        <v>580</v>
      </c>
      <c r="AP45" s="30">
        <v>580</v>
      </c>
      <c r="AQ45" s="30">
        <v>580</v>
      </c>
      <c r="AR45" s="30">
        <v>900</v>
      </c>
      <c r="AS45" s="30">
        <v>900</v>
      </c>
      <c r="AT45" s="30">
        <v>900</v>
      </c>
      <c r="AU45" s="30">
        <v>360</v>
      </c>
      <c r="AV45" s="30">
        <v>160</v>
      </c>
      <c r="AW45" s="30">
        <v>5760</v>
      </c>
      <c r="AX45" s="30">
        <v>550</v>
      </c>
      <c r="AY45" s="30">
        <v>550</v>
      </c>
      <c r="AZ45" s="30">
        <v>550</v>
      </c>
      <c r="BA45" s="30">
        <v>550</v>
      </c>
      <c r="BB45" s="30" t="s">
        <v>16</v>
      </c>
      <c r="BC45" s="30">
        <v>88000</v>
      </c>
      <c r="BD45" s="30">
        <v>88000</v>
      </c>
      <c r="BE45" s="30">
        <v>88000</v>
      </c>
      <c r="BF45" s="30">
        <v>88000</v>
      </c>
      <c r="BG45" s="30">
        <v>6000</v>
      </c>
      <c r="BH45" s="30">
        <v>285000</v>
      </c>
      <c r="BI45" s="30" t="s">
        <v>16</v>
      </c>
      <c r="BJ45" s="30">
        <v>1180</v>
      </c>
      <c r="BK45" s="30" t="s">
        <v>16</v>
      </c>
      <c r="BL45" s="30">
        <v>3900000</v>
      </c>
      <c r="BM45" s="30">
        <v>120</v>
      </c>
      <c r="BN45" s="30">
        <v>1800</v>
      </c>
      <c r="BO45" s="30">
        <v>360</v>
      </c>
      <c r="BP45" s="30" t="s">
        <v>16</v>
      </c>
      <c r="BQ45" s="30" t="s">
        <v>16</v>
      </c>
      <c r="BR45" s="30" t="s">
        <v>16</v>
      </c>
      <c r="BS45" s="30">
        <v>30</v>
      </c>
      <c r="BT45" s="30" t="s">
        <v>16</v>
      </c>
      <c r="BU45" s="30" t="s">
        <v>16</v>
      </c>
      <c r="BV45" s="30" t="s">
        <v>16</v>
      </c>
      <c r="BW45" s="30" t="s">
        <v>16</v>
      </c>
      <c r="BX45" s="30">
        <v>120</v>
      </c>
      <c r="BY45" s="30">
        <v>240</v>
      </c>
      <c r="BZ45" s="30">
        <v>750</v>
      </c>
    </row>
    <row r="46" spans="3:78" x14ac:dyDescent="0.15">
      <c r="C46" s="20">
        <v>18</v>
      </c>
      <c r="D46" s="30">
        <v>14200</v>
      </c>
      <c r="E46" s="30">
        <v>90</v>
      </c>
      <c r="F46" s="30">
        <v>18</v>
      </c>
      <c r="G46" s="30" t="s">
        <v>16</v>
      </c>
      <c r="H46" s="30">
        <v>110000</v>
      </c>
      <c r="I46" s="30">
        <v>67650000</v>
      </c>
      <c r="J46" s="30">
        <v>2000000000</v>
      </c>
      <c r="K46" s="30">
        <v>2000000000</v>
      </c>
      <c r="L46" s="30">
        <v>2000000000</v>
      </c>
      <c r="M46" s="30">
        <v>2000000000</v>
      </c>
      <c r="N46" s="30" t="s">
        <v>16</v>
      </c>
      <c r="O46" s="30" t="s">
        <v>323</v>
      </c>
      <c r="P46" s="30" t="s">
        <v>16</v>
      </c>
      <c r="Q46" s="30">
        <v>110000</v>
      </c>
      <c r="R46" s="30">
        <v>67650000</v>
      </c>
      <c r="S46" s="30">
        <v>1000000000</v>
      </c>
      <c r="T46" s="30">
        <v>1000000000</v>
      </c>
      <c r="U46" s="30">
        <v>1000000000</v>
      </c>
      <c r="V46" s="30">
        <v>1000000000</v>
      </c>
      <c r="W46" s="30" t="s">
        <v>16</v>
      </c>
      <c r="X46" s="30" t="s">
        <v>324</v>
      </c>
      <c r="Y46" s="30">
        <v>1200</v>
      </c>
      <c r="Z46" s="30" t="s">
        <v>16</v>
      </c>
      <c r="AA46" s="30">
        <v>18</v>
      </c>
      <c r="AB46" s="30">
        <v>987000</v>
      </c>
      <c r="AC46" s="30">
        <v>9870000</v>
      </c>
      <c r="AD46" s="30">
        <v>9870000</v>
      </c>
      <c r="AE46" s="30">
        <v>9870000</v>
      </c>
      <c r="AF46" s="30">
        <v>9870000</v>
      </c>
      <c r="AG46" s="30" t="s">
        <v>16</v>
      </c>
      <c r="AH46" s="30" t="s">
        <v>16</v>
      </c>
      <c r="AI46" s="30">
        <v>658800</v>
      </c>
      <c r="AJ46" s="30">
        <v>658800</v>
      </c>
      <c r="AK46" s="30" t="s">
        <v>16</v>
      </c>
      <c r="AL46" s="30" t="s">
        <v>16</v>
      </c>
      <c r="AM46" s="30">
        <v>665500</v>
      </c>
      <c r="AN46" s="30">
        <v>665500</v>
      </c>
      <c r="AO46" s="30">
        <v>770</v>
      </c>
      <c r="AP46" s="30">
        <v>770</v>
      </c>
      <c r="AQ46" s="30">
        <v>770</v>
      </c>
      <c r="AR46" s="30">
        <v>1300</v>
      </c>
      <c r="AS46" s="30">
        <v>1300</v>
      </c>
      <c r="AT46" s="30">
        <v>1300</v>
      </c>
      <c r="AU46" s="30">
        <v>510</v>
      </c>
      <c r="AV46" s="30">
        <v>180</v>
      </c>
      <c r="AW46" s="30">
        <v>9320</v>
      </c>
      <c r="AX46" s="30">
        <v>800</v>
      </c>
      <c r="AY46" s="30">
        <v>800</v>
      </c>
      <c r="AZ46" s="30">
        <v>800</v>
      </c>
      <c r="BA46" s="30">
        <v>800</v>
      </c>
      <c r="BB46" s="30" t="s">
        <v>16</v>
      </c>
      <c r="BC46" s="30">
        <v>116000</v>
      </c>
      <c r="BD46" s="30">
        <v>116000</v>
      </c>
      <c r="BE46" s="30">
        <v>116000</v>
      </c>
      <c r="BF46" s="30">
        <v>116000</v>
      </c>
      <c r="BG46" s="30">
        <v>6000</v>
      </c>
      <c r="BH46" s="30">
        <v>312500</v>
      </c>
      <c r="BI46" s="30" t="s">
        <v>16</v>
      </c>
      <c r="BJ46" s="30">
        <v>1260</v>
      </c>
      <c r="BK46" s="30" t="s">
        <v>16</v>
      </c>
      <c r="BL46" s="30">
        <v>5150000</v>
      </c>
      <c r="BM46" s="30">
        <v>130</v>
      </c>
      <c r="BN46" s="30">
        <v>2300</v>
      </c>
      <c r="BO46" s="30">
        <v>460</v>
      </c>
      <c r="BP46" s="30" t="s">
        <v>16</v>
      </c>
      <c r="BQ46" s="30" t="s">
        <v>16</v>
      </c>
      <c r="BR46" s="30" t="s">
        <v>16</v>
      </c>
      <c r="BS46" s="30" t="s">
        <v>16</v>
      </c>
      <c r="BT46" s="30" t="s">
        <v>16</v>
      </c>
      <c r="BU46" s="30" t="s">
        <v>16</v>
      </c>
      <c r="BV46" s="30" t="s">
        <v>16</v>
      </c>
      <c r="BW46" s="30" t="s">
        <v>16</v>
      </c>
      <c r="BX46" s="30">
        <v>130</v>
      </c>
      <c r="BY46" s="30">
        <v>260</v>
      </c>
      <c r="BZ46" s="30">
        <v>940</v>
      </c>
    </row>
    <row r="47" spans="3:78" x14ac:dyDescent="0.15">
      <c r="C47" s="20">
        <v>19</v>
      </c>
      <c r="D47" s="30" t="s">
        <v>16</v>
      </c>
      <c r="E47" s="30">
        <v>95</v>
      </c>
      <c r="F47" s="30">
        <v>19</v>
      </c>
      <c r="G47" s="30" t="s">
        <v>16</v>
      </c>
      <c r="H47" s="30">
        <v>120000</v>
      </c>
      <c r="I47" s="30">
        <v>109460000</v>
      </c>
      <c r="J47" s="30">
        <v>5000000000</v>
      </c>
      <c r="K47" s="30">
        <v>5000000000</v>
      </c>
      <c r="L47" s="30">
        <v>5000000000</v>
      </c>
      <c r="M47" s="30">
        <v>5000000000</v>
      </c>
      <c r="N47" s="30" t="s">
        <v>16</v>
      </c>
      <c r="O47" s="30" t="s">
        <v>325</v>
      </c>
      <c r="P47" s="30" t="s">
        <v>16</v>
      </c>
      <c r="Q47" s="30">
        <v>120000</v>
      </c>
      <c r="R47" s="30">
        <v>109460000</v>
      </c>
      <c r="S47" s="30">
        <v>2000000000</v>
      </c>
      <c r="T47" s="30">
        <v>2000000000</v>
      </c>
      <c r="U47" s="30">
        <v>2000000000</v>
      </c>
      <c r="V47" s="30">
        <v>2000000000</v>
      </c>
      <c r="W47" s="30" t="s">
        <v>16</v>
      </c>
      <c r="X47" s="30" t="s">
        <v>326</v>
      </c>
      <c r="Y47" s="30">
        <v>1500</v>
      </c>
      <c r="Z47" s="30" t="s">
        <v>16</v>
      </c>
      <c r="AA47" s="30" t="s">
        <v>16</v>
      </c>
      <c r="AB47" s="30">
        <v>1597000</v>
      </c>
      <c r="AC47" s="30">
        <v>15970000</v>
      </c>
      <c r="AD47" s="30">
        <v>15970000</v>
      </c>
      <c r="AE47" s="30">
        <v>15970000</v>
      </c>
      <c r="AF47" s="30">
        <v>15970000</v>
      </c>
      <c r="AG47" s="30" t="s">
        <v>16</v>
      </c>
      <c r="AH47" s="30" t="s">
        <v>16</v>
      </c>
      <c r="AI47" s="30">
        <v>988200</v>
      </c>
      <c r="AJ47" s="30">
        <v>988200</v>
      </c>
      <c r="AK47" s="30" t="s">
        <v>16</v>
      </c>
      <c r="AL47" s="30" t="s">
        <v>16</v>
      </c>
      <c r="AM47" s="30">
        <v>930500</v>
      </c>
      <c r="AN47" s="30">
        <v>930500</v>
      </c>
      <c r="AO47" s="30">
        <v>1020</v>
      </c>
      <c r="AP47" s="30">
        <v>1020</v>
      </c>
      <c r="AQ47" s="30">
        <v>1020</v>
      </c>
      <c r="AR47" s="30">
        <v>1900</v>
      </c>
      <c r="AS47" s="30">
        <v>1900</v>
      </c>
      <c r="AT47" s="30">
        <v>1900</v>
      </c>
      <c r="AU47" s="30">
        <v>720</v>
      </c>
      <c r="AV47" s="30">
        <v>200</v>
      </c>
      <c r="AW47" s="30">
        <v>15080</v>
      </c>
      <c r="AX47" s="30">
        <v>1150</v>
      </c>
      <c r="AY47" s="30">
        <v>1150</v>
      </c>
      <c r="AZ47" s="30">
        <v>1150</v>
      </c>
      <c r="BA47" s="30">
        <v>1150</v>
      </c>
      <c r="BB47" s="30" t="s">
        <v>16</v>
      </c>
      <c r="BC47" s="30">
        <v>142000</v>
      </c>
      <c r="BD47" s="30">
        <v>142000</v>
      </c>
      <c r="BE47" s="30">
        <v>142000</v>
      </c>
      <c r="BF47" s="30">
        <v>142000</v>
      </c>
      <c r="BG47" s="30">
        <v>6000</v>
      </c>
      <c r="BH47" s="30" t="s">
        <v>16</v>
      </c>
      <c r="BI47" s="30" t="s">
        <v>16</v>
      </c>
      <c r="BJ47" s="30">
        <v>1320</v>
      </c>
      <c r="BK47" s="30" t="s">
        <v>16</v>
      </c>
      <c r="BL47" s="30">
        <v>6850000</v>
      </c>
      <c r="BM47" s="30">
        <v>140</v>
      </c>
      <c r="BN47" s="30">
        <v>3000</v>
      </c>
      <c r="BO47" s="30">
        <v>600</v>
      </c>
      <c r="BP47" s="30" t="s">
        <v>16</v>
      </c>
      <c r="BQ47" s="30" t="s">
        <v>16</v>
      </c>
      <c r="BR47" s="30" t="s">
        <v>16</v>
      </c>
      <c r="BS47" s="30" t="s">
        <v>16</v>
      </c>
      <c r="BT47" s="30" t="s">
        <v>16</v>
      </c>
      <c r="BU47" s="30" t="s">
        <v>16</v>
      </c>
      <c r="BV47" s="30" t="s">
        <v>16</v>
      </c>
      <c r="BW47" s="30" t="s">
        <v>16</v>
      </c>
      <c r="BX47" s="30">
        <v>140</v>
      </c>
      <c r="BY47" s="30">
        <v>280</v>
      </c>
      <c r="BZ47" s="30">
        <v>1180</v>
      </c>
    </row>
    <row r="48" spans="3:78" x14ac:dyDescent="0.15">
      <c r="C48" s="20">
        <v>20</v>
      </c>
      <c r="D48" s="30" t="s">
        <v>16</v>
      </c>
      <c r="E48" s="30">
        <v>100</v>
      </c>
      <c r="F48" s="30">
        <v>20</v>
      </c>
      <c r="G48" s="30" t="s">
        <v>16</v>
      </c>
      <c r="H48" s="30">
        <v>130000</v>
      </c>
      <c r="I48" s="30">
        <v>177110000</v>
      </c>
      <c r="J48" s="30">
        <v>10000000000</v>
      </c>
      <c r="K48" s="30">
        <v>10000000000</v>
      </c>
      <c r="L48" s="30">
        <v>10000000000</v>
      </c>
      <c r="M48" s="30">
        <v>10000000000</v>
      </c>
      <c r="N48" s="30" t="s">
        <v>16</v>
      </c>
      <c r="O48" s="30" t="s">
        <v>327</v>
      </c>
      <c r="P48" s="30" t="s">
        <v>16</v>
      </c>
      <c r="Q48" s="30">
        <v>130000</v>
      </c>
      <c r="R48" s="30">
        <v>177110000</v>
      </c>
      <c r="S48" s="30">
        <v>5000000000</v>
      </c>
      <c r="T48" s="30">
        <v>5000000000</v>
      </c>
      <c r="U48" s="30">
        <v>5000000000</v>
      </c>
      <c r="V48" s="30">
        <v>5000000000</v>
      </c>
      <c r="W48" s="30" t="s">
        <v>16</v>
      </c>
      <c r="X48" s="30" t="s">
        <v>328</v>
      </c>
      <c r="Y48" s="30">
        <v>1900</v>
      </c>
      <c r="Z48" s="30" t="s">
        <v>16</v>
      </c>
      <c r="AA48" s="30" t="s">
        <v>16</v>
      </c>
      <c r="AB48" s="30">
        <v>2584000</v>
      </c>
      <c r="AC48" s="30">
        <v>25840000</v>
      </c>
      <c r="AD48" s="30">
        <v>25840000</v>
      </c>
      <c r="AE48" s="30">
        <v>25840000</v>
      </c>
      <c r="AF48" s="30">
        <v>25840000</v>
      </c>
      <c r="AG48" s="30" t="s">
        <v>16</v>
      </c>
      <c r="AH48" s="30" t="s">
        <v>16</v>
      </c>
      <c r="AI48" s="30" t="s">
        <v>16</v>
      </c>
      <c r="AJ48" s="30" t="s">
        <v>16</v>
      </c>
      <c r="AK48" s="30" t="s">
        <v>16</v>
      </c>
      <c r="AL48" s="30" t="s">
        <v>16</v>
      </c>
      <c r="AM48" s="30">
        <v>1305500</v>
      </c>
      <c r="AN48" s="30">
        <v>1305500</v>
      </c>
      <c r="AO48" s="30">
        <v>1360</v>
      </c>
      <c r="AP48" s="30">
        <v>1360</v>
      </c>
      <c r="AQ48" s="30">
        <v>1360</v>
      </c>
      <c r="AR48" s="30">
        <v>2700</v>
      </c>
      <c r="AS48" s="30">
        <v>2700</v>
      </c>
      <c r="AT48" s="30">
        <v>2700</v>
      </c>
      <c r="AU48" s="30" t="s">
        <v>16</v>
      </c>
      <c r="AV48" s="30">
        <v>220</v>
      </c>
      <c r="AW48" s="30" t="s">
        <v>16</v>
      </c>
      <c r="AX48" s="30" t="s">
        <v>16</v>
      </c>
      <c r="AY48" s="30" t="s">
        <v>16</v>
      </c>
      <c r="AZ48" s="30" t="s">
        <v>16</v>
      </c>
      <c r="BA48" s="30" t="s">
        <v>16</v>
      </c>
      <c r="BB48" s="30" t="s">
        <v>16</v>
      </c>
      <c r="BC48" s="30">
        <v>160000</v>
      </c>
      <c r="BD48" s="30">
        <v>160000</v>
      </c>
      <c r="BE48" s="30">
        <v>160000</v>
      </c>
      <c r="BF48" s="30">
        <v>160000</v>
      </c>
      <c r="BG48" s="30">
        <v>6000</v>
      </c>
      <c r="BH48" s="30" t="s">
        <v>16</v>
      </c>
      <c r="BI48" s="30" t="s">
        <v>16</v>
      </c>
      <c r="BJ48" s="30">
        <v>1380</v>
      </c>
      <c r="BK48" s="30" t="s">
        <v>16</v>
      </c>
      <c r="BL48" s="30">
        <v>9100000</v>
      </c>
      <c r="BM48" s="30">
        <v>150</v>
      </c>
      <c r="BN48" s="30">
        <v>3800</v>
      </c>
      <c r="BO48" s="30" t="s">
        <v>16</v>
      </c>
      <c r="BP48" s="30" t="s">
        <v>16</v>
      </c>
      <c r="BQ48" s="30" t="s">
        <v>16</v>
      </c>
      <c r="BR48" s="30" t="s">
        <v>16</v>
      </c>
      <c r="BS48" s="30" t="s">
        <v>16</v>
      </c>
      <c r="BT48" s="30" t="s">
        <v>16</v>
      </c>
      <c r="BU48" s="30" t="s">
        <v>16</v>
      </c>
      <c r="BV48" s="30" t="s">
        <v>16</v>
      </c>
      <c r="BW48" s="30" t="s">
        <v>16</v>
      </c>
      <c r="BX48" s="30">
        <v>150</v>
      </c>
      <c r="BY48" s="30">
        <v>300</v>
      </c>
      <c r="BZ48" s="30">
        <v>1480</v>
      </c>
    </row>
    <row r="49" spans="3:78" x14ac:dyDescent="0.15">
      <c r="C49" s="20">
        <v>21</v>
      </c>
      <c r="D49" s="30" t="s">
        <v>16</v>
      </c>
      <c r="E49" s="30" t="s">
        <v>16</v>
      </c>
      <c r="F49" s="30" t="s">
        <v>16</v>
      </c>
      <c r="G49" s="30" t="s">
        <v>16</v>
      </c>
      <c r="H49" s="30">
        <v>140000</v>
      </c>
      <c r="I49" s="30">
        <v>286570000</v>
      </c>
      <c r="J49" s="30">
        <v>20000000000</v>
      </c>
      <c r="K49" s="30">
        <v>20000000000</v>
      </c>
      <c r="L49" s="30">
        <v>20000000000</v>
      </c>
      <c r="M49" s="30">
        <v>20000000000</v>
      </c>
      <c r="N49" s="30" t="s">
        <v>16</v>
      </c>
      <c r="O49" s="30" t="s">
        <v>329</v>
      </c>
      <c r="P49" s="30" t="s">
        <v>16</v>
      </c>
      <c r="Q49" s="30">
        <v>140000</v>
      </c>
      <c r="R49" s="30">
        <v>286570000</v>
      </c>
      <c r="S49" s="30">
        <v>10000000000</v>
      </c>
      <c r="T49" s="30">
        <v>10000000000</v>
      </c>
      <c r="U49" s="30">
        <v>10000000000</v>
      </c>
      <c r="V49" s="30">
        <v>10000000000</v>
      </c>
      <c r="W49" s="30" t="s">
        <v>16</v>
      </c>
      <c r="X49" s="30" t="s">
        <v>330</v>
      </c>
      <c r="Y49" s="30" t="s">
        <v>16</v>
      </c>
      <c r="Z49" s="30" t="s">
        <v>16</v>
      </c>
      <c r="AA49" s="30" t="s">
        <v>16</v>
      </c>
      <c r="AB49" s="30" t="s">
        <v>16</v>
      </c>
      <c r="AC49" s="30">
        <v>41810000</v>
      </c>
      <c r="AD49" s="30">
        <v>41810000</v>
      </c>
      <c r="AE49" s="30">
        <v>41810000</v>
      </c>
      <c r="AF49" s="30">
        <v>41810000</v>
      </c>
      <c r="AG49" s="30" t="s">
        <v>16</v>
      </c>
      <c r="AH49" s="30" t="s">
        <v>16</v>
      </c>
      <c r="AI49" s="30" t="s">
        <v>16</v>
      </c>
      <c r="AJ49" s="30" t="s">
        <v>16</v>
      </c>
      <c r="AK49" s="30" t="s">
        <v>16</v>
      </c>
      <c r="AL49" s="30" t="s">
        <v>16</v>
      </c>
      <c r="AM49" s="30" t="s">
        <v>16</v>
      </c>
      <c r="AN49" s="30" t="s">
        <v>16</v>
      </c>
      <c r="AO49" s="30">
        <v>1790</v>
      </c>
      <c r="AP49" s="30">
        <v>1790</v>
      </c>
      <c r="AQ49" s="30">
        <v>1790</v>
      </c>
      <c r="AR49" s="30" t="s">
        <v>16</v>
      </c>
      <c r="AS49" s="30" t="s">
        <v>16</v>
      </c>
      <c r="AT49" s="30" t="s">
        <v>16</v>
      </c>
      <c r="AU49" s="30" t="s">
        <v>16</v>
      </c>
      <c r="AV49" s="30">
        <v>240</v>
      </c>
      <c r="AW49" s="30" t="s">
        <v>16</v>
      </c>
      <c r="AX49" s="30" t="s">
        <v>16</v>
      </c>
      <c r="AY49" s="30" t="s">
        <v>16</v>
      </c>
      <c r="AZ49" s="30" t="s">
        <v>16</v>
      </c>
      <c r="BA49" s="30" t="s">
        <v>16</v>
      </c>
      <c r="BB49" s="30" t="s">
        <v>16</v>
      </c>
      <c r="BC49" s="30">
        <v>180000</v>
      </c>
      <c r="BD49" s="30">
        <v>180000</v>
      </c>
      <c r="BE49" s="30">
        <v>180000</v>
      </c>
      <c r="BF49" s="30">
        <v>180000</v>
      </c>
      <c r="BG49" s="30">
        <v>6000</v>
      </c>
      <c r="BH49" s="30" t="s">
        <v>16</v>
      </c>
      <c r="BI49" s="30" t="s">
        <v>16</v>
      </c>
      <c r="BJ49" s="30">
        <v>1480</v>
      </c>
      <c r="BK49" s="30" t="s">
        <v>16</v>
      </c>
      <c r="BL49" s="30">
        <v>12200000</v>
      </c>
      <c r="BM49" s="30">
        <v>160</v>
      </c>
      <c r="BN49" s="30">
        <v>4800</v>
      </c>
      <c r="BO49" s="30" t="s">
        <v>16</v>
      </c>
      <c r="BP49" s="30" t="s">
        <v>16</v>
      </c>
      <c r="BQ49" s="30" t="s">
        <v>16</v>
      </c>
      <c r="BR49" s="30" t="s">
        <v>16</v>
      </c>
      <c r="BS49" s="30" t="s">
        <v>16</v>
      </c>
      <c r="BT49" s="30" t="s">
        <v>16</v>
      </c>
      <c r="BU49" s="30" t="s">
        <v>16</v>
      </c>
      <c r="BV49" s="30" t="s">
        <v>16</v>
      </c>
      <c r="BW49" s="30" t="s">
        <v>16</v>
      </c>
      <c r="BX49" s="30">
        <v>160</v>
      </c>
      <c r="BY49" s="30">
        <v>320</v>
      </c>
      <c r="BZ49" s="30">
        <v>1850</v>
      </c>
    </row>
    <row r="50" spans="3:78" x14ac:dyDescent="0.15">
      <c r="C50" s="20">
        <v>22</v>
      </c>
      <c r="D50" s="30" t="s">
        <v>16</v>
      </c>
      <c r="E50" s="30" t="s">
        <v>16</v>
      </c>
      <c r="F50" s="30" t="s">
        <v>16</v>
      </c>
      <c r="G50" s="30" t="s">
        <v>16</v>
      </c>
      <c r="H50" s="30">
        <v>150000</v>
      </c>
      <c r="I50" s="30">
        <v>463680000</v>
      </c>
      <c r="J50" s="30" t="s">
        <v>16</v>
      </c>
      <c r="K50" s="30" t="s">
        <v>16</v>
      </c>
      <c r="L50" s="30" t="s">
        <v>16</v>
      </c>
      <c r="M50" s="30" t="s">
        <v>16</v>
      </c>
      <c r="N50" s="30" t="s">
        <v>16</v>
      </c>
      <c r="O50" s="30" t="s">
        <v>331</v>
      </c>
      <c r="P50" s="30" t="s">
        <v>16</v>
      </c>
      <c r="Q50" s="30">
        <v>150000</v>
      </c>
      <c r="R50" s="30">
        <v>463680000</v>
      </c>
      <c r="S50" s="30" t="s">
        <v>16</v>
      </c>
      <c r="T50" s="30" t="s">
        <v>16</v>
      </c>
      <c r="U50" s="30" t="s">
        <v>16</v>
      </c>
      <c r="V50" s="30" t="s">
        <v>16</v>
      </c>
      <c r="W50" s="30" t="s">
        <v>16</v>
      </c>
      <c r="X50" s="30" t="s">
        <v>332</v>
      </c>
      <c r="Y50" s="30" t="s">
        <v>16</v>
      </c>
      <c r="Z50" s="30" t="s">
        <v>16</v>
      </c>
      <c r="AA50" s="30" t="s">
        <v>16</v>
      </c>
      <c r="AB50" s="30" t="s">
        <v>16</v>
      </c>
      <c r="AC50" s="30" t="s">
        <v>16</v>
      </c>
      <c r="AD50" s="30" t="s">
        <v>16</v>
      </c>
      <c r="AE50" s="30" t="s">
        <v>16</v>
      </c>
      <c r="AF50" s="30" t="s">
        <v>16</v>
      </c>
      <c r="AG50" s="30" t="s">
        <v>16</v>
      </c>
      <c r="AH50" s="30" t="s">
        <v>16</v>
      </c>
      <c r="AI50" s="30" t="s">
        <v>16</v>
      </c>
      <c r="AJ50" s="30" t="s">
        <v>16</v>
      </c>
      <c r="AK50" s="30" t="s">
        <v>16</v>
      </c>
      <c r="AL50" s="30" t="s">
        <v>16</v>
      </c>
      <c r="AM50" s="30" t="s">
        <v>16</v>
      </c>
      <c r="AN50" s="30" t="s">
        <v>16</v>
      </c>
      <c r="AO50" s="30">
        <v>2370</v>
      </c>
      <c r="AP50" s="30">
        <v>2370</v>
      </c>
      <c r="AQ50" s="30">
        <v>2370</v>
      </c>
      <c r="AR50" s="30" t="s">
        <v>16</v>
      </c>
      <c r="AS50" s="30" t="s">
        <v>16</v>
      </c>
      <c r="AT50" s="30" t="s">
        <v>16</v>
      </c>
      <c r="AU50" s="30" t="s">
        <v>16</v>
      </c>
      <c r="AV50" s="30">
        <v>260</v>
      </c>
      <c r="AW50" s="30" t="s">
        <v>16</v>
      </c>
      <c r="AX50" s="30" t="s">
        <v>16</v>
      </c>
      <c r="AY50" s="30" t="s">
        <v>16</v>
      </c>
      <c r="AZ50" s="30" t="s">
        <v>16</v>
      </c>
      <c r="BA50" s="30" t="s">
        <v>16</v>
      </c>
      <c r="BB50" s="30" t="s">
        <v>16</v>
      </c>
      <c r="BC50" s="30">
        <v>228000</v>
      </c>
      <c r="BD50" s="30">
        <v>228000</v>
      </c>
      <c r="BE50" s="30">
        <v>228000</v>
      </c>
      <c r="BF50" s="30">
        <v>228000</v>
      </c>
      <c r="BG50" s="30">
        <v>6000</v>
      </c>
      <c r="BH50" s="30" t="s">
        <v>16</v>
      </c>
      <c r="BI50" s="30" t="s">
        <v>16</v>
      </c>
      <c r="BJ50" s="30">
        <v>1560</v>
      </c>
      <c r="BK50" s="30" t="s">
        <v>16</v>
      </c>
      <c r="BL50" s="30">
        <v>16400000</v>
      </c>
      <c r="BM50" s="30" t="s">
        <v>16</v>
      </c>
      <c r="BN50" s="30">
        <v>6000</v>
      </c>
      <c r="BO50" s="30" t="s">
        <v>16</v>
      </c>
      <c r="BP50" s="30" t="s">
        <v>16</v>
      </c>
      <c r="BQ50" s="30" t="s">
        <v>16</v>
      </c>
      <c r="BR50" s="30" t="s">
        <v>16</v>
      </c>
      <c r="BS50" s="30" t="s">
        <v>16</v>
      </c>
      <c r="BT50" s="30" t="s">
        <v>16</v>
      </c>
      <c r="BU50" s="30" t="s">
        <v>16</v>
      </c>
      <c r="BV50" s="30" t="s">
        <v>16</v>
      </c>
      <c r="BW50" s="30" t="s">
        <v>16</v>
      </c>
      <c r="BX50" s="30" t="s">
        <v>16</v>
      </c>
      <c r="BY50" s="30" t="s">
        <v>16</v>
      </c>
      <c r="BZ50" s="30">
        <v>2320</v>
      </c>
    </row>
    <row r="51" spans="3:78" x14ac:dyDescent="0.15">
      <c r="C51" s="20">
        <v>23</v>
      </c>
      <c r="D51" s="30" t="s">
        <v>16</v>
      </c>
      <c r="E51" s="30" t="s">
        <v>16</v>
      </c>
      <c r="F51" s="30" t="s">
        <v>16</v>
      </c>
      <c r="G51" s="30" t="s">
        <v>16</v>
      </c>
      <c r="H51" s="30" t="s">
        <v>16</v>
      </c>
      <c r="I51" s="30">
        <v>750250000</v>
      </c>
      <c r="J51" s="30" t="s">
        <v>16</v>
      </c>
      <c r="K51" s="30" t="s">
        <v>16</v>
      </c>
      <c r="L51" s="30" t="s">
        <v>16</v>
      </c>
      <c r="M51" s="30" t="s">
        <v>16</v>
      </c>
      <c r="N51" s="30" t="s">
        <v>16</v>
      </c>
      <c r="O51" s="30" t="s">
        <v>333</v>
      </c>
      <c r="P51" s="30" t="s">
        <v>16</v>
      </c>
      <c r="Q51" s="30" t="s">
        <v>16</v>
      </c>
      <c r="R51" s="30">
        <v>750250000</v>
      </c>
      <c r="S51" s="30" t="s">
        <v>16</v>
      </c>
      <c r="T51" s="30" t="s">
        <v>16</v>
      </c>
      <c r="U51" s="30" t="s">
        <v>16</v>
      </c>
      <c r="V51" s="30" t="s">
        <v>16</v>
      </c>
      <c r="W51" s="30" t="s">
        <v>16</v>
      </c>
      <c r="X51" s="30" t="s">
        <v>334</v>
      </c>
      <c r="Y51" s="30" t="s">
        <v>16</v>
      </c>
      <c r="Z51" s="30" t="s">
        <v>16</v>
      </c>
      <c r="AA51" s="30" t="s">
        <v>16</v>
      </c>
      <c r="AB51" s="30" t="s">
        <v>16</v>
      </c>
      <c r="AC51" s="30" t="s">
        <v>16</v>
      </c>
      <c r="AD51" s="30" t="s">
        <v>16</v>
      </c>
      <c r="AE51" s="30" t="s">
        <v>16</v>
      </c>
      <c r="AF51" s="30" t="s">
        <v>16</v>
      </c>
      <c r="AG51" s="30" t="s">
        <v>16</v>
      </c>
      <c r="AH51" s="30" t="s">
        <v>16</v>
      </c>
      <c r="AI51" s="30" t="s">
        <v>16</v>
      </c>
      <c r="AJ51" s="30" t="s">
        <v>16</v>
      </c>
      <c r="AK51" s="30" t="s">
        <v>16</v>
      </c>
      <c r="AL51" s="30" t="s">
        <v>16</v>
      </c>
      <c r="AM51" s="30" t="s">
        <v>16</v>
      </c>
      <c r="AN51" s="30" t="s">
        <v>16</v>
      </c>
      <c r="AO51" s="30">
        <v>3130</v>
      </c>
      <c r="AP51" s="30">
        <v>3130</v>
      </c>
      <c r="AQ51" s="30">
        <v>3130</v>
      </c>
      <c r="AR51" s="30" t="s">
        <v>16</v>
      </c>
      <c r="AS51" s="30" t="s">
        <v>16</v>
      </c>
      <c r="AT51" s="30" t="s">
        <v>16</v>
      </c>
      <c r="AU51" s="30" t="s">
        <v>16</v>
      </c>
      <c r="AV51" s="30">
        <v>280</v>
      </c>
      <c r="AW51" s="30" t="s">
        <v>16</v>
      </c>
      <c r="AX51" s="30" t="s">
        <v>16</v>
      </c>
      <c r="AY51" s="30" t="s">
        <v>16</v>
      </c>
      <c r="AZ51" s="30" t="s">
        <v>16</v>
      </c>
      <c r="BA51" s="30" t="s">
        <v>16</v>
      </c>
      <c r="BB51" s="30" t="s">
        <v>16</v>
      </c>
      <c r="BC51" s="30">
        <v>250000</v>
      </c>
      <c r="BD51" s="30">
        <v>250000</v>
      </c>
      <c r="BE51" s="30">
        <v>250000</v>
      </c>
      <c r="BF51" s="30">
        <v>250000</v>
      </c>
      <c r="BG51" s="30">
        <v>6000</v>
      </c>
      <c r="BH51" s="30" t="s">
        <v>16</v>
      </c>
      <c r="BI51" s="30" t="s">
        <v>16</v>
      </c>
      <c r="BJ51" s="30" t="s">
        <v>16</v>
      </c>
      <c r="BK51" s="30" t="s">
        <v>16</v>
      </c>
      <c r="BL51" s="30">
        <v>21850000</v>
      </c>
      <c r="BM51" s="30" t="s">
        <v>16</v>
      </c>
      <c r="BN51" s="30" t="s">
        <v>16</v>
      </c>
      <c r="BO51" s="30" t="s">
        <v>16</v>
      </c>
      <c r="BP51" s="30" t="s">
        <v>16</v>
      </c>
      <c r="BQ51" s="30" t="s">
        <v>16</v>
      </c>
      <c r="BR51" s="30" t="s">
        <v>16</v>
      </c>
      <c r="BS51" s="30" t="s">
        <v>16</v>
      </c>
      <c r="BT51" s="30" t="s">
        <v>16</v>
      </c>
      <c r="BU51" s="30" t="s">
        <v>16</v>
      </c>
      <c r="BV51" s="30" t="s">
        <v>16</v>
      </c>
      <c r="BW51" s="30" t="s">
        <v>16</v>
      </c>
      <c r="BX51" s="30" t="s">
        <v>16</v>
      </c>
      <c r="BY51" s="30" t="s">
        <v>16</v>
      </c>
      <c r="BZ51" s="30" t="s">
        <v>16</v>
      </c>
    </row>
    <row r="52" spans="3:78" x14ac:dyDescent="0.15">
      <c r="C52" s="20">
        <v>24</v>
      </c>
      <c r="D52" s="30" t="s">
        <v>16</v>
      </c>
      <c r="E52" s="30" t="s">
        <v>16</v>
      </c>
      <c r="F52" s="30" t="s">
        <v>16</v>
      </c>
      <c r="G52" s="30" t="s">
        <v>16</v>
      </c>
      <c r="H52" s="30" t="s">
        <v>16</v>
      </c>
      <c r="I52" s="30">
        <v>1213930000</v>
      </c>
      <c r="J52" s="30" t="s">
        <v>16</v>
      </c>
      <c r="K52" s="30" t="s">
        <v>16</v>
      </c>
      <c r="L52" s="30" t="s">
        <v>16</v>
      </c>
      <c r="M52" s="30" t="s">
        <v>16</v>
      </c>
      <c r="N52" s="30" t="s">
        <v>16</v>
      </c>
      <c r="O52" s="30" t="s">
        <v>16</v>
      </c>
      <c r="P52" s="30" t="s">
        <v>16</v>
      </c>
      <c r="Q52" s="30" t="s">
        <v>16</v>
      </c>
      <c r="R52" s="30">
        <v>1213930000</v>
      </c>
      <c r="S52" s="30" t="s">
        <v>16</v>
      </c>
      <c r="T52" s="30" t="s">
        <v>16</v>
      </c>
      <c r="U52" s="30" t="s">
        <v>16</v>
      </c>
      <c r="V52" s="30" t="s">
        <v>16</v>
      </c>
      <c r="W52" s="30" t="s">
        <v>16</v>
      </c>
      <c r="X52" s="30" t="s">
        <v>16</v>
      </c>
      <c r="Y52" s="30" t="s">
        <v>16</v>
      </c>
      <c r="Z52" s="30" t="s">
        <v>16</v>
      </c>
      <c r="AA52" s="30" t="s">
        <v>16</v>
      </c>
      <c r="AB52" s="30" t="s">
        <v>16</v>
      </c>
      <c r="AC52" s="30" t="s">
        <v>16</v>
      </c>
      <c r="AD52" s="30" t="s">
        <v>16</v>
      </c>
      <c r="AE52" s="30" t="s">
        <v>16</v>
      </c>
      <c r="AF52" s="30" t="s">
        <v>16</v>
      </c>
      <c r="AG52" s="30" t="s">
        <v>16</v>
      </c>
      <c r="AH52" s="30" t="s">
        <v>16</v>
      </c>
      <c r="AI52" s="30" t="s">
        <v>16</v>
      </c>
      <c r="AJ52" s="30" t="s">
        <v>16</v>
      </c>
      <c r="AK52" s="30" t="s">
        <v>16</v>
      </c>
      <c r="AL52" s="30" t="s">
        <v>16</v>
      </c>
      <c r="AM52" s="30" t="s">
        <v>16</v>
      </c>
      <c r="AN52" s="30" t="s">
        <v>16</v>
      </c>
      <c r="AO52" s="30">
        <v>4130</v>
      </c>
      <c r="AP52" s="30">
        <v>4130</v>
      </c>
      <c r="AQ52" s="30">
        <v>4130</v>
      </c>
      <c r="AR52" s="30" t="s">
        <v>16</v>
      </c>
      <c r="AS52" s="30" t="s">
        <v>16</v>
      </c>
      <c r="AT52" s="30" t="s">
        <v>16</v>
      </c>
      <c r="AU52" s="30" t="s">
        <v>16</v>
      </c>
      <c r="AV52" s="30">
        <v>300</v>
      </c>
      <c r="AW52" s="30" t="s">
        <v>16</v>
      </c>
      <c r="AX52" s="30" t="s">
        <v>16</v>
      </c>
      <c r="AY52" s="30" t="s">
        <v>16</v>
      </c>
      <c r="AZ52" s="30" t="s">
        <v>16</v>
      </c>
      <c r="BA52" s="30" t="s">
        <v>16</v>
      </c>
      <c r="BB52" s="30" t="s">
        <v>16</v>
      </c>
      <c r="BC52" s="30">
        <v>274000</v>
      </c>
      <c r="BD52" s="30">
        <v>274000</v>
      </c>
      <c r="BE52" s="30">
        <v>274000</v>
      </c>
      <c r="BF52" s="30">
        <v>274000</v>
      </c>
      <c r="BG52" s="30">
        <v>6000</v>
      </c>
      <c r="BH52" s="30" t="s">
        <v>16</v>
      </c>
      <c r="BI52" s="30" t="s">
        <v>16</v>
      </c>
      <c r="BJ52" s="30" t="s">
        <v>16</v>
      </c>
      <c r="BK52" s="30" t="s">
        <v>16</v>
      </c>
      <c r="BL52" s="30">
        <v>28500000</v>
      </c>
      <c r="BM52" s="30" t="s">
        <v>16</v>
      </c>
      <c r="BN52" s="30" t="s">
        <v>16</v>
      </c>
      <c r="BO52" s="30" t="s">
        <v>16</v>
      </c>
      <c r="BP52" s="30" t="s">
        <v>16</v>
      </c>
      <c r="BQ52" s="30" t="s">
        <v>16</v>
      </c>
      <c r="BR52" s="30" t="s">
        <v>16</v>
      </c>
      <c r="BS52" s="30" t="s">
        <v>16</v>
      </c>
      <c r="BT52" s="30" t="s">
        <v>16</v>
      </c>
      <c r="BU52" s="30" t="s">
        <v>16</v>
      </c>
      <c r="BV52" s="30" t="s">
        <v>16</v>
      </c>
      <c r="BW52" s="30" t="s">
        <v>16</v>
      </c>
      <c r="BX52" s="30" t="s">
        <v>16</v>
      </c>
      <c r="BY52" s="30" t="s">
        <v>16</v>
      </c>
      <c r="BZ52" s="30" t="s">
        <v>16</v>
      </c>
    </row>
    <row r="53" spans="3:78" x14ac:dyDescent="0.15">
      <c r="C53" s="20">
        <v>25</v>
      </c>
      <c r="D53" s="30" t="s">
        <v>16</v>
      </c>
      <c r="E53" s="30" t="s">
        <v>16</v>
      </c>
      <c r="F53" s="30" t="s">
        <v>16</v>
      </c>
      <c r="G53" s="30" t="s">
        <v>16</v>
      </c>
      <c r="H53" s="30" t="s">
        <v>16</v>
      </c>
      <c r="I53" s="30">
        <v>1964180000</v>
      </c>
      <c r="J53" s="30" t="s">
        <v>16</v>
      </c>
      <c r="K53" s="30" t="s">
        <v>16</v>
      </c>
      <c r="L53" s="30" t="s">
        <v>16</v>
      </c>
      <c r="M53" s="30" t="s">
        <v>16</v>
      </c>
      <c r="N53" s="30" t="s">
        <v>16</v>
      </c>
      <c r="O53" s="30" t="s">
        <v>16</v>
      </c>
      <c r="P53" s="30" t="s">
        <v>16</v>
      </c>
      <c r="Q53" s="30" t="s">
        <v>16</v>
      </c>
      <c r="R53" s="30">
        <v>1964180000</v>
      </c>
      <c r="S53" s="30" t="s">
        <v>16</v>
      </c>
      <c r="T53" s="30" t="s">
        <v>16</v>
      </c>
      <c r="U53" s="30" t="s">
        <v>16</v>
      </c>
      <c r="V53" s="30" t="s">
        <v>16</v>
      </c>
      <c r="W53" s="30" t="s">
        <v>16</v>
      </c>
      <c r="X53" s="30" t="s">
        <v>16</v>
      </c>
      <c r="Y53" s="30" t="s">
        <v>16</v>
      </c>
      <c r="Z53" s="30" t="s">
        <v>16</v>
      </c>
      <c r="AA53" s="30" t="s">
        <v>16</v>
      </c>
      <c r="AB53" s="30" t="s">
        <v>16</v>
      </c>
      <c r="AC53" s="30" t="s">
        <v>16</v>
      </c>
      <c r="AD53" s="30" t="s">
        <v>16</v>
      </c>
      <c r="AE53" s="30" t="s">
        <v>16</v>
      </c>
      <c r="AF53" s="30" t="s">
        <v>16</v>
      </c>
      <c r="AG53" s="30" t="s">
        <v>16</v>
      </c>
      <c r="AH53" s="30" t="s">
        <v>16</v>
      </c>
      <c r="AI53" s="30" t="s">
        <v>16</v>
      </c>
      <c r="AJ53" s="30" t="s">
        <v>16</v>
      </c>
      <c r="AK53" s="30" t="s">
        <v>16</v>
      </c>
      <c r="AL53" s="30" t="s">
        <v>16</v>
      </c>
      <c r="AM53" s="30" t="s">
        <v>16</v>
      </c>
      <c r="AN53" s="30" t="s">
        <v>16</v>
      </c>
      <c r="AO53" s="30">
        <v>5450</v>
      </c>
      <c r="AP53" s="30">
        <v>5450</v>
      </c>
      <c r="AQ53" s="30">
        <v>5450</v>
      </c>
      <c r="AR53" s="30" t="s">
        <v>16</v>
      </c>
      <c r="AS53" s="30" t="s">
        <v>16</v>
      </c>
      <c r="AT53" s="30" t="s">
        <v>16</v>
      </c>
      <c r="AU53" s="30" t="s">
        <v>16</v>
      </c>
      <c r="AV53" s="30">
        <v>320</v>
      </c>
      <c r="AW53" s="30" t="s">
        <v>16</v>
      </c>
      <c r="AX53" s="30" t="s">
        <v>16</v>
      </c>
      <c r="AY53" s="30" t="s">
        <v>16</v>
      </c>
      <c r="AZ53" s="30" t="s">
        <v>16</v>
      </c>
      <c r="BA53" s="30" t="s">
        <v>16</v>
      </c>
      <c r="BB53" s="30" t="s">
        <v>16</v>
      </c>
      <c r="BC53" s="30" t="s">
        <v>16</v>
      </c>
      <c r="BD53" s="30" t="s">
        <v>16</v>
      </c>
      <c r="BE53" s="30" t="s">
        <v>16</v>
      </c>
      <c r="BF53" s="30" t="s">
        <v>16</v>
      </c>
      <c r="BG53" s="30" t="s">
        <v>16</v>
      </c>
      <c r="BH53" s="30" t="s">
        <v>16</v>
      </c>
      <c r="BI53" s="30" t="s">
        <v>16</v>
      </c>
      <c r="BJ53" s="30" t="s">
        <v>16</v>
      </c>
      <c r="BK53" s="30" t="s">
        <v>16</v>
      </c>
      <c r="BL53" s="30">
        <v>37200000</v>
      </c>
      <c r="BM53" s="30" t="s">
        <v>16</v>
      </c>
      <c r="BN53" s="30" t="s">
        <v>16</v>
      </c>
      <c r="BO53" s="30" t="s">
        <v>16</v>
      </c>
      <c r="BP53" s="30" t="s">
        <v>16</v>
      </c>
      <c r="BQ53" s="30" t="s">
        <v>16</v>
      </c>
      <c r="BR53" s="30" t="s">
        <v>16</v>
      </c>
      <c r="BS53" s="30" t="s">
        <v>16</v>
      </c>
      <c r="BT53" s="30" t="s">
        <v>16</v>
      </c>
      <c r="BU53" s="30" t="s">
        <v>16</v>
      </c>
      <c r="BV53" s="30" t="s">
        <v>16</v>
      </c>
      <c r="BW53" s="30" t="s">
        <v>16</v>
      </c>
      <c r="BX53" s="30" t="s">
        <v>16</v>
      </c>
      <c r="BY53" s="30" t="s">
        <v>16</v>
      </c>
      <c r="BZ53" s="30" t="s">
        <v>16</v>
      </c>
    </row>
  </sheetData>
  <mergeCells count="17">
    <mergeCell ref="D26:AF26"/>
    <mergeCell ref="AG26:AJ26"/>
    <mergeCell ref="AK26:AN26"/>
    <mergeCell ref="AO26:BB26"/>
    <mergeCell ref="E27:G27"/>
    <mergeCell ref="H27:N27"/>
    <mergeCell ref="Q27:W27"/>
    <mergeCell ref="Y27:Z27"/>
    <mergeCell ref="AC27:AF27"/>
    <mergeCell ref="BV27:BW27"/>
    <mergeCell ref="BX27:BY27"/>
    <mergeCell ref="BC26:BU26"/>
    <mergeCell ref="BV26:BZ26"/>
    <mergeCell ref="AO27:AU27"/>
    <mergeCell ref="BC27:BH27"/>
    <mergeCell ref="BN27:BQ27"/>
    <mergeCell ref="BR27:BU2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资源-材料1</vt:lpstr>
      <vt:lpstr>节奏总纲</vt:lpstr>
      <vt:lpstr>任务类型划分</vt:lpstr>
      <vt:lpstr>推荐任务设计</vt:lpstr>
      <vt:lpstr>Sheet1</vt:lpstr>
      <vt:lpstr>非推荐任务设计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2021-11-02T10:03:08Z</dcterms:modified>
</cp:coreProperties>
</file>